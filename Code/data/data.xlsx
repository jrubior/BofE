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customProperty3.bin" ContentType="application/vnd.openxmlformats-officedocument.spreadsheetml.customProperty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/>
  <xr:revisionPtr revIDLastSave="0" documentId="13_ncr:1_{C5A2E37B-041B-4E3F-B6EB-5D1FDDE6352A}" xr6:coauthVersionLast="47" xr6:coauthVersionMax="47" xr10:uidLastSave="{00000000-0000-0000-0000-000000000000}"/>
  <bookViews>
    <workbookView xWindow="15135" yWindow="-15480" windowWidth="19440" windowHeight="14880" xr2:uid="{00000000-000D-0000-FFFF-FFFF00000000}"/>
  </bookViews>
  <sheets>
    <sheet name="matlab" sheetId="2" r:id="rId1"/>
    <sheet name="Haver" sheetId="1" r:id="rId2"/>
    <sheet name="Haver_M" sheetId="27" r:id="rId3"/>
    <sheet name="OEM" sheetId="11" r:id="rId4"/>
    <sheet name="OEM_aux" sheetId="15" r:id="rId5"/>
    <sheet name="AWM" sheetId="14" r:id="rId6"/>
    <sheet name="Mater_M" sheetId="24" r:id="rId7"/>
    <sheet name="Mater_Q" sheetId="26" r:id="rId8"/>
    <sheet name="SA R" sheetId="25" r:id="rId9"/>
    <sheet name="UK_HAVER" sheetId="30" r:id="rId10"/>
    <sheet name="reconstruct_levels_ch" sheetId="31" r:id="rId11"/>
  </sheets>
  <externalReferences>
    <externalReference r:id="rId12"/>
    <externalReference r:id="rId13"/>
    <externalReference r:id="rId14"/>
    <externalReference r:id="rId15"/>
  </externalReferences>
  <definedNames>
    <definedName name="_DLX1.INC">Haver!$2:$11</definedName>
    <definedName name="_DLX2.INC">Haver_M!$2:$11</definedName>
    <definedName name="_DLX3.INC">UK_HAVER!$1:$13</definedName>
    <definedName name="Data">[1]sheet0!$C$2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9" i="2" l="1"/>
  <c r="J180" i="2"/>
  <c r="J181" i="2"/>
  <c r="J182" i="2"/>
  <c r="J183" i="2"/>
  <c r="J184" i="2"/>
  <c r="J185" i="2"/>
  <c r="J178" i="2"/>
  <c r="B186" i="31" l="1"/>
  <c r="C186" i="31"/>
  <c r="H186" i="31"/>
  <c r="E48" i="2"/>
  <c r="E47" i="2" s="1"/>
  <c r="E46" i="2" s="1"/>
  <c r="E45" i="2" s="1"/>
  <c r="E44" i="2" s="1"/>
  <c r="E43" i="2" s="1"/>
  <c r="E42" i="2" s="1"/>
  <c r="E41" i="2" s="1"/>
  <c r="E40" i="2" s="1"/>
  <c r="E39" i="2" s="1"/>
  <c r="E38" i="2" s="1"/>
  <c r="E37" i="2" s="1"/>
  <c r="E36" i="2" s="1"/>
  <c r="E35" i="2" s="1"/>
  <c r="E34" i="2" s="1"/>
  <c r="E33" i="2" s="1"/>
  <c r="E32" i="2" s="1"/>
  <c r="E31" i="2" s="1"/>
  <c r="E30" i="2" s="1"/>
  <c r="E29" i="2" s="1"/>
  <c r="E28" i="2" s="1"/>
  <c r="E27" i="2" s="1"/>
  <c r="E26" i="2" s="1"/>
  <c r="E25" i="2" s="1"/>
  <c r="E24" i="2" s="1"/>
  <c r="E23" i="2" s="1"/>
  <c r="E22" i="2" s="1"/>
  <c r="E21" i="2" s="1"/>
  <c r="E20" i="2" s="1"/>
  <c r="E19" i="2" s="1"/>
  <c r="E18" i="2" s="1"/>
  <c r="E17" i="2" s="1"/>
  <c r="E16" i="2" s="1"/>
  <c r="E15" i="2" s="1"/>
  <c r="E14" i="2" s="1"/>
  <c r="E13" i="2" s="1"/>
  <c r="E12" i="2" s="1"/>
  <c r="E11" i="2" s="1"/>
  <c r="E10" i="2" s="1"/>
  <c r="E9" i="2" s="1"/>
  <c r="E8" i="2" s="1"/>
  <c r="E7" i="2" s="1"/>
  <c r="E6" i="2" s="1"/>
  <c r="E5" i="2" s="1"/>
  <c r="E4" i="2" s="1"/>
  <c r="E3" i="2" s="1"/>
  <c r="E2" i="2" s="1"/>
  <c r="E49" i="2"/>
  <c r="E50" i="2" l="1"/>
  <c r="H52" i="31"/>
  <c r="H53" i="31"/>
  <c r="H54" i="31"/>
  <c r="H55" i="31"/>
  <c r="H56" i="31"/>
  <c r="H57" i="31"/>
  <c r="H58" i="31"/>
  <c r="H59" i="31"/>
  <c r="H60" i="31"/>
  <c r="H61" i="31"/>
  <c r="H62" i="31"/>
  <c r="H63" i="31"/>
  <c r="H64" i="31"/>
  <c r="H65" i="31"/>
  <c r="H66" i="31"/>
  <c r="H67" i="31"/>
  <c r="H68" i="31"/>
  <c r="H69" i="31"/>
  <c r="H70" i="31"/>
  <c r="H71" i="31"/>
  <c r="H72" i="31"/>
  <c r="H73" i="31"/>
  <c r="H74" i="31"/>
  <c r="H75" i="31"/>
  <c r="H76" i="31"/>
  <c r="H77" i="31"/>
  <c r="H78" i="31"/>
  <c r="H79" i="31"/>
  <c r="H80" i="31"/>
  <c r="H81" i="31"/>
  <c r="H82" i="31"/>
  <c r="H83" i="31"/>
  <c r="H84" i="31"/>
  <c r="H85" i="31"/>
  <c r="H86" i="31"/>
  <c r="H87" i="31"/>
  <c r="H88" i="31"/>
  <c r="H89" i="31"/>
  <c r="H90" i="31"/>
  <c r="H91" i="31"/>
  <c r="H92" i="31"/>
  <c r="H93" i="31"/>
  <c r="H94" i="31"/>
  <c r="H95" i="31"/>
  <c r="H96" i="31"/>
  <c r="H97" i="31"/>
  <c r="H98" i="31"/>
  <c r="H99" i="31"/>
  <c r="H100" i="31"/>
  <c r="H101" i="31"/>
  <c r="H102" i="31"/>
  <c r="H103" i="31"/>
  <c r="H104" i="31"/>
  <c r="H105" i="31"/>
  <c r="H106" i="31"/>
  <c r="H107" i="31"/>
  <c r="H108" i="31"/>
  <c r="H109" i="31"/>
  <c r="H110" i="31"/>
  <c r="H111" i="31"/>
  <c r="H112" i="31"/>
  <c r="H113" i="31"/>
  <c r="H114" i="31"/>
  <c r="H115" i="31"/>
  <c r="H116" i="31"/>
  <c r="H117" i="31"/>
  <c r="H118" i="31"/>
  <c r="H119" i="31"/>
  <c r="H120" i="31"/>
  <c r="H121" i="31"/>
  <c r="H122" i="31"/>
  <c r="H123" i="31"/>
  <c r="H124" i="31"/>
  <c r="H125" i="31"/>
  <c r="H126" i="31"/>
  <c r="H127" i="31"/>
  <c r="H128" i="31"/>
  <c r="H129" i="31"/>
  <c r="H130" i="31"/>
  <c r="H131" i="31"/>
  <c r="H132" i="31"/>
  <c r="H133" i="31"/>
  <c r="H134" i="31"/>
  <c r="H135" i="31"/>
  <c r="H136" i="31"/>
  <c r="H137" i="31"/>
  <c r="H138" i="31"/>
  <c r="H139" i="31"/>
  <c r="H140" i="31"/>
  <c r="H141" i="31"/>
  <c r="H142" i="31"/>
  <c r="H143" i="31"/>
  <c r="H144" i="31"/>
  <c r="H145" i="31"/>
  <c r="H146" i="31"/>
  <c r="H147" i="31"/>
  <c r="H148" i="31"/>
  <c r="H149" i="31"/>
  <c r="H150" i="31"/>
  <c r="H151" i="31"/>
  <c r="H152" i="31"/>
  <c r="H153" i="31"/>
  <c r="H154" i="31"/>
  <c r="H155" i="31"/>
  <c r="H156" i="31"/>
  <c r="H157" i="31"/>
  <c r="H158" i="31"/>
  <c r="H159" i="31"/>
  <c r="H160" i="31"/>
  <c r="H161" i="31"/>
  <c r="H162" i="31"/>
  <c r="H163" i="31"/>
  <c r="H164" i="31"/>
  <c r="H165" i="31"/>
  <c r="H166" i="31"/>
  <c r="H167" i="31"/>
  <c r="H168" i="31"/>
  <c r="H169" i="31"/>
  <c r="H170" i="31"/>
  <c r="H171" i="31"/>
  <c r="H172" i="31"/>
  <c r="H173" i="31"/>
  <c r="H174" i="31"/>
  <c r="H175" i="31"/>
  <c r="H176" i="31"/>
  <c r="H177" i="31"/>
  <c r="H178" i="31"/>
  <c r="H179" i="31"/>
  <c r="H180" i="31"/>
  <c r="H181" i="31"/>
  <c r="H182" i="31"/>
  <c r="H183" i="31"/>
  <c r="H184" i="31"/>
  <c r="H185" i="31"/>
  <c r="H51" i="31"/>
  <c r="G50" i="31"/>
  <c r="C20" i="31"/>
  <c r="C21" i="31"/>
  <c r="C22" i="31"/>
  <c r="C23" i="31"/>
  <c r="C24" i="31"/>
  <c r="C25" i="31"/>
  <c r="C26" i="31"/>
  <c r="C27" i="31"/>
  <c r="C28" i="31"/>
  <c r="C29" i="31"/>
  <c r="C30" i="31"/>
  <c r="C31" i="31"/>
  <c r="C32" i="31"/>
  <c r="C33" i="31"/>
  <c r="C34" i="31"/>
  <c r="C35" i="31"/>
  <c r="C36" i="31"/>
  <c r="C37" i="31"/>
  <c r="C38" i="31"/>
  <c r="C39" i="31"/>
  <c r="C40" i="31"/>
  <c r="C41" i="31"/>
  <c r="C42" i="31"/>
  <c r="C43" i="31"/>
  <c r="C44" i="31"/>
  <c r="C45" i="31"/>
  <c r="C46" i="31"/>
  <c r="C47" i="31"/>
  <c r="C48" i="31"/>
  <c r="C49" i="31"/>
  <c r="C50" i="31"/>
  <c r="C51" i="31"/>
  <c r="C52" i="31"/>
  <c r="C53" i="31"/>
  <c r="C54" i="31"/>
  <c r="C55" i="31"/>
  <c r="C56" i="31"/>
  <c r="C57" i="31"/>
  <c r="C58" i="31"/>
  <c r="C59" i="31"/>
  <c r="C60" i="31"/>
  <c r="C61" i="31"/>
  <c r="C62" i="31"/>
  <c r="C63" i="31"/>
  <c r="C64" i="31"/>
  <c r="C65" i="31"/>
  <c r="C66" i="31"/>
  <c r="C67" i="31"/>
  <c r="C68" i="31"/>
  <c r="C69" i="31"/>
  <c r="C70" i="31"/>
  <c r="C71" i="31"/>
  <c r="C72" i="31"/>
  <c r="C73" i="31"/>
  <c r="C74" i="31"/>
  <c r="C75" i="31"/>
  <c r="C76" i="31"/>
  <c r="C77" i="31"/>
  <c r="C78" i="31"/>
  <c r="C79" i="31"/>
  <c r="C80" i="31"/>
  <c r="C81" i="31"/>
  <c r="C82" i="31"/>
  <c r="C83" i="31"/>
  <c r="C84" i="31"/>
  <c r="C85" i="31"/>
  <c r="C86" i="31"/>
  <c r="C87" i="31"/>
  <c r="C88" i="31"/>
  <c r="C89" i="31"/>
  <c r="C90" i="31"/>
  <c r="C91" i="31"/>
  <c r="C92" i="31"/>
  <c r="C93" i="31"/>
  <c r="C94" i="31"/>
  <c r="C95" i="31"/>
  <c r="C96" i="31"/>
  <c r="C97" i="31"/>
  <c r="C98" i="31"/>
  <c r="C99" i="31"/>
  <c r="C100" i="31"/>
  <c r="C101" i="31"/>
  <c r="C102" i="31"/>
  <c r="C103" i="31"/>
  <c r="C104" i="31"/>
  <c r="C105" i="31"/>
  <c r="C106" i="31"/>
  <c r="C107" i="31"/>
  <c r="C108" i="31"/>
  <c r="C109" i="31"/>
  <c r="C110" i="31"/>
  <c r="C111" i="31"/>
  <c r="C112" i="31"/>
  <c r="C113" i="31"/>
  <c r="C114" i="31"/>
  <c r="C115" i="31"/>
  <c r="C116" i="31"/>
  <c r="C117" i="31"/>
  <c r="C118" i="31"/>
  <c r="C119" i="31"/>
  <c r="C120" i="31"/>
  <c r="C121" i="31"/>
  <c r="C122" i="31"/>
  <c r="C123" i="31"/>
  <c r="C124" i="31"/>
  <c r="C125" i="31"/>
  <c r="C126" i="31"/>
  <c r="C127" i="31"/>
  <c r="C128" i="31"/>
  <c r="C129" i="31"/>
  <c r="C130" i="31"/>
  <c r="C131" i="31"/>
  <c r="C132" i="31"/>
  <c r="C133" i="31"/>
  <c r="C134" i="31"/>
  <c r="C135" i="31"/>
  <c r="C136" i="31"/>
  <c r="C137" i="31"/>
  <c r="C138" i="31"/>
  <c r="C139" i="31"/>
  <c r="C140" i="31"/>
  <c r="C141" i="31"/>
  <c r="C142" i="31"/>
  <c r="C143" i="31"/>
  <c r="C144" i="31"/>
  <c r="C145" i="31"/>
  <c r="C146" i="31"/>
  <c r="C147" i="31"/>
  <c r="C148" i="31"/>
  <c r="C149" i="31"/>
  <c r="C150" i="31"/>
  <c r="C151" i="31"/>
  <c r="C152" i="31"/>
  <c r="C153" i="31"/>
  <c r="C154" i="31"/>
  <c r="C155" i="31"/>
  <c r="C156" i="31"/>
  <c r="C157" i="31"/>
  <c r="C158" i="31"/>
  <c r="C159" i="31"/>
  <c r="C160" i="31"/>
  <c r="C161" i="31"/>
  <c r="C162" i="31"/>
  <c r="C163" i="31"/>
  <c r="C164" i="31"/>
  <c r="C165" i="31"/>
  <c r="C166" i="31"/>
  <c r="C167" i="31"/>
  <c r="C168" i="31"/>
  <c r="C169" i="31"/>
  <c r="C170" i="31"/>
  <c r="C171" i="31"/>
  <c r="C172" i="31"/>
  <c r="C173" i="31"/>
  <c r="C174" i="31"/>
  <c r="C175" i="31"/>
  <c r="C176" i="31"/>
  <c r="C177" i="31"/>
  <c r="C178" i="31"/>
  <c r="C179" i="31"/>
  <c r="C180" i="31"/>
  <c r="C181" i="31"/>
  <c r="C182" i="31"/>
  <c r="C183" i="31"/>
  <c r="C184" i="31"/>
  <c r="C185" i="31"/>
  <c r="C19" i="31"/>
  <c r="B19" i="31"/>
  <c r="B20" i="31"/>
  <c r="B21" i="31"/>
  <c r="B22" i="31"/>
  <c r="B23" i="31"/>
  <c r="B24" i="31"/>
  <c r="B25" i="31"/>
  <c r="B26" i="31"/>
  <c r="B27" i="31"/>
  <c r="B28" i="31"/>
  <c r="B29" i="31"/>
  <c r="B30" i="31"/>
  <c r="B31" i="31"/>
  <c r="B32" i="31"/>
  <c r="B33" i="31"/>
  <c r="B34" i="31"/>
  <c r="B35" i="31"/>
  <c r="B36" i="31"/>
  <c r="B37" i="31"/>
  <c r="B38" i="31"/>
  <c r="B39" i="31"/>
  <c r="B40" i="31"/>
  <c r="B41" i="31"/>
  <c r="B42" i="31"/>
  <c r="B43" i="31"/>
  <c r="B44" i="31"/>
  <c r="B45" i="31"/>
  <c r="B46" i="31"/>
  <c r="B47" i="31"/>
  <c r="B48" i="31"/>
  <c r="B49" i="31"/>
  <c r="B50" i="31"/>
  <c r="B51" i="31"/>
  <c r="B52" i="31"/>
  <c r="B53" i="31"/>
  <c r="B54" i="31"/>
  <c r="B55" i="31"/>
  <c r="B56" i="31"/>
  <c r="B57" i="31"/>
  <c r="B58" i="31"/>
  <c r="B59" i="31"/>
  <c r="B60" i="31"/>
  <c r="B61" i="31"/>
  <c r="B62" i="31"/>
  <c r="B63" i="31"/>
  <c r="B64" i="31"/>
  <c r="B65" i="31"/>
  <c r="B66" i="31"/>
  <c r="B67" i="31"/>
  <c r="B68" i="31"/>
  <c r="B69" i="31"/>
  <c r="B70" i="31"/>
  <c r="B71" i="31"/>
  <c r="B72" i="31"/>
  <c r="B73" i="31"/>
  <c r="B74" i="31"/>
  <c r="B75" i="31"/>
  <c r="B76" i="31"/>
  <c r="B77" i="31"/>
  <c r="B78" i="31"/>
  <c r="B79" i="31"/>
  <c r="B80" i="31"/>
  <c r="B81" i="31"/>
  <c r="B82" i="31"/>
  <c r="B83" i="31"/>
  <c r="B84" i="31"/>
  <c r="B85" i="31"/>
  <c r="B86" i="31"/>
  <c r="B87" i="31"/>
  <c r="B88" i="31"/>
  <c r="B89" i="31"/>
  <c r="B90" i="31"/>
  <c r="B91" i="31"/>
  <c r="B92" i="31"/>
  <c r="B93" i="31"/>
  <c r="B94" i="31"/>
  <c r="B95" i="31"/>
  <c r="B96" i="31"/>
  <c r="B97" i="31"/>
  <c r="B98" i="31"/>
  <c r="B99" i="31"/>
  <c r="B100" i="31"/>
  <c r="B101" i="31"/>
  <c r="B102" i="31"/>
  <c r="B103" i="31"/>
  <c r="B104" i="31"/>
  <c r="B105" i="31"/>
  <c r="B106" i="31"/>
  <c r="B107" i="31"/>
  <c r="B108" i="31"/>
  <c r="B109" i="31"/>
  <c r="B110" i="31"/>
  <c r="B111" i="31"/>
  <c r="B112" i="31"/>
  <c r="B113" i="31"/>
  <c r="B114" i="31"/>
  <c r="B115" i="31"/>
  <c r="B116" i="31"/>
  <c r="B117" i="31"/>
  <c r="B118" i="31"/>
  <c r="B119" i="31"/>
  <c r="B120" i="31"/>
  <c r="B121" i="31"/>
  <c r="B122" i="31"/>
  <c r="B123" i="31"/>
  <c r="B124" i="31"/>
  <c r="B125" i="31"/>
  <c r="B126" i="31"/>
  <c r="B127" i="31"/>
  <c r="B128" i="31"/>
  <c r="B129" i="31"/>
  <c r="B130" i="31"/>
  <c r="B131" i="31"/>
  <c r="B132" i="31"/>
  <c r="B133" i="31"/>
  <c r="B134" i="31"/>
  <c r="B135" i="31"/>
  <c r="B136" i="31"/>
  <c r="B137" i="31"/>
  <c r="B138" i="31"/>
  <c r="B139" i="31"/>
  <c r="B140" i="31"/>
  <c r="B141" i="31"/>
  <c r="B142" i="31"/>
  <c r="B143" i="31"/>
  <c r="B144" i="31"/>
  <c r="B145" i="31"/>
  <c r="B146" i="31"/>
  <c r="B147" i="31"/>
  <c r="B148" i="31"/>
  <c r="B149" i="31"/>
  <c r="B150" i="31"/>
  <c r="B151" i="31"/>
  <c r="B152" i="31"/>
  <c r="B153" i="31"/>
  <c r="B154" i="31"/>
  <c r="B155" i="31"/>
  <c r="B156" i="31"/>
  <c r="B157" i="31"/>
  <c r="B158" i="31"/>
  <c r="B159" i="31"/>
  <c r="B160" i="31"/>
  <c r="B161" i="31"/>
  <c r="B162" i="31"/>
  <c r="B163" i="31"/>
  <c r="B164" i="31"/>
  <c r="B165" i="31"/>
  <c r="B166" i="31"/>
  <c r="B167" i="31"/>
  <c r="B168" i="31"/>
  <c r="B169" i="31"/>
  <c r="B170" i="31"/>
  <c r="B171" i="31"/>
  <c r="B172" i="31"/>
  <c r="B173" i="31"/>
  <c r="B174" i="31"/>
  <c r="B175" i="31"/>
  <c r="B176" i="31"/>
  <c r="B177" i="31"/>
  <c r="B178" i="31"/>
  <c r="B179" i="31"/>
  <c r="B180" i="31"/>
  <c r="B181" i="31"/>
  <c r="B182" i="31"/>
  <c r="B183" i="31"/>
  <c r="B184" i="31"/>
  <c r="B185" i="31"/>
  <c r="B18" i="31"/>
  <c r="D19" i="31" s="1"/>
  <c r="P3" i="2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114" i="2"/>
  <c r="P115" i="2"/>
  <c r="P116" i="2"/>
  <c r="P117" i="2"/>
  <c r="P118" i="2"/>
  <c r="P119" i="2"/>
  <c r="P120" i="2"/>
  <c r="P121" i="2"/>
  <c r="P122" i="2"/>
  <c r="P123" i="2"/>
  <c r="P124" i="2"/>
  <c r="P125" i="2"/>
  <c r="P126" i="2"/>
  <c r="P127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4" i="2"/>
  <c r="P145" i="2"/>
  <c r="P146" i="2"/>
  <c r="P147" i="2"/>
  <c r="P148" i="2"/>
  <c r="P149" i="2"/>
  <c r="P150" i="2"/>
  <c r="P151" i="2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4" i="2"/>
  <c r="P175" i="2"/>
  <c r="P176" i="2"/>
  <c r="P177" i="2"/>
  <c r="P178" i="2"/>
  <c r="P179" i="2"/>
  <c r="P180" i="2"/>
  <c r="P181" i="2"/>
  <c r="P182" i="2"/>
  <c r="P183" i="2"/>
  <c r="P184" i="2"/>
  <c r="P185" i="2"/>
  <c r="P2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37" i="2"/>
  <c r="M136" i="2" s="1"/>
  <c r="M135" i="2" s="1"/>
  <c r="M134" i="2" s="1"/>
  <c r="M133" i="2" s="1"/>
  <c r="M132" i="2" s="1"/>
  <c r="M131" i="2" s="1"/>
  <c r="M130" i="2" s="1"/>
  <c r="M129" i="2" s="1"/>
  <c r="M128" i="2" s="1"/>
  <c r="M127" i="2" s="1"/>
  <c r="M126" i="2" s="1"/>
  <c r="M125" i="2" s="1"/>
  <c r="M124" i="2" s="1"/>
  <c r="M123" i="2" s="1"/>
  <c r="M122" i="2" s="1"/>
  <c r="M121" i="2" s="1"/>
  <c r="M120" i="2" s="1"/>
  <c r="M119" i="2" s="1"/>
  <c r="M118" i="2" s="1"/>
  <c r="M117" i="2" s="1"/>
  <c r="M116" i="2" s="1"/>
  <c r="M115" i="2" s="1"/>
  <c r="M114" i="2" s="1"/>
  <c r="M113" i="2" s="1"/>
  <c r="M112" i="2" s="1"/>
  <c r="M111" i="2" s="1"/>
  <c r="M110" i="2" s="1"/>
  <c r="M109" i="2" s="1"/>
  <c r="M108" i="2" s="1"/>
  <c r="M107" i="2" s="1"/>
  <c r="M106" i="2" s="1"/>
  <c r="M105" i="2" s="1"/>
  <c r="M104" i="2" s="1"/>
  <c r="M103" i="2" s="1"/>
  <c r="M102" i="2" s="1"/>
  <c r="M101" i="2" s="1"/>
  <c r="M100" i="2" s="1"/>
  <c r="M99" i="2" s="1"/>
  <c r="M98" i="2" s="1"/>
  <c r="M97" i="2" s="1"/>
  <c r="M96" i="2" s="1"/>
  <c r="M95" i="2" s="1"/>
  <c r="M94" i="2" s="1"/>
  <c r="M93" i="2" s="1"/>
  <c r="M92" i="2" s="1"/>
  <c r="M91" i="2" s="1"/>
  <c r="M90" i="2" s="1"/>
  <c r="M89" i="2" s="1"/>
  <c r="M88" i="2" s="1"/>
  <c r="M87" i="2" s="1"/>
  <c r="M86" i="2" s="1"/>
  <c r="M85" i="2" s="1"/>
  <c r="M84" i="2" s="1"/>
  <c r="M83" i="2" s="1"/>
  <c r="M82" i="2" s="1"/>
  <c r="M81" i="2" s="1"/>
  <c r="M80" i="2" s="1"/>
  <c r="M79" i="2" s="1"/>
  <c r="M78" i="2" s="1"/>
  <c r="M77" i="2" s="1"/>
  <c r="M76" i="2" s="1"/>
  <c r="M75" i="2" s="1"/>
  <c r="M74" i="2" s="1"/>
  <c r="M73" i="2" s="1"/>
  <c r="M72" i="2" s="1"/>
  <c r="M71" i="2" s="1"/>
  <c r="M70" i="2" s="1"/>
  <c r="M69" i="2" s="1"/>
  <c r="M68" i="2" s="1"/>
  <c r="M67" i="2" s="1"/>
  <c r="M66" i="2" s="1"/>
  <c r="M65" i="2" s="1"/>
  <c r="M64" i="2" s="1"/>
  <c r="M63" i="2" s="1"/>
  <c r="M62" i="2" s="1"/>
  <c r="M61" i="2" s="1"/>
  <c r="M60" i="2" s="1"/>
  <c r="M59" i="2" s="1"/>
  <c r="M58" i="2" s="1"/>
  <c r="M57" i="2" s="1"/>
  <c r="M56" i="2" s="1"/>
  <c r="M55" i="2" s="1"/>
  <c r="M54" i="2" s="1"/>
  <c r="M53" i="2" s="1"/>
  <c r="M52" i="2" s="1"/>
  <c r="M51" i="2" s="1"/>
  <c r="M50" i="2" s="1"/>
  <c r="M49" i="2" s="1"/>
  <c r="M48" i="2" s="1"/>
  <c r="M47" i="2" s="1"/>
  <c r="M46" i="2" s="1"/>
  <c r="M45" i="2" s="1"/>
  <c r="M44" i="2" s="1"/>
  <c r="M43" i="2" s="1"/>
  <c r="M42" i="2" s="1"/>
  <c r="M41" i="2" s="1"/>
  <c r="M40" i="2" s="1"/>
  <c r="M39" i="2" s="1"/>
  <c r="M38" i="2" s="1"/>
  <c r="M37" i="2" s="1"/>
  <c r="M36" i="2" s="1"/>
  <c r="M35" i="2" s="1"/>
  <c r="M34" i="2" s="1"/>
  <c r="M33" i="2" s="1"/>
  <c r="M32" i="2" s="1"/>
  <c r="M31" i="2" s="1"/>
  <c r="M30" i="2" s="1"/>
  <c r="M29" i="2" s="1"/>
  <c r="M28" i="2" s="1"/>
  <c r="M27" i="2" s="1"/>
  <c r="M26" i="2" s="1"/>
  <c r="M25" i="2" s="1"/>
  <c r="M24" i="2" s="1"/>
  <c r="M23" i="2" s="1"/>
  <c r="M22" i="2" s="1"/>
  <c r="M21" i="2" s="1"/>
  <c r="M20" i="2" s="1"/>
  <c r="M19" i="2" s="1"/>
  <c r="M18" i="2" s="1"/>
  <c r="M17" i="2" s="1"/>
  <c r="M16" i="2" s="1"/>
  <c r="M15" i="2" s="1"/>
  <c r="M14" i="2" s="1"/>
  <c r="M13" i="2" s="1"/>
  <c r="M12" i="2" s="1"/>
  <c r="M11" i="2" s="1"/>
  <c r="M10" i="2" s="1"/>
  <c r="M9" i="2" s="1"/>
  <c r="M8" i="2" s="1"/>
  <c r="M7" i="2" s="1"/>
  <c r="M6" i="2" s="1"/>
  <c r="M5" i="2" s="1"/>
  <c r="M4" i="2" s="1"/>
  <c r="M3" i="2" s="1"/>
  <c r="M2" i="2" s="1"/>
  <c r="I51" i="31" l="1"/>
  <c r="I52" i="31" s="1"/>
  <c r="I53" i="31" s="1"/>
  <c r="I54" i="31" s="1"/>
  <c r="I55" i="31" s="1"/>
  <c r="I56" i="31" s="1"/>
  <c r="I57" i="31" s="1"/>
  <c r="I58" i="31" s="1"/>
  <c r="I59" i="31" s="1"/>
  <c r="E58" i="2"/>
  <c r="E57" i="2"/>
  <c r="E56" i="2"/>
  <c r="E55" i="2"/>
  <c r="E54" i="2"/>
  <c r="E53" i="2"/>
  <c r="E52" i="2"/>
  <c r="E51" i="2"/>
  <c r="I19" i="2"/>
  <c r="D20" i="31"/>
  <c r="O143" i="2"/>
  <c r="O3" i="2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77" i="2"/>
  <c r="O78" i="2"/>
  <c r="O79" i="2"/>
  <c r="O80" i="2"/>
  <c r="O81" i="2"/>
  <c r="O82" i="2"/>
  <c r="O83" i="2"/>
  <c r="O84" i="2"/>
  <c r="O85" i="2"/>
  <c r="O86" i="2"/>
  <c r="O87" i="2"/>
  <c r="O88" i="2"/>
  <c r="O89" i="2"/>
  <c r="O90" i="2"/>
  <c r="O91" i="2"/>
  <c r="O92" i="2"/>
  <c r="O93" i="2"/>
  <c r="O94" i="2"/>
  <c r="O95" i="2"/>
  <c r="O96" i="2"/>
  <c r="O97" i="2"/>
  <c r="O98" i="2"/>
  <c r="O99" i="2"/>
  <c r="O100" i="2"/>
  <c r="O101" i="2"/>
  <c r="O102" i="2"/>
  <c r="O103" i="2"/>
  <c r="O104" i="2"/>
  <c r="O105" i="2"/>
  <c r="O106" i="2"/>
  <c r="O107" i="2"/>
  <c r="O108" i="2"/>
  <c r="O109" i="2"/>
  <c r="O110" i="2"/>
  <c r="O111" i="2"/>
  <c r="O112" i="2"/>
  <c r="O113" i="2"/>
  <c r="O114" i="2"/>
  <c r="O115" i="2"/>
  <c r="O116" i="2"/>
  <c r="O117" i="2"/>
  <c r="O118" i="2"/>
  <c r="O119" i="2"/>
  <c r="O120" i="2"/>
  <c r="O121" i="2"/>
  <c r="O122" i="2"/>
  <c r="O123" i="2"/>
  <c r="O124" i="2"/>
  <c r="O125" i="2"/>
  <c r="O126" i="2"/>
  <c r="O127" i="2"/>
  <c r="O128" i="2"/>
  <c r="O129" i="2"/>
  <c r="O130" i="2"/>
  <c r="O131" i="2"/>
  <c r="O132" i="2"/>
  <c r="O133" i="2"/>
  <c r="O134" i="2"/>
  <c r="O135" i="2"/>
  <c r="O136" i="2"/>
  <c r="O137" i="2"/>
  <c r="O138" i="2"/>
  <c r="O139" i="2"/>
  <c r="O140" i="2"/>
  <c r="O141" i="2"/>
  <c r="O142" i="2"/>
  <c r="O144" i="2"/>
  <c r="O145" i="2"/>
  <c r="O146" i="2"/>
  <c r="O147" i="2"/>
  <c r="O148" i="2"/>
  <c r="O149" i="2"/>
  <c r="O150" i="2"/>
  <c r="O151" i="2"/>
  <c r="O152" i="2"/>
  <c r="O153" i="2"/>
  <c r="O154" i="2"/>
  <c r="O155" i="2"/>
  <c r="O156" i="2"/>
  <c r="O157" i="2"/>
  <c r="O158" i="2"/>
  <c r="O159" i="2"/>
  <c r="O160" i="2"/>
  <c r="O161" i="2"/>
  <c r="O162" i="2"/>
  <c r="O163" i="2"/>
  <c r="O164" i="2"/>
  <c r="O165" i="2"/>
  <c r="O166" i="2"/>
  <c r="O167" i="2"/>
  <c r="O168" i="2"/>
  <c r="O169" i="2"/>
  <c r="O170" i="2"/>
  <c r="O171" i="2"/>
  <c r="O172" i="2"/>
  <c r="O173" i="2"/>
  <c r="O174" i="2"/>
  <c r="O175" i="2"/>
  <c r="O176" i="2"/>
  <c r="O177" i="2"/>
  <c r="O178" i="2"/>
  <c r="O179" i="2"/>
  <c r="O180" i="2"/>
  <c r="O181" i="2"/>
  <c r="O182" i="2"/>
  <c r="O183" i="2"/>
  <c r="O184" i="2"/>
  <c r="O185" i="2"/>
  <c r="O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2" i="2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2" i="2"/>
  <c r="G185" i="2"/>
  <c r="D563" i="27"/>
  <c r="I60" i="31" l="1"/>
  <c r="E59" i="2"/>
  <c r="D21" i="31"/>
  <c r="I20" i="2"/>
  <c r="K184" i="2"/>
  <c r="N184" i="2"/>
  <c r="Q184" i="2"/>
  <c r="R184" i="2"/>
  <c r="K185" i="2"/>
  <c r="N185" i="2"/>
  <c r="Q185" i="2"/>
  <c r="R185" i="2"/>
  <c r="G184" i="2"/>
  <c r="C184" i="2"/>
  <c r="F184" i="2"/>
  <c r="C185" i="2"/>
  <c r="F185" i="2"/>
  <c r="B184" i="2"/>
  <c r="B185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4" i="2"/>
  <c r="R175" i="2"/>
  <c r="R176" i="2"/>
  <c r="R177" i="2"/>
  <c r="R178" i="2"/>
  <c r="R179" i="2"/>
  <c r="R180" i="2"/>
  <c r="R181" i="2"/>
  <c r="R182" i="2"/>
  <c r="R183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I61" i="31" l="1"/>
  <c r="E60" i="2"/>
  <c r="I21" i="2"/>
  <c r="D22" i="31"/>
  <c r="D222" i="14"/>
  <c r="C222" i="14"/>
  <c r="D221" i="14"/>
  <c r="C221" i="14"/>
  <c r="B221" i="14"/>
  <c r="D220" i="14"/>
  <c r="C220" i="14"/>
  <c r="B220" i="14"/>
  <c r="D219" i="14"/>
  <c r="C219" i="14"/>
  <c r="B219" i="14"/>
  <c r="D218" i="14"/>
  <c r="C218" i="14"/>
  <c r="B218" i="14"/>
  <c r="D217" i="14"/>
  <c r="C217" i="14"/>
  <c r="B217" i="14"/>
  <c r="D216" i="14"/>
  <c r="C216" i="14"/>
  <c r="B216" i="14"/>
  <c r="D215" i="14"/>
  <c r="C215" i="14"/>
  <c r="B215" i="14"/>
  <c r="D214" i="14"/>
  <c r="C214" i="14"/>
  <c r="B214" i="14"/>
  <c r="D213" i="14"/>
  <c r="C213" i="14"/>
  <c r="B213" i="14"/>
  <c r="D212" i="14"/>
  <c r="C212" i="14"/>
  <c r="B212" i="14"/>
  <c r="D211" i="14"/>
  <c r="C211" i="14"/>
  <c r="B211" i="14"/>
  <c r="D210" i="14"/>
  <c r="C210" i="14"/>
  <c r="B210" i="14"/>
  <c r="D209" i="14"/>
  <c r="C209" i="14"/>
  <c r="B209" i="14"/>
  <c r="D208" i="14"/>
  <c r="C208" i="14"/>
  <c r="B208" i="14"/>
  <c r="D207" i="14"/>
  <c r="C207" i="14"/>
  <c r="B207" i="14"/>
  <c r="D206" i="14"/>
  <c r="C206" i="14"/>
  <c r="B206" i="14"/>
  <c r="D205" i="14"/>
  <c r="C205" i="14"/>
  <c r="B205" i="14"/>
  <c r="D204" i="14"/>
  <c r="C204" i="14"/>
  <c r="B204" i="14"/>
  <c r="D203" i="14"/>
  <c r="C203" i="14"/>
  <c r="B203" i="14"/>
  <c r="D202" i="14"/>
  <c r="C202" i="14"/>
  <c r="B202" i="14"/>
  <c r="D201" i="14"/>
  <c r="C201" i="14"/>
  <c r="B201" i="14"/>
  <c r="D200" i="14"/>
  <c r="C200" i="14"/>
  <c r="B200" i="14"/>
  <c r="D199" i="14"/>
  <c r="C199" i="14"/>
  <c r="B199" i="14"/>
  <c r="D198" i="14"/>
  <c r="C198" i="14"/>
  <c r="B198" i="14"/>
  <c r="D197" i="14"/>
  <c r="C197" i="14"/>
  <c r="B197" i="14"/>
  <c r="D196" i="14"/>
  <c r="C196" i="14"/>
  <c r="B196" i="14"/>
  <c r="D195" i="14"/>
  <c r="C195" i="14"/>
  <c r="B195" i="14"/>
  <c r="D194" i="14"/>
  <c r="C194" i="14"/>
  <c r="B194" i="14"/>
  <c r="D193" i="14"/>
  <c r="C193" i="14"/>
  <c r="B193" i="14"/>
  <c r="D192" i="14"/>
  <c r="C192" i="14"/>
  <c r="B192" i="14"/>
  <c r="D191" i="14"/>
  <c r="C191" i="14"/>
  <c r="B191" i="14"/>
  <c r="D190" i="14"/>
  <c r="C190" i="14"/>
  <c r="B190" i="14"/>
  <c r="D189" i="14"/>
  <c r="C189" i="14"/>
  <c r="B189" i="14"/>
  <c r="D188" i="14"/>
  <c r="C188" i="14"/>
  <c r="B188" i="14"/>
  <c r="D187" i="14"/>
  <c r="C187" i="14"/>
  <c r="B187" i="14"/>
  <c r="D186" i="14"/>
  <c r="C186" i="14"/>
  <c r="B186" i="14"/>
  <c r="D185" i="14"/>
  <c r="C185" i="14"/>
  <c r="B185" i="14"/>
  <c r="D184" i="14"/>
  <c r="C184" i="14"/>
  <c r="B184" i="14"/>
  <c r="D183" i="14"/>
  <c r="C183" i="14"/>
  <c r="B183" i="14"/>
  <c r="D182" i="14"/>
  <c r="C182" i="14"/>
  <c r="B182" i="14"/>
  <c r="D181" i="14"/>
  <c r="C181" i="14"/>
  <c r="B181" i="14"/>
  <c r="D180" i="14"/>
  <c r="C180" i="14"/>
  <c r="B180" i="14"/>
  <c r="D179" i="14"/>
  <c r="C179" i="14"/>
  <c r="B179" i="14"/>
  <c r="D178" i="14"/>
  <c r="C178" i="14"/>
  <c r="B178" i="14"/>
  <c r="D177" i="14"/>
  <c r="C177" i="14"/>
  <c r="B177" i="14"/>
  <c r="D176" i="14"/>
  <c r="C176" i="14"/>
  <c r="B176" i="14"/>
  <c r="D175" i="14"/>
  <c r="C175" i="14"/>
  <c r="B175" i="14"/>
  <c r="D174" i="14"/>
  <c r="C174" i="14"/>
  <c r="B174" i="14"/>
  <c r="D173" i="14"/>
  <c r="C173" i="14"/>
  <c r="B173" i="14"/>
  <c r="D172" i="14"/>
  <c r="C172" i="14"/>
  <c r="B172" i="14"/>
  <c r="D171" i="14"/>
  <c r="C171" i="14"/>
  <c r="B171" i="14"/>
  <c r="D170" i="14"/>
  <c r="C170" i="14"/>
  <c r="B170" i="14"/>
  <c r="D169" i="14"/>
  <c r="C169" i="14"/>
  <c r="B169" i="14"/>
  <c r="D168" i="14"/>
  <c r="C168" i="14"/>
  <c r="B168" i="14"/>
  <c r="D167" i="14"/>
  <c r="C167" i="14"/>
  <c r="B167" i="14"/>
  <c r="D166" i="14"/>
  <c r="C166" i="14"/>
  <c r="B166" i="14"/>
  <c r="D165" i="14"/>
  <c r="C165" i="14"/>
  <c r="B165" i="14"/>
  <c r="D164" i="14"/>
  <c r="C164" i="14"/>
  <c r="B164" i="14"/>
  <c r="D163" i="14"/>
  <c r="C163" i="14"/>
  <c r="B163" i="14"/>
  <c r="D162" i="14"/>
  <c r="C162" i="14"/>
  <c r="B162" i="14"/>
  <c r="D161" i="14"/>
  <c r="C161" i="14"/>
  <c r="B161" i="14"/>
  <c r="D160" i="14"/>
  <c r="C160" i="14"/>
  <c r="B160" i="14"/>
  <c r="D159" i="14"/>
  <c r="C159" i="14"/>
  <c r="B159" i="14"/>
  <c r="D158" i="14"/>
  <c r="C158" i="14"/>
  <c r="B158" i="14"/>
  <c r="D157" i="14"/>
  <c r="C157" i="14"/>
  <c r="B157" i="14"/>
  <c r="D156" i="14"/>
  <c r="C156" i="14"/>
  <c r="B156" i="14"/>
  <c r="D155" i="14"/>
  <c r="C155" i="14"/>
  <c r="B155" i="14"/>
  <c r="D154" i="14"/>
  <c r="C154" i="14"/>
  <c r="B154" i="14"/>
  <c r="D153" i="14"/>
  <c r="C153" i="14"/>
  <c r="B153" i="14"/>
  <c r="D152" i="14"/>
  <c r="C152" i="14"/>
  <c r="B152" i="14"/>
  <c r="D151" i="14"/>
  <c r="C151" i="14"/>
  <c r="B151" i="14"/>
  <c r="D150" i="14"/>
  <c r="C150" i="14"/>
  <c r="B150" i="14"/>
  <c r="D149" i="14"/>
  <c r="C149" i="14"/>
  <c r="B149" i="14"/>
  <c r="D148" i="14"/>
  <c r="C148" i="14"/>
  <c r="B148" i="14"/>
  <c r="D147" i="14"/>
  <c r="C147" i="14"/>
  <c r="B147" i="14"/>
  <c r="D146" i="14"/>
  <c r="C146" i="14"/>
  <c r="B146" i="14"/>
  <c r="D145" i="14"/>
  <c r="C145" i="14"/>
  <c r="B145" i="14"/>
  <c r="D144" i="14"/>
  <c r="C144" i="14"/>
  <c r="B144" i="14"/>
  <c r="D143" i="14"/>
  <c r="C143" i="14"/>
  <c r="B143" i="14"/>
  <c r="D142" i="14"/>
  <c r="C142" i="14"/>
  <c r="B142" i="14"/>
  <c r="D141" i="14"/>
  <c r="C141" i="14"/>
  <c r="B141" i="14"/>
  <c r="D140" i="14"/>
  <c r="C140" i="14"/>
  <c r="B140" i="14"/>
  <c r="D139" i="14"/>
  <c r="C139" i="14"/>
  <c r="B139" i="14"/>
  <c r="D138" i="14"/>
  <c r="C138" i="14"/>
  <c r="B138" i="14"/>
  <c r="D137" i="14"/>
  <c r="C137" i="14"/>
  <c r="B137" i="14"/>
  <c r="D136" i="14"/>
  <c r="C136" i="14"/>
  <c r="B136" i="14"/>
  <c r="D135" i="14"/>
  <c r="C135" i="14"/>
  <c r="B135" i="14"/>
  <c r="D134" i="14"/>
  <c r="C134" i="14"/>
  <c r="B134" i="14"/>
  <c r="D133" i="14"/>
  <c r="C133" i="14"/>
  <c r="B133" i="14"/>
  <c r="D132" i="14"/>
  <c r="C132" i="14"/>
  <c r="B132" i="14"/>
  <c r="D131" i="14"/>
  <c r="C131" i="14"/>
  <c r="B131" i="14"/>
  <c r="D130" i="14"/>
  <c r="C130" i="14"/>
  <c r="B130" i="14"/>
  <c r="D129" i="14"/>
  <c r="C129" i="14"/>
  <c r="B129" i="14"/>
  <c r="D128" i="14"/>
  <c r="C128" i="14"/>
  <c r="B128" i="14"/>
  <c r="D127" i="14"/>
  <c r="C127" i="14"/>
  <c r="B127" i="14"/>
  <c r="D126" i="14"/>
  <c r="C126" i="14"/>
  <c r="B126" i="14"/>
  <c r="D125" i="14"/>
  <c r="C125" i="14"/>
  <c r="B125" i="14"/>
  <c r="D124" i="14"/>
  <c r="C124" i="14"/>
  <c r="B124" i="14"/>
  <c r="D123" i="14"/>
  <c r="C123" i="14"/>
  <c r="B123" i="14"/>
  <c r="D122" i="14"/>
  <c r="C122" i="14"/>
  <c r="B122" i="14"/>
  <c r="D121" i="14"/>
  <c r="C121" i="14"/>
  <c r="B121" i="14"/>
  <c r="D120" i="14"/>
  <c r="C120" i="14"/>
  <c r="B120" i="14"/>
  <c r="D119" i="14"/>
  <c r="C119" i="14"/>
  <c r="B119" i="14"/>
  <c r="D118" i="14"/>
  <c r="C118" i="14"/>
  <c r="B118" i="14"/>
  <c r="D117" i="14"/>
  <c r="C117" i="14"/>
  <c r="B117" i="14"/>
  <c r="D116" i="14"/>
  <c r="C116" i="14"/>
  <c r="B116" i="14"/>
  <c r="D115" i="14"/>
  <c r="C115" i="14"/>
  <c r="B115" i="14"/>
  <c r="D114" i="14"/>
  <c r="C114" i="14"/>
  <c r="B114" i="14"/>
  <c r="D113" i="14"/>
  <c r="C113" i="14"/>
  <c r="B113" i="14"/>
  <c r="D112" i="14"/>
  <c r="C112" i="14"/>
  <c r="B112" i="14"/>
  <c r="D111" i="14"/>
  <c r="C111" i="14"/>
  <c r="B111" i="14"/>
  <c r="D110" i="14"/>
  <c r="C110" i="14"/>
  <c r="B110" i="14"/>
  <c r="D109" i="14"/>
  <c r="C109" i="14"/>
  <c r="B109" i="14"/>
  <c r="D108" i="14"/>
  <c r="C108" i="14"/>
  <c r="B108" i="14"/>
  <c r="D107" i="14"/>
  <c r="C107" i="14"/>
  <c r="B107" i="14"/>
  <c r="D106" i="14"/>
  <c r="C106" i="14"/>
  <c r="B106" i="14"/>
  <c r="D105" i="14"/>
  <c r="C105" i="14"/>
  <c r="B105" i="14"/>
  <c r="D104" i="14"/>
  <c r="C104" i="14"/>
  <c r="B104" i="14"/>
  <c r="D103" i="14"/>
  <c r="C103" i="14"/>
  <c r="B103" i="14"/>
  <c r="D102" i="14"/>
  <c r="C102" i="14"/>
  <c r="B102" i="14"/>
  <c r="D101" i="14"/>
  <c r="C101" i="14"/>
  <c r="B101" i="14"/>
  <c r="D100" i="14"/>
  <c r="C100" i="14"/>
  <c r="B100" i="14"/>
  <c r="D99" i="14"/>
  <c r="C99" i="14"/>
  <c r="B99" i="14"/>
  <c r="D98" i="14"/>
  <c r="C98" i="14"/>
  <c r="B98" i="14"/>
  <c r="D97" i="14"/>
  <c r="C97" i="14"/>
  <c r="B97" i="14"/>
  <c r="D96" i="14"/>
  <c r="C96" i="14"/>
  <c r="B96" i="14"/>
  <c r="D95" i="14"/>
  <c r="C95" i="14"/>
  <c r="B95" i="14"/>
  <c r="D94" i="14"/>
  <c r="C94" i="14"/>
  <c r="B94" i="14"/>
  <c r="D93" i="14"/>
  <c r="C93" i="14"/>
  <c r="B93" i="14"/>
  <c r="D92" i="14"/>
  <c r="C92" i="14"/>
  <c r="B92" i="14"/>
  <c r="D91" i="14"/>
  <c r="C91" i="14"/>
  <c r="B91" i="14"/>
  <c r="D90" i="14"/>
  <c r="C90" i="14"/>
  <c r="B90" i="14"/>
  <c r="D89" i="14"/>
  <c r="C89" i="14"/>
  <c r="B89" i="14"/>
  <c r="D88" i="14"/>
  <c r="C88" i="14"/>
  <c r="B88" i="14"/>
  <c r="D87" i="14"/>
  <c r="C87" i="14"/>
  <c r="B87" i="14"/>
  <c r="D86" i="14"/>
  <c r="C86" i="14"/>
  <c r="B86" i="14"/>
  <c r="D85" i="14"/>
  <c r="C85" i="14"/>
  <c r="B85" i="14"/>
  <c r="D84" i="14"/>
  <c r="C84" i="14"/>
  <c r="B84" i="14"/>
  <c r="D83" i="14"/>
  <c r="C83" i="14"/>
  <c r="B83" i="14"/>
  <c r="D82" i="14"/>
  <c r="C82" i="14"/>
  <c r="B82" i="14"/>
  <c r="D81" i="14"/>
  <c r="C81" i="14"/>
  <c r="B81" i="14"/>
  <c r="D80" i="14"/>
  <c r="C80" i="14"/>
  <c r="B80" i="14"/>
  <c r="D79" i="14"/>
  <c r="C79" i="14"/>
  <c r="B79" i="14"/>
  <c r="D78" i="14"/>
  <c r="C78" i="14"/>
  <c r="B78" i="14"/>
  <c r="D77" i="14"/>
  <c r="C77" i="14"/>
  <c r="B77" i="14"/>
  <c r="D76" i="14"/>
  <c r="C76" i="14"/>
  <c r="B76" i="14"/>
  <c r="D75" i="14"/>
  <c r="C75" i="14"/>
  <c r="B75" i="14"/>
  <c r="D74" i="14"/>
  <c r="C74" i="14"/>
  <c r="B74" i="14"/>
  <c r="D73" i="14"/>
  <c r="C73" i="14"/>
  <c r="B73" i="14"/>
  <c r="D72" i="14"/>
  <c r="C72" i="14"/>
  <c r="B72" i="14"/>
  <c r="D71" i="14"/>
  <c r="C71" i="14"/>
  <c r="B71" i="14"/>
  <c r="D70" i="14"/>
  <c r="C70" i="14"/>
  <c r="B70" i="14"/>
  <c r="D69" i="14"/>
  <c r="C69" i="14"/>
  <c r="B69" i="14"/>
  <c r="D68" i="14"/>
  <c r="C68" i="14"/>
  <c r="B68" i="14"/>
  <c r="D67" i="14"/>
  <c r="C67" i="14"/>
  <c r="B67" i="14"/>
  <c r="D66" i="14"/>
  <c r="C66" i="14"/>
  <c r="B66" i="14"/>
  <c r="D65" i="14"/>
  <c r="C65" i="14"/>
  <c r="B65" i="14"/>
  <c r="D64" i="14"/>
  <c r="C64" i="14"/>
  <c r="B64" i="14"/>
  <c r="D63" i="14"/>
  <c r="C63" i="14"/>
  <c r="B63" i="14"/>
  <c r="D62" i="14"/>
  <c r="C62" i="14"/>
  <c r="B62" i="14"/>
  <c r="D61" i="14"/>
  <c r="C61" i="14"/>
  <c r="B61" i="14"/>
  <c r="D60" i="14"/>
  <c r="C60" i="14"/>
  <c r="B60" i="14"/>
  <c r="D59" i="14"/>
  <c r="C59" i="14"/>
  <c r="B59" i="14"/>
  <c r="D58" i="14"/>
  <c r="C58" i="14"/>
  <c r="B58" i="14"/>
  <c r="D57" i="14"/>
  <c r="C57" i="14"/>
  <c r="B57" i="14"/>
  <c r="D56" i="14"/>
  <c r="C56" i="14"/>
  <c r="B56" i="14"/>
  <c r="D55" i="14"/>
  <c r="C55" i="14"/>
  <c r="B55" i="14"/>
  <c r="D54" i="14"/>
  <c r="C54" i="14"/>
  <c r="B54" i="14"/>
  <c r="D53" i="14"/>
  <c r="C53" i="14"/>
  <c r="B53" i="14"/>
  <c r="D52" i="14"/>
  <c r="C52" i="14"/>
  <c r="B52" i="14"/>
  <c r="D51" i="14"/>
  <c r="C51" i="14"/>
  <c r="B51" i="14"/>
  <c r="D50" i="14"/>
  <c r="C50" i="14"/>
  <c r="B50" i="14"/>
  <c r="D49" i="14"/>
  <c r="C49" i="14"/>
  <c r="B49" i="14"/>
  <c r="D48" i="14"/>
  <c r="C48" i="14"/>
  <c r="B48" i="14"/>
  <c r="D47" i="14"/>
  <c r="C47" i="14"/>
  <c r="B47" i="14"/>
  <c r="D46" i="14"/>
  <c r="C46" i="14"/>
  <c r="B46" i="14"/>
  <c r="D45" i="14"/>
  <c r="C45" i="14"/>
  <c r="B45" i="14"/>
  <c r="D44" i="14"/>
  <c r="C44" i="14"/>
  <c r="B44" i="14"/>
  <c r="D43" i="14"/>
  <c r="C43" i="14"/>
  <c r="B43" i="14"/>
  <c r="D42" i="14"/>
  <c r="C42" i="14"/>
  <c r="B42" i="14"/>
  <c r="D41" i="14"/>
  <c r="C41" i="14"/>
  <c r="B41" i="14"/>
  <c r="D40" i="14"/>
  <c r="C40" i="14"/>
  <c r="B40" i="14"/>
  <c r="D39" i="14"/>
  <c r="C39" i="14"/>
  <c r="B39" i="14"/>
  <c r="D38" i="14"/>
  <c r="C38" i="14"/>
  <c r="B38" i="14"/>
  <c r="D37" i="14"/>
  <c r="C37" i="14"/>
  <c r="B37" i="14"/>
  <c r="D36" i="14"/>
  <c r="C36" i="14"/>
  <c r="B36" i="14"/>
  <c r="D35" i="14"/>
  <c r="C35" i="14"/>
  <c r="B35" i="14"/>
  <c r="D34" i="14"/>
  <c r="C34" i="14"/>
  <c r="B34" i="14"/>
  <c r="D33" i="14"/>
  <c r="C33" i="14"/>
  <c r="B33" i="14"/>
  <c r="D32" i="14"/>
  <c r="C32" i="14"/>
  <c r="B32" i="14"/>
  <c r="D31" i="14"/>
  <c r="C31" i="14"/>
  <c r="B31" i="14"/>
  <c r="D30" i="14"/>
  <c r="C30" i="14"/>
  <c r="B30" i="14"/>
  <c r="D29" i="14"/>
  <c r="C29" i="14"/>
  <c r="B29" i="14"/>
  <c r="D28" i="14"/>
  <c r="C28" i="14"/>
  <c r="B28" i="14"/>
  <c r="D27" i="14"/>
  <c r="C27" i="14"/>
  <c r="B27" i="14"/>
  <c r="D26" i="14"/>
  <c r="C26" i="14"/>
  <c r="B26" i="14"/>
  <c r="D25" i="14"/>
  <c r="C25" i="14"/>
  <c r="B25" i="14"/>
  <c r="D24" i="14"/>
  <c r="C24" i="14"/>
  <c r="B24" i="14"/>
  <c r="D23" i="14"/>
  <c r="C23" i="14"/>
  <c r="B23" i="14"/>
  <c r="D22" i="14"/>
  <c r="C22" i="14"/>
  <c r="B22" i="14"/>
  <c r="D21" i="14"/>
  <c r="C21" i="14"/>
  <c r="B21" i="14"/>
  <c r="D20" i="14"/>
  <c r="C20" i="14"/>
  <c r="B20" i="14"/>
  <c r="D19" i="14"/>
  <c r="C19" i="14"/>
  <c r="B19" i="14"/>
  <c r="D18" i="14"/>
  <c r="C18" i="14"/>
  <c r="B18" i="14"/>
  <c r="D17" i="14"/>
  <c r="C17" i="14"/>
  <c r="B17" i="14"/>
  <c r="D16" i="14"/>
  <c r="C16" i="14"/>
  <c r="B16" i="14"/>
  <c r="D15" i="14"/>
  <c r="C15" i="14"/>
  <c r="B15" i="14"/>
  <c r="D14" i="14"/>
  <c r="C14" i="14"/>
  <c r="B14" i="14"/>
  <c r="D13" i="14"/>
  <c r="C13" i="14"/>
  <c r="B13" i="14"/>
  <c r="D12" i="14"/>
  <c r="C12" i="14"/>
  <c r="B12" i="14"/>
  <c r="D11" i="14"/>
  <c r="C11" i="14"/>
  <c r="B11" i="14"/>
  <c r="D10" i="14"/>
  <c r="C10" i="14"/>
  <c r="B10" i="14"/>
  <c r="D9" i="14"/>
  <c r="C9" i="14"/>
  <c r="B9" i="14"/>
  <c r="D8" i="14"/>
  <c r="C8" i="14"/>
  <c r="B8" i="14"/>
  <c r="D7" i="14"/>
  <c r="C7" i="14"/>
  <c r="B7" i="14"/>
  <c r="D6" i="14"/>
  <c r="C6" i="14"/>
  <c r="B6" i="14"/>
  <c r="D5" i="14"/>
  <c r="C5" i="14"/>
  <c r="B5" i="14"/>
  <c r="D4" i="14"/>
  <c r="C4" i="14"/>
  <c r="B4" i="14"/>
  <c r="D3" i="14"/>
  <c r="C3" i="14"/>
  <c r="B3" i="14"/>
  <c r="D2" i="14"/>
  <c r="C2" i="14"/>
  <c r="B2" i="1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I62" i="31" l="1"/>
  <c r="E61" i="2"/>
  <c r="D23" i="31"/>
  <c r="I22" i="2"/>
  <c r="C7" i="24"/>
  <c r="C8" i="24"/>
  <c r="B4" i="26" s="1"/>
  <c r="S3" i="2" s="1"/>
  <c r="C9" i="24"/>
  <c r="C10" i="24"/>
  <c r="C11" i="24"/>
  <c r="B5" i="26" s="1"/>
  <c r="S4" i="2" s="1"/>
  <c r="C12" i="24"/>
  <c r="C13" i="24"/>
  <c r="C14" i="24"/>
  <c r="B6" i="26" s="1"/>
  <c r="S5" i="2" s="1"/>
  <c r="C15" i="24"/>
  <c r="C16" i="24"/>
  <c r="C17" i="24"/>
  <c r="B7" i="26" s="1"/>
  <c r="S6" i="2" s="1"/>
  <c r="C18" i="24"/>
  <c r="C19" i="24"/>
  <c r="C20" i="24"/>
  <c r="B8" i="26" s="1"/>
  <c r="S7" i="2" s="1"/>
  <c r="C21" i="24"/>
  <c r="C22" i="24"/>
  <c r="C23" i="24"/>
  <c r="B9" i="26" s="1"/>
  <c r="S8" i="2" s="1"/>
  <c r="C24" i="24"/>
  <c r="C25" i="24"/>
  <c r="C26" i="24"/>
  <c r="B10" i="26" s="1"/>
  <c r="S9" i="2" s="1"/>
  <c r="C27" i="24"/>
  <c r="C28" i="24"/>
  <c r="C29" i="24"/>
  <c r="B11" i="26" s="1"/>
  <c r="S10" i="2" s="1"/>
  <c r="C30" i="24"/>
  <c r="C31" i="24"/>
  <c r="C32" i="24"/>
  <c r="B12" i="26" s="1"/>
  <c r="S11" i="2" s="1"/>
  <c r="C33" i="24"/>
  <c r="C34" i="24"/>
  <c r="C35" i="24"/>
  <c r="B13" i="26" s="1"/>
  <c r="S12" i="2" s="1"/>
  <c r="C36" i="24"/>
  <c r="C37" i="24"/>
  <c r="C38" i="24"/>
  <c r="B14" i="26" s="1"/>
  <c r="S13" i="2" s="1"/>
  <c r="C39" i="24"/>
  <c r="C40" i="24"/>
  <c r="C41" i="24"/>
  <c r="B15" i="26" s="1"/>
  <c r="S14" i="2" s="1"/>
  <c r="C42" i="24"/>
  <c r="C43" i="24"/>
  <c r="C44" i="24"/>
  <c r="B16" i="26" s="1"/>
  <c r="S15" i="2" s="1"/>
  <c r="C45" i="24"/>
  <c r="C46" i="24"/>
  <c r="C47" i="24"/>
  <c r="B17" i="26" s="1"/>
  <c r="S16" i="2" s="1"/>
  <c r="C48" i="24"/>
  <c r="C49" i="24"/>
  <c r="C50" i="24"/>
  <c r="B18" i="26" s="1"/>
  <c r="S17" i="2" s="1"/>
  <c r="C51" i="24"/>
  <c r="C52" i="24"/>
  <c r="C53" i="24"/>
  <c r="B19" i="26" s="1"/>
  <c r="S18" i="2" s="1"/>
  <c r="C54" i="24"/>
  <c r="C55" i="24"/>
  <c r="C56" i="24"/>
  <c r="B20" i="26" s="1"/>
  <c r="S19" i="2" s="1"/>
  <c r="C57" i="24"/>
  <c r="C58" i="24"/>
  <c r="C59" i="24"/>
  <c r="B21" i="26" s="1"/>
  <c r="S20" i="2" s="1"/>
  <c r="C60" i="24"/>
  <c r="C61" i="24"/>
  <c r="C62" i="24"/>
  <c r="B22" i="26" s="1"/>
  <c r="S21" i="2" s="1"/>
  <c r="C63" i="24"/>
  <c r="C64" i="24"/>
  <c r="C65" i="24"/>
  <c r="B23" i="26" s="1"/>
  <c r="S22" i="2" s="1"/>
  <c r="C66" i="24"/>
  <c r="C67" i="24"/>
  <c r="C68" i="24"/>
  <c r="B24" i="26" s="1"/>
  <c r="S23" i="2" s="1"/>
  <c r="C69" i="24"/>
  <c r="C70" i="24"/>
  <c r="C71" i="24"/>
  <c r="B25" i="26" s="1"/>
  <c r="S24" i="2" s="1"/>
  <c r="C72" i="24"/>
  <c r="C73" i="24"/>
  <c r="C74" i="24"/>
  <c r="B26" i="26" s="1"/>
  <c r="S25" i="2" s="1"/>
  <c r="C75" i="24"/>
  <c r="C76" i="24"/>
  <c r="C77" i="24"/>
  <c r="B27" i="26" s="1"/>
  <c r="S26" i="2" s="1"/>
  <c r="C78" i="24"/>
  <c r="C79" i="24"/>
  <c r="C80" i="24"/>
  <c r="B28" i="26" s="1"/>
  <c r="S27" i="2" s="1"/>
  <c r="C81" i="24"/>
  <c r="C82" i="24"/>
  <c r="C83" i="24"/>
  <c r="B29" i="26" s="1"/>
  <c r="S28" i="2" s="1"/>
  <c r="C84" i="24"/>
  <c r="C85" i="24"/>
  <c r="C86" i="24"/>
  <c r="B30" i="26" s="1"/>
  <c r="S29" i="2" s="1"/>
  <c r="C87" i="24"/>
  <c r="C88" i="24"/>
  <c r="C89" i="24"/>
  <c r="B31" i="26" s="1"/>
  <c r="S30" i="2" s="1"/>
  <c r="C90" i="24"/>
  <c r="C91" i="24"/>
  <c r="C92" i="24"/>
  <c r="B32" i="26" s="1"/>
  <c r="S31" i="2" s="1"/>
  <c r="C93" i="24"/>
  <c r="C94" i="24"/>
  <c r="C95" i="24"/>
  <c r="B33" i="26" s="1"/>
  <c r="S32" i="2" s="1"/>
  <c r="C96" i="24"/>
  <c r="C97" i="24"/>
  <c r="C98" i="24"/>
  <c r="B34" i="26" s="1"/>
  <c r="S33" i="2" s="1"/>
  <c r="C99" i="24"/>
  <c r="C100" i="24"/>
  <c r="C101" i="24"/>
  <c r="B35" i="26" s="1"/>
  <c r="S34" i="2" s="1"/>
  <c r="C102" i="24"/>
  <c r="C103" i="24"/>
  <c r="C104" i="24"/>
  <c r="B36" i="26" s="1"/>
  <c r="S35" i="2" s="1"/>
  <c r="C105" i="24"/>
  <c r="C106" i="24"/>
  <c r="C107" i="24"/>
  <c r="B37" i="26" s="1"/>
  <c r="S36" i="2" s="1"/>
  <c r="C108" i="24"/>
  <c r="C109" i="24"/>
  <c r="C110" i="24"/>
  <c r="B38" i="26" s="1"/>
  <c r="S37" i="2" s="1"/>
  <c r="C111" i="24"/>
  <c r="C112" i="24"/>
  <c r="C113" i="24"/>
  <c r="B39" i="26" s="1"/>
  <c r="S38" i="2" s="1"/>
  <c r="C114" i="24"/>
  <c r="C115" i="24"/>
  <c r="C116" i="24"/>
  <c r="B40" i="26" s="1"/>
  <c r="S39" i="2" s="1"/>
  <c r="C117" i="24"/>
  <c r="C118" i="24"/>
  <c r="C119" i="24"/>
  <c r="B41" i="26" s="1"/>
  <c r="S40" i="2" s="1"/>
  <c r="C120" i="24"/>
  <c r="C121" i="24"/>
  <c r="C122" i="24"/>
  <c r="B42" i="26" s="1"/>
  <c r="S41" i="2" s="1"/>
  <c r="C123" i="24"/>
  <c r="C124" i="24"/>
  <c r="C125" i="24"/>
  <c r="B43" i="26" s="1"/>
  <c r="S42" i="2" s="1"/>
  <c r="C126" i="24"/>
  <c r="C127" i="24"/>
  <c r="C128" i="24"/>
  <c r="B44" i="26" s="1"/>
  <c r="S43" i="2" s="1"/>
  <c r="C129" i="24"/>
  <c r="C130" i="24"/>
  <c r="C131" i="24"/>
  <c r="B45" i="26" s="1"/>
  <c r="S44" i="2" s="1"/>
  <c r="C132" i="24"/>
  <c r="C133" i="24"/>
  <c r="C134" i="24"/>
  <c r="B46" i="26" s="1"/>
  <c r="S45" i="2" s="1"/>
  <c r="C135" i="24"/>
  <c r="C136" i="24"/>
  <c r="C137" i="24"/>
  <c r="B47" i="26" s="1"/>
  <c r="S46" i="2" s="1"/>
  <c r="C138" i="24"/>
  <c r="C139" i="24"/>
  <c r="C140" i="24"/>
  <c r="B48" i="26" s="1"/>
  <c r="S47" i="2" s="1"/>
  <c r="C141" i="24"/>
  <c r="C142" i="24"/>
  <c r="C143" i="24"/>
  <c r="B49" i="26" s="1"/>
  <c r="S48" i="2" s="1"/>
  <c r="C144" i="24"/>
  <c r="C145" i="24"/>
  <c r="C146" i="24"/>
  <c r="B50" i="26" s="1"/>
  <c r="S49" i="2" s="1"/>
  <c r="C147" i="24"/>
  <c r="C148" i="24"/>
  <c r="C149" i="24"/>
  <c r="B51" i="26" s="1"/>
  <c r="S50" i="2" s="1"/>
  <c r="C150" i="24"/>
  <c r="C151" i="24"/>
  <c r="C152" i="24"/>
  <c r="B52" i="26" s="1"/>
  <c r="S51" i="2" s="1"/>
  <c r="C153" i="24"/>
  <c r="C154" i="24"/>
  <c r="C155" i="24"/>
  <c r="B53" i="26" s="1"/>
  <c r="S52" i="2" s="1"/>
  <c r="C156" i="24"/>
  <c r="C157" i="24"/>
  <c r="C158" i="24"/>
  <c r="B54" i="26" s="1"/>
  <c r="S53" i="2" s="1"/>
  <c r="C159" i="24"/>
  <c r="C160" i="24"/>
  <c r="C161" i="24"/>
  <c r="B55" i="26" s="1"/>
  <c r="S54" i="2" s="1"/>
  <c r="C162" i="24"/>
  <c r="C163" i="24"/>
  <c r="C164" i="24"/>
  <c r="B56" i="26" s="1"/>
  <c r="S55" i="2" s="1"/>
  <c r="C165" i="24"/>
  <c r="C166" i="24"/>
  <c r="C167" i="24"/>
  <c r="B57" i="26" s="1"/>
  <c r="S56" i="2" s="1"/>
  <c r="C168" i="24"/>
  <c r="C169" i="24"/>
  <c r="C170" i="24"/>
  <c r="B58" i="26" s="1"/>
  <c r="S57" i="2" s="1"/>
  <c r="C171" i="24"/>
  <c r="C172" i="24"/>
  <c r="C173" i="24"/>
  <c r="B59" i="26" s="1"/>
  <c r="S58" i="2" s="1"/>
  <c r="C174" i="24"/>
  <c r="C175" i="24"/>
  <c r="C176" i="24"/>
  <c r="B60" i="26" s="1"/>
  <c r="S59" i="2" s="1"/>
  <c r="C177" i="24"/>
  <c r="C178" i="24"/>
  <c r="C179" i="24"/>
  <c r="B61" i="26" s="1"/>
  <c r="S60" i="2" s="1"/>
  <c r="C180" i="24"/>
  <c r="C181" i="24"/>
  <c r="C182" i="24"/>
  <c r="B62" i="26" s="1"/>
  <c r="S61" i="2" s="1"/>
  <c r="C183" i="24"/>
  <c r="C184" i="24"/>
  <c r="C185" i="24"/>
  <c r="B63" i="26" s="1"/>
  <c r="S62" i="2" s="1"/>
  <c r="C186" i="24"/>
  <c r="C187" i="24"/>
  <c r="C188" i="24"/>
  <c r="B64" i="26" s="1"/>
  <c r="S63" i="2" s="1"/>
  <c r="C189" i="24"/>
  <c r="C190" i="24"/>
  <c r="C191" i="24"/>
  <c r="B65" i="26" s="1"/>
  <c r="S64" i="2" s="1"/>
  <c r="C192" i="24"/>
  <c r="C193" i="24"/>
  <c r="C194" i="24"/>
  <c r="B66" i="26" s="1"/>
  <c r="S65" i="2" s="1"/>
  <c r="C195" i="24"/>
  <c r="C196" i="24"/>
  <c r="C197" i="24"/>
  <c r="B67" i="26" s="1"/>
  <c r="S66" i="2" s="1"/>
  <c r="C198" i="24"/>
  <c r="C199" i="24"/>
  <c r="C200" i="24"/>
  <c r="B68" i="26" s="1"/>
  <c r="S67" i="2" s="1"/>
  <c r="C201" i="24"/>
  <c r="C202" i="24"/>
  <c r="C203" i="24"/>
  <c r="B69" i="26" s="1"/>
  <c r="S68" i="2" s="1"/>
  <c r="C204" i="24"/>
  <c r="C205" i="24"/>
  <c r="C206" i="24"/>
  <c r="B70" i="26" s="1"/>
  <c r="S69" i="2" s="1"/>
  <c r="C207" i="24"/>
  <c r="C208" i="24"/>
  <c r="C209" i="24"/>
  <c r="B71" i="26" s="1"/>
  <c r="S70" i="2" s="1"/>
  <c r="C210" i="24"/>
  <c r="C211" i="24"/>
  <c r="C212" i="24"/>
  <c r="B72" i="26" s="1"/>
  <c r="S71" i="2" s="1"/>
  <c r="C213" i="24"/>
  <c r="C214" i="24"/>
  <c r="C215" i="24"/>
  <c r="B73" i="26" s="1"/>
  <c r="S72" i="2" s="1"/>
  <c r="C216" i="24"/>
  <c r="C217" i="24"/>
  <c r="C218" i="24"/>
  <c r="B74" i="26" s="1"/>
  <c r="S73" i="2" s="1"/>
  <c r="C219" i="24"/>
  <c r="C220" i="24"/>
  <c r="C221" i="24"/>
  <c r="B75" i="26" s="1"/>
  <c r="S74" i="2" s="1"/>
  <c r="C222" i="24"/>
  <c r="C223" i="24"/>
  <c r="C224" i="24"/>
  <c r="B76" i="26" s="1"/>
  <c r="S75" i="2" s="1"/>
  <c r="C225" i="24"/>
  <c r="C226" i="24"/>
  <c r="C227" i="24"/>
  <c r="B77" i="26" s="1"/>
  <c r="S76" i="2" s="1"/>
  <c r="C228" i="24"/>
  <c r="C229" i="24"/>
  <c r="C230" i="24"/>
  <c r="B78" i="26" s="1"/>
  <c r="S77" i="2" s="1"/>
  <c r="C231" i="24"/>
  <c r="C232" i="24"/>
  <c r="C233" i="24"/>
  <c r="B79" i="26" s="1"/>
  <c r="S78" i="2" s="1"/>
  <c r="C234" i="24"/>
  <c r="C235" i="24"/>
  <c r="C236" i="24"/>
  <c r="B80" i="26" s="1"/>
  <c r="S79" i="2" s="1"/>
  <c r="C237" i="24"/>
  <c r="C238" i="24"/>
  <c r="C239" i="24"/>
  <c r="B81" i="26" s="1"/>
  <c r="S80" i="2" s="1"/>
  <c r="C240" i="24"/>
  <c r="C241" i="24"/>
  <c r="C242" i="24"/>
  <c r="B82" i="26" s="1"/>
  <c r="S81" i="2" s="1"/>
  <c r="C243" i="24"/>
  <c r="C244" i="24"/>
  <c r="C245" i="24"/>
  <c r="B83" i="26" s="1"/>
  <c r="S82" i="2" s="1"/>
  <c r="C246" i="24"/>
  <c r="C247" i="24"/>
  <c r="C248" i="24"/>
  <c r="B84" i="26" s="1"/>
  <c r="S83" i="2" s="1"/>
  <c r="C249" i="24"/>
  <c r="C250" i="24"/>
  <c r="C251" i="24"/>
  <c r="B85" i="26" s="1"/>
  <c r="S84" i="2" s="1"/>
  <c r="C252" i="24"/>
  <c r="C253" i="24"/>
  <c r="C254" i="24"/>
  <c r="B86" i="26" s="1"/>
  <c r="S85" i="2" s="1"/>
  <c r="C255" i="24"/>
  <c r="C256" i="24"/>
  <c r="C257" i="24"/>
  <c r="B87" i="26" s="1"/>
  <c r="S86" i="2" s="1"/>
  <c r="C258" i="24"/>
  <c r="C259" i="24"/>
  <c r="C260" i="24"/>
  <c r="B88" i="26" s="1"/>
  <c r="S87" i="2" s="1"/>
  <c r="C261" i="24"/>
  <c r="C262" i="24"/>
  <c r="C263" i="24"/>
  <c r="B89" i="26" s="1"/>
  <c r="S88" i="2" s="1"/>
  <c r="C264" i="24"/>
  <c r="C265" i="24"/>
  <c r="C266" i="24"/>
  <c r="B90" i="26" s="1"/>
  <c r="S89" i="2" s="1"/>
  <c r="C267" i="24"/>
  <c r="C268" i="24"/>
  <c r="C269" i="24"/>
  <c r="B91" i="26" s="1"/>
  <c r="S90" i="2" s="1"/>
  <c r="C270" i="24"/>
  <c r="C271" i="24"/>
  <c r="C272" i="24"/>
  <c r="B92" i="26" s="1"/>
  <c r="S91" i="2" s="1"/>
  <c r="C273" i="24"/>
  <c r="C274" i="24"/>
  <c r="C275" i="24"/>
  <c r="B93" i="26" s="1"/>
  <c r="S92" i="2" s="1"/>
  <c r="C276" i="24"/>
  <c r="C277" i="24"/>
  <c r="C278" i="24"/>
  <c r="B94" i="26" s="1"/>
  <c r="S93" i="2" s="1"/>
  <c r="C279" i="24"/>
  <c r="C280" i="24"/>
  <c r="C281" i="24"/>
  <c r="B95" i="26" s="1"/>
  <c r="S94" i="2" s="1"/>
  <c r="C282" i="24"/>
  <c r="C283" i="24"/>
  <c r="C284" i="24"/>
  <c r="B96" i="26" s="1"/>
  <c r="S95" i="2" s="1"/>
  <c r="C285" i="24"/>
  <c r="C286" i="24"/>
  <c r="C287" i="24"/>
  <c r="B97" i="26" s="1"/>
  <c r="S96" i="2" s="1"/>
  <c r="C288" i="24"/>
  <c r="C289" i="24"/>
  <c r="C290" i="24"/>
  <c r="B98" i="26" s="1"/>
  <c r="S97" i="2" s="1"/>
  <c r="C291" i="24"/>
  <c r="C292" i="24"/>
  <c r="C293" i="24"/>
  <c r="B99" i="26" s="1"/>
  <c r="S98" i="2" s="1"/>
  <c r="C294" i="24"/>
  <c r="C295" i="24"/>
  <c r="C296" i="24"/>
  <c r="B100" i="26" s="1"/>
  <c r="S99" i="2" s="1"/>
  <c r="C297" i="24"/>
  <c r="C298" i="24"/>
  <c r="C299" i="24"/>
  <c r="B101" i="26" s="1"/>
  <c r="S100" i="2" s="1"/>
  <c r="C300" i="24"/>
  <c r="C301" i="24"/>
  <c r="C302" i="24"/>
  <c r="B102" i="26" s="1"/>
  <c r="S101" i="2" s="1"/>
  <c r="C303" i="24"/>
  <c r="C304" i="24"/>
  <c r="C305" i="24"/>
  <c r="B103" i="26" s="1"/>
  <c r="S102" i="2" s="1"/>
  <c r="C306" i="24"/>
  <c r="C307" i="24"/>
  <c r="C308" i="24"/>
  <c r="B104" i="26" s="1"/>
  <c r="S103" i="2" s="1"/>
  <c r="C309" i="24"/>
  <c r="C310" i="24"/>
  <c r="C311" i="24"/>
  <c r="B105" i="26" s="1"/>
  <c r="S104" i="2" s="1"/>
  <c r="C312" i="24"/>
  <c r="C313" i="24"/>
  <c r="C314" i="24"/>
  <c r="B106" i="26" s="1"/>
  <c r="S105" i="2" s="1"/>
  <c r="C315" i="24"/>
  <c r="C316" i="24"/>
  <c r="C317" i="24"/>
  <c r="B107" i="26" s="1"/>
  <c r="S106" i="2" s="1"/>
  <c r="C318" i="24"/>
  <c r="C319" i="24"/>
  <c r="C320" i="24"/>
  <c r="B108" i="26" s="1"/>
  <c r="S107" i="2" s="1"/>
  <c r="C321" i="24"/>
  <c r="C322" i="24"/>
  <c r="C323" i="24"/>
  <c r="B109" i="26" s="1"/>
  <c r="S108" i="2" s="1"/>
  <c r="C324" i="24"/>
  <c r="C325" i="24"/>
  <c r="C326" i="24"/>
  <c r="B110" i="26" s="1"/>
  <c r="S109" i="2" s="1"/>
  <c r="C327" i="24"/>
  <c r="C328" i="24"/>
  <c r="C329" i="24"/>
  <c r="B111" i="26" s="1"/>
  <c r="S110" i="2" s="1"/>
  <c r="C330" i="24"/>
  <c r="C331" i="24"/>
  <c r="C332" i="24"/>
  <c r="B112" i="26" s="1"/>
  <c r="S111" i="2" s="1"/>
  <c r="C333" i="24"/>
  <c r="C334" i="24"/>
  <c r="C335" i="24"/>
  <c r="B113" i="26" s="1"/>
  <c r="S112" i="2" s="1"/>
  <c r="C336" i="24"/>
  <c r="C337" i="24"/>
  <c r="C338" i="24"/>
  <c r="B114" i="26" s="1"/>
  <c r="S113" i="2" s="1"/>
  <c r="C339" i="24"/>
  <c r="C340" i="24"/>
  <c r="C341" i="24"/>
  <c r="B115" i="26" s="1"/>
  <c r="S114" i="2" s="1"/>
  <c r="C342" i="24"/>
  <c r="C343" i="24"/>
  <c r="C344" i="24"/>
  <c r="B116" i="26" s="1"/>
  <c r="S115" i="2" s="1"/>
  <c r="C345" i="24"/>
  <c r="C346" i="24"/>
  <c r="C347" i="24"/>
  <c r="B117" i="26" s="1"/>
  <c r="S116" i="2" s="1"/>
  <c r="C348" i="24"/>
  <c r="C349" i="24"/>
  <c r="C350" i="24"/>
  <c r="B118" i="26" s="1"/>
  <c r="S117" i="2" s="1"/>
  <c r="C351" i="24"/>
  <c r="C352" i="24"/>
  <c r="C353" i="24"/>
  <c r="B119" i="26" s="1"/>
  <c r="S118" i="2" s="1"/>
  <c r="C354" i="24"/>
  <c r="C355" i="24"/>
  <c r="C356" i="24"/>
  <c r="B120" i="26" s="1"/>
  <c r="S119" i="2" s="1"/>
  <c r="C357" i="24"/>
  <c r="C358" i="24"/>
  <c r="C359" i="24"/>
  <c r="B121" i="26" s="1"/>
  <c r="S120" i="2" s="1"/>
  <c r="C360" i="24"/>
  <c r="C361" i="24"/>
  <c r="C362" i="24"/>
  <c r="B122" i="26" s="1"/>
  <c r="S121" i="2" s="1"/>
  <c r="C363" i="24"/>
  <c r="C364" i="24"/>
  <c r="C365" i="24"/>
  <c r="B123" i="26" s="1"/>
  <c r="S122" i="2" s="1"/>
  <c r="C366" i="24"/>
  <c r="C367" i="24"/>
  <c r="C368" i="24"/>
  <c r="B124" i="26" s="1"/>
  <c r="S123" i="2" s="1"/>
  <c r="C369" i="24"/>
  <c r="C370" i="24"/>
  <c r="C371" i="24"/>
  <c r="B125" i="26" s="1"/>
  <c r="S124" i="2" s="1"/>
  <c r="C372" i="24"/>
  <c r="C373" i="24"/>
  <c r="C374" i="24"/>
  <c r="B126" i="26" s="1"/>
  <c r="S125" i="2" s="1"/>
  <c r="C375" i="24"/>
  <c r="C376" i="24"/>
  <c r="C377" i="24"/>
  <c r="B127" i="26" s="1"/>
  <c r="S126" i="2" s="1"/>
  <c r="C378" i="24"/>
  <c r="C379" i="24"/>
  <c r="C380" i="24"/>
  <c r="B128" i="26" s="1"/>
  <c r="S127" i="2" s="1"/>
  <c r="C381" i="24"/>
  <c r="C382" i="24"/>
  <c r="C383" i="24"/>
  <c r="B129" i="26" s="1"/>
  <c r="S128" i="2" s="1"/>
  <c r="C384" i="24"/>
  <c r="C385" i="24"/>
  <c r="C386" i="24"/>
  <c r="B130" i="26" s="1"/>
  <c r="S129" i="2" s="1"/>
  <c r="C387" i="24"/>
  <c r="C388" i="24"/>
  <c r="C389" i="24"/>
  <c r="B131" i="26" s="1"/>
  <c r="S130" i="2" s="1"/>
  <c r="C390" i="24"/>
  <c r="C391" i="24"/>
  <c r="C392" i="24"/>
  <c r="B132" i="26" s="1"/>
  <c r="S131" i="2" s="1"/>
  <c r="C393" i="24"/>
  <c r="C394" i="24"/>
  <c r="C395" i="24"/>
  <c r="B133" i="26" s="1"/>
  <c r="S132" i="2" s="1"/>
  <c r="C396" i="24"/>
  <c r="C397" i="24"/>
  <c r="C398" i="24"/>
  <c r="B134" i="26" s="1"/>
  <c r="S133" i="2" s="1"/>
  <c r="C399" i="24"/>
  <c r="C400" i="24"/>
  <c r="C401" i="24"/>
  <c r="B135" i="26" s="1"/>
  <c r="S134" i="2" s="1"/>
  <c r="C402" i="24"/>
  <c r="C403" i="24"/>
  <c r="C404" i="24"/>
  <c r="B136" i="26" s="1"/>
  <c r="S135" i="2" s="1"/>
  <c r="C405" i="24"/>
  <c r="C406" i="24"/>
  <c r="C407" i="24"/>
  <c r="B137" i="26" s="1"/>
  <c r="S136" i="2" s="1"/>
  <c r="C408" i="24"/>
  <c r="C409" i="24"/>
  <c r="C410" i="24"/>
  <c r="B138" i="26" s="1"/>
  <c r="S137" i="2" s="1"/>
  <c r="C411" i="24"/>
  <c r="C412" i="24"/>
  <c r="C413" i="24"/>
  <c r="B139" i="26" s="1"/>
  <c r="S138" i="2" s="1"/>
  <c r="C414" i="24"/>
  <c r="C415" i="24"/>
  <c r="C416" i="24"/>
  <c r="B140" i="26" s="1"/>
  <c r="S139" i="2" s="1"/>
  <c r="C417" i="24"/>
  <c r="C418" i="24"/>
  <c r="C419" i="24"/>
  <c r="B141" i="26" s="1"/>
  <c r="S140" i="2" s="1"/>
  <c r="C420" i="24"/>
  <c r="C421" i="24"/>
  <c r="C422" i="24"/>
  <c r="B142" i="26" s="1"/>
  <c r="S141" i="2" s="1"/>
  <c r="C423" i="24"/>
  <c r="C424" i="24"/>
  <c r="C425" i="24"/>
  <c r="B143" i="26" s="1"/>
  <c r="S142" i="2" s="1"/>
  <c r="C426" i="24"/>
  <c r="C427" i="24"/>
  <c r="C428" i="24"/>
  <c r="B144" i="26" s="1"/>
  <c r="S143" i="2" s="1"/>
  <c r="C429" i="24"/>
  <c r="C430" i="24"/>
  <c r="C431" i="24"/>
  <c r="B145" i="26" s="1"/>
  <c r="S144" i="2" s="1"/>
  <c r="C432" i="24"/>
  <c r="C433" i="24"/>
  <c r="C434" i="24"/>
  <c r="B146" i="26" s="1"/>
  <c r="S145" i="2" s="1"/>
  <c r="C435" i="24"/>
  <c r="C436" i="24"/>
  <c r="C437" i="24"/>
  <c r="B147" i="26" s="1"/>
  <c r="S146" i="2" s="1"/>
  <c r="C438" i="24"/>
  <c r="C439" i="24"/>
  <c r="C440" i="24"/>
  <c r="B148" i="26" s="1"/>
  <c r="S147" i="2" s="1"/>
  <c r="C441" i="24"/>
  <c r="C442" i="24"/>
  <c r="C443" i="24"/>
  <c r="B149" i="26" s="1"/>
  <c r="S148" i="2" s="1"/>
  <c r="C444" i="24"/>
  <c r="C445" i="24"/>
  <c r="C446" i="24"/>
  <c r="B150" i="26" s="1"/>
  <c r="S149" i="2" s="1"/>
  <c r="C447" i="24"/>
  <c r="C448" i="24"/>
  <c r="C449" i="24"/>
  <c r="B151" i="26" s="1"/>
  <c r="S150" i="2" s="1"/>
  <c r="C450" i="24"/>
  <c r="C451" i="24"/>
  <c r="C452" i="24"/>
  <c r="B152" i="26" s="1"/>
  <c r="S151" i="2" s="1"/>
  <c r="C453" i="24"/>
  <c r="C454" i="24"/>
  <c r="C455" i="24"/>
  <c r="B153" i="26" s="1"/>
  <c r="S152" i="2" s="1"/>
  <c r="C456" i="24"/>
  <c r="C457" i="24"/>
  <c r="C458" i="24"/>
  <c r="B154" i="26" s="1"/>
  <c r="S153" i="2" s="1"/>
  <c r="C459" i="24"/>
  <c r="C460" i="24"/>
  <c r="C461" i="24"/>
  <c r="B155" i="26" s="1"/>
  <c r="S154" i="2" s="1"/>
  <c r="C462" i="24"/>
  <c r="C463" i="24"/>
  <c r="C464" i="24"/>
  <c r="B156" i="26" s="1"/>
  <c r="S155" i="2" s="1"/>
  <c r="C465" i="24"/>
  <c r="C466" i="24"/>
  <c r="C467" i="24"/>
  <c r="B157" i="26" s="1"/>
  <c r="S156" i="2" s="1"/>
  <c r="C468" i="24"/>
  <c r="C469" i="24"/>
  <c r="C470" i="24"/>
  <c r="B158" i="26" s="1"/>
  <c r="S157" i="2" s="1"/>
  <c r="C471" i="24"/>
  <c r="C472" i="24"/>
  <c r="C473" i="24"/>
  <c r="B159" i="26" s="1"/>
  <c r="S158" i="2" s="1"/>
  <c r="C474" i="24"/>
  <c r="C475" i="24"/>
  <c r="C476" i="24"/>
  <c r="B160" i="26" s="1"/>
  <c r="S159" i="2" s="1"/>
  <c r="C477" i="24"/>
  <c r="C478" i="24"/>
  <c r="C479" i="24"/>
  <c r="B161" i="26" s="1"/>
  <c r="S160" i="2" s="1"/>
  <c r="C480" i="24"/>
  <c r="C481" i="24"/>
  <c r="C482" i="24"/>
  <c r="B162" i="26" s="1"/>
  <c r="S161" i="2" s="1"/>
  <c r="C483" i="24"/>
  <c r="C484" i="24"/>
  <c r="C485" i="24"/>
  <c r="B163" i="26" s="1"/>
  <c r="S162" i="2" s="1"/>
  <c r="C486" i="24"/>
  <c r="C487" i="24"/>
  <c r="C488" i="24"/>
  <c r="B164" i="26" s="1"/>
  <c r="S163" i="2" s="1"/>
  <c r="C489" i="24"/>
  <c r="C490" i="24"/>
  <c r="C491" i="24"/>
  <c r="B165" i="26" s="1"/>
  <c r="S164" i="2" s="1"/>
  <c r="C492" i="24"/>
  <c r="C493" i="24"/>
  <c r="C494" i="24"/>
  <c r="B166" i="26" s="1"/>
  <c r="S165" i="2" s="1"/>
  <c r="C495" i="24"/>
  <c r="C496" i="24"/>
  <c r="C497" i="24"/>
  <c r="B167" i="26" s="1"/>
  <c r="S166" i="2" s="1"/>
  <c r="C498" i="24"/>
  <c r="C499" i="24"/>
  <c r="C500" i="24"/>
  <c r="B168" i="26" s="1"/>
  <c r="S167" i="2" s="1"/>
  <c r="C501" i="24"/>
  <c r="C502" i="24"/>
  <c r="C503" i="24"/>
  <c r="B169" i="26" s="1"/>
  <c r="S168" i="2" s="1"/>
  <c r="C504" i="24"/>
  <c r="C505" i="24"/>
  <c r="C506" i="24"/>
  <c r="B170" i="26" s="1"/>
  <c r="S169" i="2" s="1"/>
  <c r="C507" i="24"/>
  <c r="C508" i="24"/>
  <c r="C509" i="24"/>
  <c r="B171" i="26" s="1"/>
  <c r="S170" i="2" s="1"/>
  <c r="C510" i="24"/>
  <c r="C511" i="24"/>
  <c r="C512" i="24"/>
  <c r="B172" i="26" s="1"/>
  <c r="S171" i="2" s="1"/>
  <c r="C513" i="24"/>
  <c r="C514" i="24"/>
  <c r="C515" i="24"/>
  <c r="B173" i="26" s="1"/>
  <c r="S172" i="2" s="1"/>
  <c r="C516" i="24"/>
  <c r="C517" i="24"/>
  <c r="C518" i="24"/>
  <c r="B174" i="26" s="1"/>
  <c r="S173" i="2" s="1"/>
  <c r="C519" i="24"/>
  <c r="C520" i="24"/>
  <c r="C521" i="24"/>
  <c r="B175" i="26" s="1"/>
  <c r="S174" i="2" s="1"/>
  <c r="C522" i="24"/>
  <c r="C523" i="24"/>
  <c r="C524" i="24"/>
  <c r="B176" i="26" s="1"/>
  <c r="S175" i="2" s="1"/>
  <c r="C525" i="24"/>
  <c r="C526" i="24"/>
  <c r="C527" i="24"/>
  <c r="B177" i="26" s="1"/>
  <c r="S176" i="2" s="1"/>
  <c r="C528" i="24"/>
  <c r="C529" i="24"/>
  <c r="C530" i="24"/>
  <c r="B178" i="26" s="1"/>
  <c r="S177" i="2" s="1"/>
  <c r="C531" i="24"/>
  <c r="C532" i="24"/>
  <c r="C533" i="24"/>
  <c r="B179" i="26" s="1"/>
  <c r="S178" i="2" s="1"/>
  <c r="C534" i="24"/>
  <c r="C535" i="24"/>
  <c r="C536" i="24"/>
  <c r="B180" i="26" s="1"/>
  <c r="S179" i="2" s="1"/>
  <c r="C537" i="24"/>
  <c r="C538" i="24"/>
  <c r="C539" i="24"/>
  <c r="B181" i="26" s="1"/>
  <c r="S180" i="2" s="1"/>
  <c r="C540" i="24"/>
  <c r="C541" i="24"/>
  <c r="C542" i="24"/>
  <c r="B182" i="26" s="1"/>
  <c r="S181" i="2" s="1"/>
  <c r="C543" i="24"/>
  <c r="C544" i="24"/>
  <c r="C545" i="24"/>
  <c r="B183" i="26" s="1"/>
  <c r="S182" i="2" s="1"/>
  <c r="C546" i="24"/>
  <c r="C547" i="24"/>
  <c r="C548" i="24"/>
  <c r="B184" i="26" s="1"/>
  <c r="S183" i="2" s="1"/>
  <c r="C549" i="24"/>
  <c r="C550" i="24"/>
  <c r="C551" i="24"/>
  <c r="B185" i="26" s="1"/>
  <c r="S184" i="2" s="1"/>
  <c r="C552" i="24"/>
  <c r="C553" i="24"/>
  <c r="C554" i="24"/>
  <c r="B186" i="26" s="1"/>
  <c r="S185" i="2" s="1"/>
  <c r="C555" i="24"/>
  <c r="C556" i="24"/>
  <c r="C557" i="24"/>
  <c r="C558" i="24"/>
  <c r="C559" i="24"/>
  <c r="C560" i="24"/>
  <c r="C561" i="24"/>
  <c r="C562" i="24"/>
  <c r="C563" i="24"/>
  <c r="C564" i="24"/>
  <c r="C565" i="24"/>
  <c r="C566" i="24"/>
  <c r="C567" i="24"/>
  <c r="C568" i="24"/>
  <c r="C569" i="24"/>
  <c r="C570" i="24"/>
  <c r="C571" i="24"/>
  <c r="C572" i="24"/>
  <c r="C573" i="24"/>
  <c r="C574" i="24"/>
  <c r="C575" i="24"/>
  <c r="C576" i="24"/>
  <c r="C577" i="24"/>
  <c r="C578" i="24"/>
  <c r="C579" i="24"/>
  <c r="C580" i="24"/>
  <c r="C581" i="24"/>
  <c r="C582" i="24"/>
  <c r="C583" i="24"/>
  <c r="C584" i="24"/>
  <c r="C585" i="24"/>
  <c r="C586" i="24"/>
  <c r="C587" i="24"/>
  <c r="C588" i="24"/>
  <c r="C589" i="24"/>
  <c r="C590" i="24"/>
  <c r="C591" i="24"/>
  <c r="C592" i="24"/>
  <c r="C593" i="24"/>
  <c r="C594" i="24"/>
  <c r="C595" i="24"/>
  <c r="C596" i="24"/>
  <c r="C597" i="24"/>
  <c r="C598" i="24"/>
  <c r="C599" i="24"/>
  <c r="C600" i="24"/>
  <c r="C601" i="24"/>
  <c r="C602" i="24"/>
  <c r="C603" i="24"/>
  <c r="C604" i="24"/>
  <c r="C605" i="24"/>
  <c r="C606" i="24"/>
  <c r="C607" i="24"/>
  <c r="C608" i="24"/>
  <c r="C609" i="24"/>
  <c r="C610" i="24"/>
  <c r="C611" i="24"/>
  <c r="C612" i="24"/>
  <c r="C613" i="24"/>
  <c r="C614" i="24"/>
  <c r="C6" i="24"/>
  <c r="I63" i="31" l="1"/>
  <c r="E62" i="2"/>
  <c r="D24" i="31"/>
  <c r="I23" i="2"/>
  <c r="B3" i="25"/>
  <c r="B4" i="25"/>
  <c r="B5" i="25"/>
  <c r="B6" i="25"/>
  <c r="B7" i="25"/>
  <c r="B8" i="25"/>
  <c r="B9" i="25"/>
  <c r="B10" i="25"/>
  <c r="B11" i="25"/>
  <c r="B12" i="25"/>
  <c r="B13" i="25"/>
  <c r="B14" i="25"/>
  <c r="B15" i="25"/>
  <c r="B16" i="25"/>
  <c r="B17" i="25"/>
  <c r="B18" i="25"/>
  <c r="B19" i="25"/>
  <c r="B20" i="25"/>
  <c r="B21" i="25"/>
  <c r="B22" i="25"/>
  <c r="B23" i="25"/>
  <c r="B24" i="25"/>
  <c r="B25" i="25"/>
  <c r="B26" i="25"/>
  <c r="B27" i="25"/>
  <c r="B28" i="25"/>
  <c r="B29" i="25"/>
  <c r="B30" i="25"/>
  <c r="B31" i="25"/>
  <c r="B32" i="25"/>
  <c r="B33" i="25"/>
  <c r="B34" i="25"/>
  <c r="B35" i="25"/>
  <c r="B36" i="25"/>
  <c r="B37" i="25"/>
  <c r="B38" i="25"/>
  <c r="B39" i="25"/>
  <c r="B40" i="25"/>
  <c r="B41" i="25"/>
  <c r="B42" i="25"/>
  <c r="B43" i="25"/>
  <c r="B44" i="25"/>
  <c r="B45" i="25"/>
  <c r="B46" i="25"/>
  <c r="B47" i="25"/>
  <c r="B48" i="25"/>
  <c r="B49" i="25"/>
  <c r="B50" i="25"/>
  <c r="B51" i="25"/>
  <c r="B52" i="25"/>
  <c r="B53" i="25"/>
  <c r="B54" i="25"/>
  <c r="B55" i="25"/>
  <c r="B56" i="25"/>
  <c r="B57" i="25"/>
  <c r="B58" i="25"/>
  <c r="B59" i="25"/>
  <c r="B60" i="25"/>
  <c r="B61" i="25"/>
  <c r="B62" i="25"/>
  <c r="B63" i="25"/>
  <c r="B64" i="25"/>
  <c r="B65" i="25"/>
  <c r="B66" i="25"/>
  <c r="B67" i="25"/>
  <c r="B68" i="25"/>
  <c r="B69" i="25"/>
  <c r="B70" i="25"/>
  <c r="B71" i="25"/>
  <c r="B72" i="25"/>
  <c r="B73" i="25"/>
  <c r="B74" i="25"/>
  <c r="B75" i="25"/>
  <c r="B76" i="25"/>
  <c r="B77" i="25"/>
  <c r="B78" i="25"/>
  <c r="B79" i="25"/>
  <c r="B80" i="25"/>
  <c r="B81" i="25"/>
  <c r="B82" i="25"/>
  <c r="B83" i="25"/>
  <c r="B84" i="25"/>
  <c r="B85" i="25"/>
  <c r="B86" i="25"/>
  <c r="B87" i="25"/>
  <c r="B88" i="25"/>
  <c r="B89" i="25"/>
  <c r="B90" i="25"/>
  <c r="B91" i="25"/>
  <c r="B92" i="25"/>
  <c r="B93" i="25"/>
  <c r="B94" i="25"/>
  <c r="B95" i="25"/>
  <c r="B96" i="25"/>
  <c r="B97" i="25"/>
  <c r="B98" i="25"/>
  <c r="B99" i="25"/>
  <c r="B100" i="25"/>
  <c r="B101" i="25"/>
  <c r="B102" i="25"/>
  <c r="B103" i="25"/>
  <c r="B104" i="25"/>
  <c r="B105" i="25"/>
  <c r="B106" i="25"/>
  <c r="B107" i="25"/>
  <c r="B108" i="25"/>
  <c r="B109" i="25"/>
  <c r="B110" i="25"/>
  <c r="B111" i="25"/>
  <c r="B112" i="25"/>
  <c r="B113" i="25"/>
  <c r="B114" i="25"/>
  <c r="B115" i="25"/>
  <c r="B116" i="25"/>
  <c r="B117" i="25"/>
  <c r="B118" i="25"/>
  <c r="B119" i="25"/>
  <c r="B120" i="25"/>
  <c r="B121" i="25"/>
  <c r="B122" i="25"/>
  <c r="B123" i="25"/>
  <c r="B124" i="25"/>
  <c r="B125" i="25"/>
  <c r="B126" i="25"/>
  <c r="B127" i="25"/>
  <c r="B128" i="25"/>
  <c r="B129" i="25"/>
  <c r="B130" i="25"/>
  <c r="B131" i="25"/>
  <c r="B132" i="25"/>
  <c r="B133" i="25"/>
  <c r="B134" i="25"/>
  <c r="B135" i="25"/>
  <c r="B136" i="25"/>
  <c r="B137" i="25"/>
  <c r="B138" i="25"/>
  <c r="B139" i="25"/>
  <c r="B140" i="25"/>
  <c r="B141" i="25"/>
  <c r="B142" i="25"/>
  <c r="B143" i="25"/>
  <c r="B144" i="25"/>
  <c r="B145" i="25"/>
  <c r="B146" i="25"/>
  <c r="B147" i="25"/>
  <c r="B148" i="25"/>
  <c r="B149" i="25"/>
  <c r="B150" i="25"/>
  <c r="B151" i="25"/>
  <c r="B152" i="25"/>
  <c r="B153" i="25"/>
  <c r="B154" i="25"/>
  <c r="B155" i="25"/>
  <c r="B156" i="25"/>
  <c r="B157" i="25"/>
  <c r="B158" i="25"/>
  <c r="B159" i="25"/>
  <c r="B160" i="25"/>
  <c r="B161" i="25"/>
  <c r="B162" i="25"/>
  <c r="B163" i="25"/>
  <c r="B164" i="25"/>
  <c r="B165" i="25"/>
  <c r="B166" i="25"/>
  <c r="B167" i="25"/>
  <c r="B168" i="25"/>
  <c r="B169" i="25"/>
  <c r="B170" i="25"/>
  <c r="B171" i="25"/>
  <c r="B172" i="25"/>
  <c r="B173" i="25"/>
  <c r="B174" i="25"/>
  <c r="B175" i="25"/>
  <c r="B176" i="25"/>
  <c r="B177" i="25"/>
  <c r="B178" i="25"/>
  <c r="B179" i="25"/>
  <c r="B180" i="25"/>
  <c r="B181" i="25"/>
  <c r="B182" i="25"/>
  <c r="B183" i="25"/>
  <c r="B2" i="25"/>
  <c r="I64" i="31" l="1"/>
  <c r="E63" i="2"/>
  <c r="D25" i="31"/>
  <c r="I24" i="2"/>
  <c r="F10" i="2"/>
  <c r="F11" i="2"/>
  <c r="F16" i="2"/>
  <c r="F17" i="2"/>
  <c r="F26" i="2"/>
  <c r="F27" i="2"/>
  <c r="F32" i="2"/>
  <c r="F33" i="2"/>
  <c r="F42" i="2"/>
  <c r="F43" i="2"/>
  <c r="F48" i="2"/>
  <c r="F49" i="2"/>
  <c r="F58" i="2"/>
  <c r="F59" i="2"/>
  <c r="F64" i="2"/>
  <c r="F65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2" i="2"/>
  <c r="F3" i="2"/>
  <c r="F4" i="2"/>
  <c r="F5" i="2"/>
  <c r="F6" i="2"/>
  <c r="F7" i="2"/>
  <c r="F8" i="2"/>
  <c r="F9" i="2"/>
  <c r="F12" i="2"/>
  <c r="F13" i="2"/>
  <c r="F14" i="2"/>
  <c r="F15" i="2"/>
  <c r="F18" i="2"/>
  <c r="F19" i="2"/>
  <c r="F20" i="2"/>
  <c r="F21" i="2"/>
  <c r="F22" i="2"/>
  <c r="F23" i="2"/>
  <c r="F24" i="2"/>
  <c r="F25" i="2"/>
  <c r="F28" i="2"/>
  <c r="F29" i="2"/>
  <c r="F30" i="2"/>
  <c r="F31" i="2"/>
  <c r="F34" i="2"/>
  <c r="F35" i="2"/>
  <c r="F36" i="2"/>
  <c r="F37" i="2"/>
  <c r="F38" i="2"/>
  <c r="F39" i="2"/>
  <c r="F40" i="2"/>
  <c r="F41" i="2"/>
  <c r="F44" i="2"/>
  <c r="F45" i="2"/>
  <c r="F46" i="2"/>
  <c r="F47" i="2"/>
  <c r="F50" i="2"/>
  <c r="F51" i="2"/>
  <c r="F52" i="2"/>
  <c r="F53" i="2"/>
  <c r="F54" i="2"/>
  <c r="F55" i="2"/>
  <c r="F56" i="2"/>
  <c r="F57" i="2"/>
  <c r="F60" i="2"/>
  <c r="F61" i="2"/>
  <c r="F62" i="2"/>
  <c r="F63" i="2"/>
  <c r="F66" i="2"/>
  <c r="F67" i="2"/>
  <c r="F68" i="2"/>
  <c r="F69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2" i="2"/>
  <c r="I65" i="31" l="1"/>
  <c r="E64" i="2"/>
  <c r="D26" i="31"/>
  <c r="I25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2" i="2"/>
  <c r="I66" i="31" l="1"/>
  <c r="E65" i="2"/>
  <c r="D27" i="31"/>
  <c r="I26" i="2"/>
  <c r="K3" i="2"/>
  <c r="K4" i="2"/>
  <c r="K5" i="2"/>
  <c r="K6" i="2"/>
  <c r="K7" i="2"/>
  <c r="K8" i="2"/>
  <c r="K9" i="2"/>
  <c r="K10" i="2"/>
  <c r="K11" i="2"/>
  <c r="K2" i="2"/>
  <c r="I67" i="31" l="1"/>
  <c r="E66" i="2"/>
  <c r="D28" i="31"/>
  <c r="I27" i="2"/>
  <c r="J41" i="2"/>
  <c r="J57" i="2"/>
  <c r="J62" i="2"/>
  <c r="J63" i="2"/>
  <c r="J68" i="2"/>
  <c r="J73" i="2"/>
  <c r="J89" i="2"/>
  <c r="J105" i="2"/>
  <c r="J121" i="2"/>
  <c r="J126" i="2"/>
  <c r="J127" i="2"/>
  <c r="J137" i="2"/>
  <c r="J153" i="2"/>
  <c r="J169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62" i="2"/>
  <c r="B3" i="2"/>
  <c r="B18" i="2"/>
  <c r="B34" i="2"/>
  <c r="B35" i="2"/>
  <c r="B40" i="2"/>
  <c r="B59" i="2"/>
  <c r="B2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6" i="2"/>
  <c r="B37" i="2"/>
  <c r="B38" i="2"/>
  <c r="B39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60" i="2"/>
  <c r="B61" i="2"/>
  <c r="J2" i="2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8" i="2"/>
  <c r="J59" i="2"/>
  <c r="J60" i="2"/>
  <c r="J61" i="2"/>
  <c r="J64" i="2"/>
  <c r="J65" i="2"/>
  <c r="J66" i="2"/>
  <c r="J67" i="2"/>
  <c r="J69" i="2"/>
  <c r="J70" i="2"/>
  <c r="J71" i="2"/>
  <c r="J72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2" i="2"/>
  <c r="J123" i="2"/>
  <c r="J124" i="2"/>
  <c r="J125" i="2"/>
  <c r="J128" i="2"/>
  <c r="J129" i="2"/>
  <c r="J130" i="2"/>
  <c r="J131" i="2"/>
  <c r="J132" i="2"/>
  <c r="J133" i="2"/>
  <c r="J134" i="2"/>
  <c r="J135" i="2"/>
  <c r="J136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70" i="2"/>
  <c r="J171" i="2"/>
  <c r="J172" i="2"/>
  <c r="J173" i="2"/>
  <c r="J174" i="2"/>
  <c r="J175" i="2"/>
  <c r="J176" i="2"/>
  <c r="J177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I68" i="31" l="1"/>
  <c r="E67" i="2"/>
  <c r="D29" i="31"/>
  <c r="I28" i="2"/>
  <c r="I69" i="31" l="1"/>
  <c r="E68" i="2"/>
  <c r="D30" i="31"/>
  <c r="I29" i="2"/>
  <c r="I70" i="31" l="1"/>
  <c r="E69" i="2"/>
  <c r="D31" i="31"/>
  <c r="I30" i="2"/>
  <c r="I71" i="31" l="1"/>
  <c r="E70" i="2"/>
  <c r="D32" i="31"/>
  <c r="I31" i="2"/>
  <c r="I72" i="31" l="1"/>
  <c r="E71" i="2"/>
  <c r="D33" i="31"/>
  <c r="I32" i="2"/>
  <c r="I73" i="31" l="1"/>
  <c r="E72" i="2"/>
  <c r="D34" i="31"/>
  <c r="I33" i="2"/>
  <c r="I74" i="31" l="1"/>
  <c r="E73" i="2"/>
  <c r="D35" i="31"/>
  <c r="I34" i="2"/>
  <c r="I75" i="31" l="1"/>
  <c r="E74" i="2"/>
  <c r="D36" i="31"/>
  <c r="I35" i="2"/>
  <c r="I76" i="31" l="1"/>
  <c r="E75" i="2"/>
  <c r="D37" i="31"/>
  <c r="I36" i="2"/>
  <c r="I77" i="31" l="1"/>
  <c r="E76" i="2"/>
  <c r="D38" i="31"/>
  <c r="I37" i="2"/>
  <c r="I78" i="31" l="1"/>
  <c r="E77" i="2"/>
  <c r="D39" i="31"/>
  <c r="I38" i="2"/>
  <c r="I79" i="31" l="1"/>
  <c r="E78" i="2"/>
  <c r="D40" i="31"/>
  <c r="I39" i="2"/>
  <c r="I80" i="31" l="1"/>
  <c r="E79" i="2"/>
  <c r="D41" i="31"/>
  <c r="I40" i="2"/>
  <c r="I81" i="31" l="1"/>
  <c r="E80" i="2"/>
  <c r="D42" i="31"/>
  <c r="I41" i="2"/>
  <c r="I82" i="31" l="1"/>
  <c r="E81" i="2"/>
  <c r="D43" i="31"/>
  <c r="I42" i="2"/>
  <c r="I83" i="31" l="1"/>
  <c r="E82" i="2"/>
  <c r="D44" i="31"/>
  <c r="I43" i="2"/>
  <c r="I84" i="31" l="1"/>
  <c r="E83" i="2"/>
  <c r="D45" i="31"/>
  <c r="I44" i="2"/>
  <c r="I85" i="31" l="1"/>
  <c r="E84" i="2"/>
  <c r="D46" i="31"/>
  <c r="I45" i="2"/>
  <c r="I86" i="31" l="1"/>
  <c r="E85" i="2"/>
  <c r="D47" i="31"/>
  <c r="I46" i="2"/>
  <c r="I87" i="31" l="1"/>
  <c r="E86" i="2"/>
  <c r="D48" i="31"/>
  <c r="I47" i="2"/>
  <c r="I88" i="31" l="1"/>
  <c r="E87" i="2"/>
  <c r="D49" i="31"/>
  <c r="I48" i="2"/>
  <c r="I89" i="31" l="1"/>
  <c r="E88" i="2"/>
  <c r="D50" i="31"/>
  <c r="I49" i="2"/>
  <c r="I90" i="31" l="1"/>
  <c r="E89" i="2"/>
  <c r="D51" i="31"/>
  <c r="I50" i="2"/>
  <c r="I91" i="31" l="1"/>
  <c r="E90" i="2"/>
  <c r="D52" i="31"/>
  <c r="I51" i="2"/>
  <c r="I92" i="31" l="1"/>
  <c r="E91" i="2"/>
  <c r="D53" i="31"/>
  <c r="I52" i="2"/>
  <c r="I93" i="31" l="1"/>
  <c r="E92" i="2"/>
  <c r="D54" i="31"/>
  <c r="I53" i="2"/>
  <c r="I94" i="31" l="1"/>
  <c r="E93" i="2"/>
  <c r="D55" i="31"/>
  <c r="I54" i="2"/>
  <c r="I95" i="31" l="1"/>
  <c r="E94" i="2"/>
  <c r="D56" i="31"/>
  <c r="I55" i="2"/>
  <c r="I96" i="31" l="1"/>
  <c r="E95" i="2"/>
  <c r="D57" i="31"/>
  <c r="I56" i="2"/>
  <c r="I97" i="31" l="1"/>
  <c r="E96" i="2"/>
  <c r="D58" i="31"/>
  <c r="I57" i="2"/>
  <c r="I98" i="31" l="1"/>
  <c r="E97" i="2"/>
  <c r="D59" i="31"/>
  <c r="I58" i="2"/>
  <c r="I99" i="31" l="1"/>
  <c r="E98" i="2"/>
  <c r="D60" i="31"/>
  <c r="I59" i="2"/>
  <c r="I100" i="31" l="1"/>
  <c r="E99" i="2"/>
  <c r="D61" i="31"/>
  <c r="I60" i="2"/>
  <c r="I101" i="31" l="1"/>
  <c r="E100" i="2"/>
  <c r="D62" i="31"/>
  <c r="I61" i="2"/>
  <c r="I102" i="31" l="1"/>
  <c r="E101" i="2"/>
  <c r="D63" i="31"/>
  <c r="I62" i="2"/>
  <c r="I103" i="31" l="1"/>
  <c r="E102" i="2"/>
  <c r="D64" i="31"/>
  <c r="I63" i="2"/>
  <c r="I104" i="31" l="1"/>
  <c r="E103" i="2"/>
  <c r="D65" i="31"/>
  <c r="I64" i="2"/>
  <c r="I105" i="31" l="1"/>
  <c r="E104" i="2"/>
  <c r="D66" i="31"/>
  <c r="I65" i="2"/>
  <c r="I106" i="31" l="1"/>
  <c r="E105" i="2"/>
  <c r="D67" i="31"/>
  <c r="I66" i="2"/>
  <c r="I107" i="31" l="1"/>
  <c r="E106" i="2"/>
  <c r="D68" i="31"/>
  <c r="I67" i="2"/>
  <c r="I108" i="31" l="1"/>
  <c r="E107" i="2"/>
  <c r="D69" i="31"/>
  <c r="I68" i="2"/>
  <c r="I109" i="31" l="1"/>
  <c r="E108" i="2"/>
  <c r="D70" i="31"/>
  <c r="I69" i="2"/>
  <c r="I110" i="31" l="1"/>
  <c r="E109" i="2"/>
  <c r="D71" i="31"/>
  <c r="I70" i="2"/>
  <c r="I111" i="31" l="1"/>
  <c r="E110" i="2"/>
  <c r="D72" i="31"/>
  <c r="I71" i="2"/>
  <c r="I112" i="31" l="1"/>
  <c r="E111" i="2"/>
  <c r="D73" i="31"/>
  <c r="I72" i="2"/>
  <c r="I113" i="31" l="1"/>
  <c r="E112" i="2"/>
  <c r="D74" i="31"/>
  <c r="I73" i="2"/>
  <c r="I114" i="31" l="1"/>
  <c r="E113" i="2"/>
  <c r="D75" i="31"/>
  <c r="I74" i="2"/>
  <c r="I115" i="31" l="1"/>
  <c r="E114" i="2"/>
  <c r="D76" i="31"/>
  <c r="I75" i="2"/>
  <c r="I116" i="31" l="1"/>
  <c r="E115" i="2"/>
  <c r="D77" i="31"/>
  <c r="I76" i="2"/>
  <c r="I117" i="31" l="1"/>
  <c r="E116" i="2"/>
  <c r="D78" i="31"/>
  <c r="I77" i="2"/>
  <c r="I118" i="31" l="1"/>
  <c r="E117" i="2"/>
  <c r="D79" i="31"/>
  <c r="I78" i="2"/>
  <c r="I119" i="31" l="1"/>
  <c r="E118" i="2"/>
  <c r="D80" i="31"/>
  <c r="I79" i="2"/>
  <c r="I120" i="31" l="1"/>
  <c r="E119" i="2"/>
  <c r="D81" i="31"/>
  <c r="I80" i="2"/>
  <c r="I121" i="31" l="1"/>
  <c r="E120" i="2"/>
  <c r="D82" i="31"/>
  <c r="I81" i="2"/>
  <c r="I122" i="31" l="1"/>
  <c r="E121" i="2"/>
  <c r="D83" i="31"/>
  <c r="I82" i="2"/>
  <c r="I123" i="31" l="1"/>
  <c r="E122" i="2"/>
  <c r="D84" i="31"/>
  <c r="I83" i="2"/>
  <c r="I124" i="31" l="1"/>
  <c r="E123" i="2"/>
  <c r="D85" i="31"/>
  <c r="I84" i="2"/>
  <c r="I125" i="31" l="1"/>
  <c r="E124" i="2"/>
  <c r="D86" i="31"/>
  <c r="I85" i="2"/>
  <c r="I126" i="31" l="1"/>
  <c r="E125" i="2"/>
  <c r="D87" i="31"/>
  <c r="I86" i="2"/>
  <c r="I127" i="31" l="1"/>
  <c r="E126" i="2"/>
  <c r="D88" i="31"/>
  <c r="I87" i="2"/>
  <c r="I128" i="31" l="1"/>
  <c r="E127" i="2"/>
  <c r="D89" i="31"/>
  <c r="I88" i="2"/>
  <c r="I129" i="31" l="1"/>
  <c r="E128" i="2"/>
  <c r="D90" i="31"/>
  <c r="I89" i="2"/>
  <c r="I130" i="31" l="1"/>
  <c r="E129" i="2"/>
  <c r="D91" i="31"/>
  <c r="I90" i="2"/>
  <c r="I131" i="31" l="1"/>
  <c r="E130" i="2"/>
  <c r="D92" i="31"/>
  <c r="I91" i="2"/>
  <c r="I132" i="31" l="1"/>
  <c r="E131" i="2"/>
  <c r="D93" i="31"/>
  <c r="I92" i="2"/>
  <c r="I133" i="31" l="1"/>
  <c r="E132" i="2"/>
  <c r="D94" i="31"/>
  <c r="I93" i="2"/>
  <c r="I134" i="31" l="1"/>
  <c r="E133" i="2"/>
  <c r="D95" i="31"/>
  <c r="I94" i="2"/>
  <c r="I135" i="31" l="1"/>
  <c r="E134" i="2"/>
  <c r="D96" i="31"/>
  <c r="I95" i="2"/>
  <c r="I136" i="31" l="1"/>
  <c r="E135" i="2"/>
  <c r="D97" i="31"/>
  <c r="I96" i="2"/>
  <c r="I137" i="31" l="1"/>
  <c r="E136" i="2"/>
  <c r="D98" i="31"/>
  <c r="I97" i="2"/>
  <c r="I138" i="31" l="1"/>
  <c r="E137" i="2"/>
  <c r="D99" i="31"/>
  <c r="I98" i="2"/>
  <c r="I139" i="31" l="1"/>
  <c r="E138" i="2"/>
  <c r="D100" i="31"/>
  <c r="I99" i="2"/>
  <c r="I140" i="31" l="1"/>
  <c r="E139" i="2"/>
  <c r="D101" i="31"/>
  <c r="I100" i="2"/>
  <c r="I141" i="31" l="1"/>
  <c r="E140" i="2"/>
  <c r="D102" i="31"/>
  <c r="I101" i="2"/>
  <c r="I142" i="31" l="1"/>
  <c r="E141" i="2"/>
  <c r="D103" i="31"/>
  <c r="I102" i="2"/>
  <c r="I143" i="31" l="1"/>
  <c r="E142" i="2"/>
  <c r="D104" i="31"/>
  <c r="I103" i="2"/>
  <c r="I144" i="31" l="1"/>
  <c r="E143" i="2"/>
  <c r="D105" i="31"/>
  <c r="I104" i="2"/>
  <c r="I145" i="31" l="1"/>
  <c r="E144" i="2"/>
  <c r="D106" i="31"/>
  <c r="I105" i="2"/>
  <c r="I146" i="31" l="1"/>
  <c r="E145" i="2"/>
  <c r="D107" i="31"/>
  <c r="I106" i="2"/>
  <c r="I147" i="31" l="1"/>
  <c r="E146" i="2"/>
  <c r="D108" i="31"/>
  <c r="I107" i="2"/>
  <c r="I148" i="31" l="1"/>
  <c r="E147" i="2"/>
  <c r="D109" i="31"/>
  <c r="I108" i="2"/>
  <c r="I149" i="31" l="1"/>
  <c r="E148" i="2"/>
  <c r="D110" i="31"/>
  <c r="I109" i="2"/>
  <c r="I150" i="31" l="1"/>
  <c r="E149" i="2"/>
  <c r="D111" i="31"/>
  <c r="I110" i="2"/>
  <c r="I151" i="31" l="1"/>
  <c r="E150" i="2"/>
  <c r="D112" i="31"/>
  <c r="I111" i="2"/>
  <c r="I152" i="31" l="1"/>
  <c r="E151" i="2"/>
  <c r="D113" i="31"/>
  <c r="I112" i="2"/>
  <c r="I153" i="31" l="1"/>
  <c r="E152" i="2"/>
  <c r="D114" i="31"/>
  <c r="I113" i="2"/>
  <c r="I154" i="31" l="1"/>
  <c r="E153" i="2"/>
  <c r="D115" i="31"/>
  <c r="I114" i="2"/>
  <c r="I155" i="31" l="1"/>
  <c r="E154" i="2"/>
  <c r="D116" i="31"/>
  <c r="I115" i="2"/>
  <c r="I156" i="31" l="1"/>
  <c r="E155" i="2"/>
  <c r="D117" i="31"/>
  <c r="I116" i="2"/>
  <c r="I157" i="31" l="1"/>
  <c r="E156" i="2"/>
  <c r="D118" i="31"/>
  <c r="I117" i="2"/>
  <c r="I158" i="31" l="1"/>
  <c r="E157" i="2"/>
  <c r="D119" i="31"/>
  <c r="I118" i="2"/>
  <c r="I159" i="31" l="1"/>
  <c r="E158" i="2"/>
  <c r="D120" i="31"/>
  <c r="I119" i="2"/>
  <c r="I160" i="31" l="1"/>
  <c r="E159" i="2"/>
  <c r="D121" i="31"/>
  <c r="I120" i="2"/>
  <c r="I161" i="31" l="1"/>
  <c r="E160" i="2"/>
  <c r="D122" i="31"/>
  <c r="I121" i="2"/>
  <c r="I162" i="31" l="1"/>
  <c r="E161" i="2"/>
  <c r="D123" i="31"/>
  <c r="I122" i="2"/>
  <c r="I163" i="31" l="1"/>
  <c r="E162" i="2"/>
  <c r="D124" i="31"/>
  <c r="I123" i="2"/>
  <c r="I164" i="31" l="1"/>
  <c r="E163" i="2"/>
  <c r="D125" i="31"/>
  <c r="I124" i="2"/>
  <c r="I165" i="31" l="1"/>
  <c r="E164" i="2"/>
  <c r="D126" i="31"/>
  <c r="I125" i="2"/>
  <c r="I166" i="31" l="1"/>
  <c r="E165" i="2"/>
  <c r="D127" i="31"/>
  <c r="I126" i="2"/>
  <c r="I167" i="31" l="1"/>
  <c r="E166" i="2"/>
  <c r="D128" i="31"/>
  <c r="I127" i="2"/>
  <c r="I168" i="31" l="1"/>
  <c r="E167" i="2"/>
  <c r="D129" i="31"/>
  <c r="I128" i="2"/>
  <c r="I169" i="31" l="1"/>
  <c r="E168" i="2"/>
  <c r="D130" i="31"/>
  <c r="I129" i="2"/>
  <c r="I170" i="31" l="1"/>
  <c r="E169" i="2"/>
  <c r="D131" i="31"/>
  <c r="I130" i="2"/>
  <c r="I171" i="31" l="1"/>
  <c r="E170" i="2"/>
  <c r="D132" i="31"/>
  <c r="I131" i="2"/>
  <c r="I172" i="31" l="1"/>
  <c r="E171" i="2"/>
  <c r="D133" i="31"/>
  <c r="I132" i="2"/>
  <c r="I173" i="31" l="1"/>
  <c r="E172" i="2"/>
  <c r="D134" i="31"/>
  <c r="I133" i="2"/>
  <c r="I174" i="31" l="1"/>
  <c r="E173" i="2"/>
  <c r="D135" i="31"/>
  <c r="I134" i="2"/>
  <c r="I175" i="31" l="1"/>
  <c r="E174" i="2"/>
  <c r="D136" i="31"/>
  <c r="I135" i="2"/>
  <c r="I176" i="31" l="1"/>
  <c r="E175" i="2"/>
  <c r="D137" i="31"/>
  <c r="I136" i="2"/>
  <c r="I177" i="31" l="1"/>
  <c r="E176" i="2"/>
  <c r="D138" i="31"/>
  <c r="I137" i="2"/>
  <c r="I178" i="31" l="1"/>
  <c r="E177" i="2"/>
  <c r="D139" i="31"/>
  <c r="I138" i="2"/>
  <c r="I179" i="31" l="1"/>
  <c r="E178" i="2"/>
  <c r="D140" i="31"/>
  <c r="I139" i="2"/>
  <c r="I180" i="31" l="1"/>
  <c r="E179" i="2"/>
  <c r="D141" i="31"/>
  <c r="I140" i="2"/>
  <c r="I181" i="31" l="1"/>
  <c r="E180" i="2"/>
  <c r="D142" i="31"/>
  <c r="I141" i="2"/>
  <c r="I182" i="31" l="1"/>
  <c r="E181" i="2"/>
  <c r="D143" i="31"/>
  <c r="I142" i="2"/>
  <c r="I183" i="31" l="1"/>
  <c r="E182" i="2"/>
  <c r="D144" i="31"/>
  <c r="I143" i="2"/>
  <c r="I184" i="31" l="1"/>
  <c r="E183" i="2"/>
  <c r="D145" i="31"/>
  <c r="I144" i="2"/>
  <c r="I185" i="31" l="1"/>
  <c r="E184" i="2"/>
  <c r="D146" i="31"/>
  <c r="I145" i="2"/>
  <c r="E185" i="2" l="1"/>
  <c r="I186" i="31"/>
  <c r="D147" i="31"/>
  <c r="I146" i="2"/>
  <c r="D148" i="31" l="1"/>
  <c r="I147" i="2"/>
  <c r="D149" i="31" l="1"/>
  <c r="I148" i="2"/>
  <c r="D150" i="31" l="1"/>
  <c r="I149" i="2"/>
  <c r="D151" i="31" l="1"/>
  <c r="I150" i="2"/>
  <c r="D152" i="31" l="1"/>
  <c r="I151" i="2"/>
  <c r="D153" i="31" l="1"/>
  <c r="I152" i="2"/>
  <c r="D154" i="31" l="1"/>
  <c r="I153" i="2"/>
  <c r="D155" i="31" l="1"/>
  <c r="I154" i="2"/>
  <c r="D156" i="31" l="1"/>
  <c r="I155" i="2"/>
  <c r="D157" i="31" l="1"/>
  <c r="I156" i="2"/>
  <c r="D158" i="31" l="1"/>
  <c r="I157" i="2"/>
  <c r="D159" i="31" l="1"/>
  <c r="I158" i="2"/>
  <c r="D160" i="31" l="1"/>
  <c r="I159" i="2"/>
  <c r="D161" i="31" l="1"/>
  <c r="I160" i="2"/>
  <c r="D162" i="31" l="1"/>
  <c r="I161" i="2"/>
  <c r="D163" i="31" l="1"/>
  <c r="I162" i="2"/>
  <c r="D164" i="31" l="1"/>
  <c r="I163" i="2"/>
  <c r="D165" i="31" l="1"/>
  <c r="I164" i="2"/>
  <c r="D166" i="31" l="1"/>
  <c r="I165" i="2"/>
  <c r="D167" i="31" l="1"/>
  <c r="I166" i="2"/>
  <c r="D168" i="31" l="1"/>
  <c r="I167" i="2"/>
  <c r="D169" i="31" l="1"/>
  <c r="I168" i="2"/>
  <c r="D170" i="31" l="1"/>
  <c r="I169" i="2"/>
  <c r="D171" i="31" l="1"/>
  <c r="I170" i="2"/>
  <c r="D172" i="31" l="1"/>
  <c r="I171" i="2"/>
  <c r="D173" i="31" l="1"/>
  <c r="I172" i="2"/>
  <c r="D174" i="31" l="1"/>
  <c r="I173" i="2"/>
  <c r="D175" i="31" l="1"/>
  <c r="I174" i="2"/>
  <c r="D176" i="31" l="1"/>
  <c r="I175" i="2"/>
  <c r="D177" i="31" l="1"/>
  <c r="I176" i="2"/>
  <c r="D178" i="31" l="1"/>
  <c r="I177" i="2"/>
  <c r="D179" i="31" l="1"/>
  <c r="I178" i="2"/>
  <c r="D180" i="31" l="1"/>
  <c r="I179" i="2"/>
  <c r="D181" i="31" l="1"/>
  <c r="I180" i="2"/>
  <c r="D182" i="31" l="1"/>
  <c r="I181" i="2"/>
  <c r="D183" i="31" l="1"/>
  <c r="I182" i="2"/>
  <c r="D184" i="31" l="1"/>
  <c r="I183" i="2"/>
  <c r="D185" i="31" l="1"/>
  <c r="I184" i="2"/>
  <c r="I185" i="2" l="1"/>
  <c r="D186" i="31"/>
</calcChain>
</file>

<file path=xl/sharedStrings.xml><?xml version="1.0" encoding="utf-8"?>
<sst xmlns="http://schemas.openxmlformats.org/spreadsheetml/2006/main" count="1880" uniqueCount="1396">
  <si>
    <t xml:space="preserve">J025GDPT@EUDATA </t>
  </si>
  <si>
    <t>S111NGPC@G10</t>
  </si>
  <si>
    <t xml:space="preserve">H924NGPC@EMERGE </t>
  </si>
  <si>
    <t>19801 *Q</t>
  </si>
  <si>
    <t>.excel_last</t>
  </si>
  <si>
    <t>19801</t>
  </si>
  <si>
    <t>19802</t>
  </si>
  <si>
    <t>19803</t>
  </si>
  <si>
    <t>19804</t>
  </si>
  <si>
    <t>19811</t>
  </si>
  <si>
    <t>19812</t>
  </si>
  <si>
    <t>19813</t>
  </si>
  <si>
    <t>19814</t>
  </si>
  <si>
    <t>19821</t>
  </si>
  <si>
    <t>19822</t>
  </si>
  <si>
    <t>19823</t>
  </si>
  <si>
    <t>19824</t>
  </si>
  <si>
    <t>19831</t>
  </si>
  <si>
    <t>19832</t>
  </si>
  <si>
    <t>19833</t>
  </si>
  <si>
    <t>19834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</si>
  <si>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</si>
  <si>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</si>
  <si>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</si>
  <si>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</si>
  <si>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</si>
  <si>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</si>
  <si>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</si>
  <si>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</si>
  <si>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</si>
  <si>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</si>
  <si>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</si>
  <si>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</si>
  <si>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</si>
  <si>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</si>
  <si>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</si>
  <si>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</si>
  <si>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</si>
  <si>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</si>
  <si>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</si>
  <si>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</si>
  <si>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</si>
  <si>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</si>
  <si>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</si>
  <si>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</si>
  <si>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</si>
  <si>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</si>
  <si>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</si>
  <si>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</si>
  <si>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</si>
  <si>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</si>
  <si>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</si>
  <si>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</si>
  <si>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</si>
  <si>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</si>
  <si>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</si>
  <si>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</si>
  <si>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</si>
  <si>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</si>
  <si>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</si>
  <si>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</si>
  <si>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</si>
  <si>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</si>
  <si>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</si>
  <si>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</si>
  <si>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</si>
  <si>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</si>
  <si>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</si>
  <si>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</si>
  <si>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</si>
  <si>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</si>
  <si>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</si>
  <si>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</si>
  <si>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</si>
  <si>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</si>
  <si>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</si>
  <si>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</si>
  <si>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</si>
  <si>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</si>
  <si>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</si>
  <si>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</si>
  <si>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</si>
  <si>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</si>
  <si>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</si>
  <si>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</si>
  <si>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</si>
  <si>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</si>
  <si>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</si>
  <si>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</si>
  <si>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</si>
  <si>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</si>
  <si>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</si>
  <si>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</si>
  <si>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</si>
  <si>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</si>
  <si>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</si>
  <si>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</si>
  <si>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</si>
  <si>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</si>
  <si>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</si>
  <si>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</si>
  <si>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</si>
  <si>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</si>
  <si>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</si>
  <si>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</si>
  <si>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</si>
  <si>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</si>
  <si>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</si>
  <si>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</si>
  <si>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</si>
  <si>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</si>
  <si>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</si>
  <si>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</si>
  <si>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</si>
  <si>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</si>
  <si>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</si>
  <si>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</si>
  <si>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</si>
  <si>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</si>
  <si>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</si>
  <si>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</si>
  <si>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</si>
  <si>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</si>
  <si>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</si>
  <si>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</si>
  <si>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</si>
  <si>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</si>
  <si>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</si>
  <si>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</si>
  <si>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</si>
  <si>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</si>
  <si>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</si>
  <si>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</si>
  <si>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</si>
  <si>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</si>
  <si>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</si>
  <si>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</si>
  <si>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</si>
  <si>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</si>
  <si>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</si>
  <si>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</si>
  <si>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</si>
  <si>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</si>
  <si>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</si>
  <si>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</si>
  <si>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</si>
  <si>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</si>
  <si>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</si>
  <si>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</si>
  <si>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</si>
  <si>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</si>
  <si>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</si>
  <si>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</si>
  <si>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</si>
  <si>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</si>
  <si>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</si>
  <si>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</si>
  <si>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</si>
  <si>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</si>
  <si>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</si>
  <si>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</si>
  <si>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</si>
  <si>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</si>
  <si>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</si>
  <si>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</si>
  <si>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</si>
  <si>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</si>
  <si>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</si>
  <si>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</si>
  <si>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</si>
  <si>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</si>
  <si>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</si>
  <si>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</si>
  <si>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</si>
  <si>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20222</t>
  </si>
  <si>
    <t>20223</t>
  </si>
  <si>
    <t>20224</t>
  </si>
  <si>
    <t>20231</t>
  </si>
  <si>
    <t>20232</t>
  </si>
  <si>
    <t>20233</t>
  </si>
  <si>
    <t>20234</t>
  </si>
  <si>
    <t>20241</t>
  </si>
  <si>
    <t>20242</t>
  </si>
  <si>
    <t>20243</t>
  </si>
  <si>
    <t>20244</t>
  </si>
  <si>
    <t>20251</t>
  </si>
  <si>
    <t>20252</t>
  </si>
  <si>
    <t>.GEO2</t>
  </si>
  <si>
    <t>.MAG</t>
  </si>
  <si>
    <t>.FRQ</t>
  </si>
  <si>
    <t>.AGG</t>
  </si>
  <si>
    <t>.LSOURCE</t>
  </si>
  <si>
    <t>.SOURCE</t>
  </si>
  <si>
    <t>.TN</t>
  </si>
  <si>
    <t>.T1</t>
  </si>
  <si>
    <t>.DESC</t>
  </si>
  <si>
    <t>Not Defined</t>
  </si>
  <si>
    <t>6</t>
  </si>
  <si>
    <t>Quarterly</t>
  </si>
  <si>
    <t>Sum</t>
  </si>
  <si>
    <t>Statistical Office of the European Communities</t>
  </si>
  <si>
    <t>Eurostat</t>
  </si>
  <si>
    <t>Q1-1995</t>
  </si>
  <si>
    <t>9</t>
  </si>
  <si>
    <t>Bureau of Economic Analysis</t>
  </si>
  <si>
    <t>BEA</t>
  </si>
  <si>
    <t>Q1-1947</t>
  </si>
  <si>
    <t>U.S.: Gross Domestic Product (SA, Bil.Chn.2017$)</t>
  </si>
  <si>
    <t>China National Bureau of Statistics</t>
  </si>
  <si>
    <t>CNBS</t>
  </si>
  <si>
    <t>Q1-1992</t>
  </si>
  <si>
    <t>China: Gross Domestic Product (SA, Bil.2020.Yuan)</t>
  </si>
  <si>
    <t>EZGDP</t>
  </si>
  <si>
    <t>USGDP</t>
  </si>
  <si>
    <t>CHGDP</t>
  </si>
  <si>
    <t>date</t>
  </si>
  <si>
    <t>EZRR</t>
  </si>
  <si>
    <t>USRR</t>
  </si>
  <si>
    <t>CHRR</t>
  </si>
  <si>
    <t>N924RTAR@EMERGE</t>
  </si>
  <si>
    <t>N111RTAU@G10</t>
  </si>
  <si>
    <t>0</t>
  </si>
  <si>
    <t>Quarterly &lt;- Monthly</t>
  </si>
  <si>
    <t>End of Period</t>
  </si>
  <si>
    <t>European Central Bank</t>
  </si>
  <si>
    <t>ECB</t>
  </si>
  <si>
    <t>Federal Reserve Board</t>
  </si>
  <si>
    <t>FRB</t>
  </si>
  <si>
    <t>Q3-1982 &lt;- Sep-1982</t>
  </si>
  <si>
    <t>U.S.: Federal Open Market Committee: Fed Funds Target Rate: Upper Limit (EOP, %)</t>
  </si>
  <si>
    <t>People's Bank of China</t>
  </si>
  <si>
    <t>PBoC</t>
  </si>
  <si>
    <t>Q4-2013 &lt;- Oct-2013</t>
  </si>
  <si>
    <t>China: Loan Prime Rate: 1 Year (EOP, %)</t>
  </si>
  <si>
    <t>Databank code</t>
  </si>
  <si>
    <t>Units</t>
  </si>
  <si>
    <t>%</t>
  </si>
  <si>
    <t>/oxford-economics/releases/GEM/Sep25_2 25yr</t>
  </si>
  <si>
    <t>Scale</t>
  </si>
  <si>
    <t>NA</t>
  </si>
  <si>
    <t>Measurement</t>
  </si>
  <si>
    <t>Level</t>
  </si>
  <si>
    <t>1980 Q1</t>
  </si>
  <si>
    <t>1980 Q2</t>
  </si>
  <si>
    <t>1980 Q3</t>
  </si>
  <si>
    <t>1980 Q4</t>
  </si>
  <si>
    <t>1981 Q1</t>
  </si>
  <si>
    <t>1981 Q2</t>
  </si>
  <si>
    <t>1981 Q3</t>
  </si>
  <si>
    <t>1981 Q4</t>
  </si>
  <si>
    <t>1982 Q1</t>
  </si>
  <si>
    <t>1982 Q2</t>
  </si>
  <si>
    <t>1982 Q3</t>
  </si>
  <si>
    <t>1982 Q4</t>
  </si>
  <si>
    <t>1983 Q1</t>
  </si>
  <si>
    <t>1983 Q2</t>
  </si>
  <si>
    <t>1983 Q3</t>
  </si>
  <si>
    <t>1983 Q4</t>
  </si>
  <si>
    <t>1984 Q1</t>
  </si>
  <si>
    <t>1984 Q2</t>
  </si>
  <si>
    <t>1984 Q3</t>
  </si>
  <si>
    <t>1984 Q4</t>
  </si>
  <si>
    <t>1985 Q1</t>
  </si>
  <si>
    <t>1985 Q2</t>
  </si>
  <si>
    <t>1985 Q3</t>
  </si>
  <si>
    <t>1985 Q4</t>
  </si>
  <si>
    <t>1986 Q1</t>
  </si>
  <si>
    <t>1986 Q2</t>
  </si>
  <si>
    <t>1986 Q3</t>
  </si>
  <si>
    <t>1986 Q4</t>
  </si>
  <si>
    <t>1987 Q1</t>
  </si>
  <si>
    <t>1987 Q2</t>
  </si>
  <si>
    <t>1987 Q3</t>
  </si>
  <si>
    <t>1987 Q4</t>
  </si>
  <si>
    <t>1988 Q1</t>
  </si>
  <si>
    <t>1988 Q2</t>
  </si>
  <si>
    <t>1988 Q3</t>
  </si>
  <si>
    <t>1988 Q4</t>
  </si>
  <si>
    <t>1989 Q1</t>
  </si>
  <si>
    <t>1989 Q2</t>
  </si>
  <si>
    <t>1989 Q3</t>
  </si>
  <si>
    <t>1989 Q4</t>
  </si>
  <si>
    <t>1990 Q1</t>
  </si>
  <si>
    <t>1990 Q2</t>
  </si>
  <si>
    <t>1990 Q3</t>
  </si>
  <si>
    <t>1990 Q4</t>
  </si>
  <si>
    <t>1991 Q1</t>
  </si>
  <si>
    <t>1991 Q2</t>
  </si>
  <si>
    <t>1991 Q3</t>
  </si>
  <si>
    <t>1991 Q4</t>
  </si>
  <si>
    <t>1992 Q1</t>
  </si>
  <si>
    <t>1992 Q2</t>
  </si>
  <si>
    <t>1992 Q3</t>
  </si>
  <si>
    <t>1992 Q4</t>
  </si>
  <si>
    <t>1993 Q1</t>
  </si>
  <si>
    <t>1993 Q2</t>
  </si>
  <si>
    <t>1993 Q3</t>
  </si>
  <si>
    <t>1993 Q4</t>
  </si>
  <si>
    <t>1994 Q1</t>
  </si>
  <si>
    <t>1994 Q2</t>
  </si>
  <si>
    <t>1994 Q3</t>
  </si>
  <si>
    <t>1994 Q4</t>
  </si>
  <si>
    <t>1995 Q1</t>
  </si>
  <si>
    <t>1995 Q2</t>
  </si>
  <si>
    <t>1995 Q3</t>
  </si>
  <si>
    <t>1995 Q4</t>
  </si>
  <si>
    <t>1996 Q1</t>
  </si>
  <si>
    <t>1996 Q2</t>
  </si>
  <si>
    <t>1996 Q3</t>
  </si>
  <si>
    <t>1996 Q4</t>
  </si>
  <si>
    <t>1997 Q1</t>
  </si>
  <si>
    <t>1997 Q2</t>
  </si>
  <si>
    <t>1997 Q3</t>
  </si>
  <si>
    <t>1997 Q4</t>
  </si>
  <si>
    <t>1998 Q1</t>
  </si>
  <si>
    <t>1998 Q2</t>
  </si>
  <si>
    <t>1998 Q3</t>
  </si>
  <si>
    <t>1998 Q4</t>
  </si>
  <si>
    <t>1999 Q1</t>
  </si>
  <si>
    <t>1999 Q2</t>
  </si>
  <si>
    <t>1999 Q3</t>
  </si>
  <si>
    <t>1999 Q4</t>
  </si>
  <si>
    <t>2000 Q1</t>
  </si>
  <si>
    <t>2000 Q2</t>
  </si>
  <si>
    <t>2000 Q3</t>
  </si>
  <si>
    <t>2000 Q4</t>
  </si>
  <si>
    <t>2001 Q1</t>
  </si>
  <si>
    <t>2001 Q2</t>
  </si>
  <si>
    <t>2001 Q3</t>
  </si>
  <si>
    <t>2001 Q4</t>
  </si>
  <si>
    <t>2002 Q1</t>
  </si>
  <si>
    <t>2002 Q2</t>
  </si>
  <si>
    <t>2002 Q3</t>
  </si>
  <si>
    <t>2002 Q4</t>
  </si>
  <si>
    <t>2003 Q1</t>
  </si>
  <si>
    <t>2003 Q2</t>
  </si>
  <si>
    <t>2003 Q3</t>
  </si>
  <si>
    <t>2003 Q4</t>
  </si>
  <si>
    <t>2004 Q1</t>
  </si>
  <si>
    <t>2004 Q2</t>
  </si>
  <si>
    <t>2004 Q3</t>
  </si>
  <si>
    <t>2004 Q4</t>
  </si>
  <si>
    <t>2005 Q1</t>
  </si>
  <si>
    <t>2005 Q2</t>
  </si>
  <si>
    <t>2005 Q3</t>
  </si>
  <si>
    <t>2005 Q4</t>
  </si>
  <si>
    <t>2006 Q1</t>
  </si>
  <si>
    <t>2006 Q2</t>
  </si>
  <si>
    <t>2006 Q3</t>
  </si>
  <si>
    <t>2006 Q4</t>
  </si>
  <si>
    <t>2007 Q1</t>
  </si>
  <si>
    <t>2007 Q2</t>
  </si>
  <si>
    <t>2007 Q3</t>
  </si>
  <si>
    <t>2007 Q4</t>
  </si>
  <si>
    <t>2008 Q1</t>
  </si>
  <si>
    <t>2008 Q2</t>
  </si>
  <si>
    <t>2008 Q3</t>
  </si>
  <si>
    <t>2008 Q4</t>
  </si>
  <si>
    <t>2009 Q1</t>
  </si>
  <si>
    <t>2009 Q2</t>
  </si>
  <si>
    <t>2009 Q3</t>
  </si>
  <si>
    <t>2009 Q4</t>
  </si>
  <si>
    <t>2010 Q1</t>
  </si>
  <si>
    <t>2010 Q2</t>
  </si>
  <si>
    <t>2010 Q3</t>
  </si>
  <si>
    <t>2010 Q4</t>
  </si>
  <si>
    <t>2011 Q1</t>
  </si>
  <si>
    <t>2011 Q2</t>
  </si>
  <si>
    <t>2011 Q3</t>
  </si>
  <si>
    <t>2011 Q4</t>
  </si>
  <si>
    <t>2012 Q1</t>
  </si>
  <si>
    <t>2012 Q2</t>
  </si>
  <si>
    <t>2012 Q3</t>
  </si>
  <si>
    <t>2012 Q4</t>
  </si>
  <si>
    <t>2013 Q1</t>
  </si>
  <si>
    <t>2013 Q2</t>
  </si>
  <si>
    <t>2013 Q3</t>
  </si>
  <si>
    <t>2013 Q4</t>
  </si>
  <si>
    <t>2014 Q1</t>
  </si>
  <si>
    <t>2014 Q2</t>
  </si>
  <si>
    <t>2014 Q3</t>
  </si>
  <si>
    <t>2014 Q4</t>
  </si>
  <si>
    <t>2015 Q1</t>
  </si>
  <si>
    <t>2015 Q2</t>
  </si>
  <si>
    <t>2015 Q3</t>
  </si>
  <si>
    <t>2015 Q4</t>
  </si>
  <si>
    <t>2016 Q1</t>
  </si>
  <si>
    <t>2016 Q2</t>
  </si>
  <si>
    <t>2016 Q3</t>
  </si>
  <si>
    <t>2016 Q4</t>
  </si>
  <si>
    <t>2017 Q1</t>
  </si>
  <si>
    <t>2017 Q2</t>
  </si>
  <si>
    <t>2017 Q3</t>
  </si>
  <si>
    <t>2017 Q4</t>
  </si>
  <si>
    <t>2018 Q1</t>
  </si>
  <si>
    <t>2018 Q2</t>
  </si>
  <si>
    <t>2018 Q3</t>
  </si>
  <si>
    <t>2018 Q4</t>
  </si>
  <si>
    <t>2019 Q1</t>
  </si>
  <si>
    <t>2019 Q2</t>
  </si>
  <si>
    <t>2019 Q3</t>
  </si>
  <si>
    <t>2019 Q4</t>
  </si>
  <si>
    <t>2020 Q1</t>
  </si>
  <si>
    <t>2020 Q2</t>
  </si>
  <si>
    <t>2020 Q3</t>
  </si>
  <si>
    <t>2020 Q4</t>
  </si>
  <si>
    <t>2021 Q1</t>
  </si>
  <si>
    <t>2021 Q2</t>
  </si>
  <si>
    <t>2021 Q3</t>
  </si>
  <si>
    <t>2021 Q4</t>
  </si>
  <si>
    <t>2022 Q1</t>
  </si>
  <si>
    <t>2022 Q2</t>
  </si>
  <si>
    <t>2022 Q3</t>
  </si>
  <si>
    <t>2022 Q4</t>
  </si>
  <si>
    <t>2023 Q1</t>
  </si>
  <si>
    <t>2023 Q2</t>
  </si>
  <si>
    <t>2023 Q3</t>
  </si>
  <si>
    <t>2023 Q4</t>
  </si>
  <si>
    <t>2024 Q1</t>
  </si>
  <si>
    <t>2024 Q2</t>
  </si>
  <si>
    <t>2024 Q3</t>
  </si>
  <si>
    <t>2024 Q4</t>
  </si>
  <si>
    <t>2025 Q1</t>
  </si>
  <si>
    <t>2025 Q2</t>
  </si>
  <si>
    <t>2025 Q3</t>
  </si>
  <si>
    <t>2025 Q4</t>
  </si>
  <si>
    <t>2026 Q1</t>
  </si>
  <si>
    <t>2026 Q2</t>
  </si>
  <si>
    <t>2026 Q3</t>
  </si>
  <si>
    <t>2026 Q4</t>
  </si>
  <si>
    <t>2027 Q1</t>
  </si>
  <si>
    <t>2027 Q2</t>
  </si>
  <si>
    <t>2027 Q3</t>
  </si>
  <si>
    <t>2027 Q4</t>
  </si>
  <si>
    <t>2028 Q1</t>
  </si>
  <si>
    <t>2028 Q2</t>
  </si>
  <si>
    <t>2028 Q3</t>
  </si>
  <si>
    <t>2028 Q4</t>
  </si>
  <si>
    <t>2029 Q1</t>
  </si>
  <si>
    <t>2029 Q2</t>
  </si>
  <si>
    <t>2029 Q3</t>
  </si>
  <si>
    <t>2029 Q4</t>
  </si>
  <si>
    <t>2030 Q1</t>
  </si>
  <si>
    <t>2030 Q2</t>
  </si>
  <si>
    <t>2030 Q3</t>
  </si>
  <si>
    <t>2030 Q4</t>
  </si>
  <si>
    <t>2031 Q1</t>
  </si>
  <si>
    <t>2031 Q2</t>
  </si>
  <si>
    <t>2031 Q3</t>
  </si>
  <si>
    <t>2031 Q4</t>
  </si>
  <si>
    <t>2032 Q1</t>
  </si>
  <si>
    <t>2032 Q2</t>
  </si>
  <si>
    <t>2032 Q3</t>
  </si>
  <si>
    <t>2032 Q4</t>
  </si>
  <si>
    <t>2033 Q1</t>
  </si>
  <si>
    <t>2033 Q2</t>
  </si>
  <si>
    <t>2033 Q3</t>
  </si>
  <si>
    <t>2033 Q4</t>
  </si>
  <si>
    <t>2034 Q1</t>
  </si>
  <si>
    <t>2034 Q2</t>
  </si>
  <si>
    <t>2034 Q3</t>
  </si>
  <si>
    <t>2034 Q4</t>
  </si>
  <si>
    <t>2035 Q1</t>
  </si>
  <si>
    <t>2035 Q2</t>
  </si>
  <si>
    <t>2035 Q3</t>
  </si>
  <si>
    <t>2035 Q4</t>
  </si>
  <si>
    <t>Source</t>
  </si>
  <si>
    <t>People's Bank of China / Haver Analytics</t>
  </si>
  <si>
    <t>European Central Bank \Haver Analytics</t>
  </si>
  <si>
    <t>Federal Reserve Board \Haver Analytics</t>
  </si>
  <si>
    <t>Seasonally adjusted</t>
  </si>
  <si>
    <t>Base year price</t>
  </si>
  <si>
    <t>Base year index</t>
  </si>
  <si>
    <t>Historical end year</t>
  </si>
  <si>
    <t>Historical end quarter</t>
  </si>
  <si>
    <t>Date of last update</t>
  </si>
  <si>
    <t>Source details</t>
  </si>
  <si>
    <t>R9247DL@INTDAILY</t>
  </si>
  <si>
    <t>agg(R023RM@INTDAILY,avg), spliced with I023M@EUDATA pre-1999</t>
  </si>
  <si>
    <t>FFEDTAR@DAILY</t>
  </si>
  <si>
    <t>Additional source details</t>
  </si>
  <si>
    <t>China: PBoC OMO:7 Days Reverse Repurchase: Reference Yield (%p.a.)</t>
  </si>
  <si>
    <t xml:space="preserve">Euro-Area: Main Refinancing Operation on Effective Date (%) </t>
  </si>
  <si>
    <t>Effective federal funds rate prior to 1982Q4; Federal funds target rate or mid-point from 1982Q4 (H.15 Item 1)</t>
  </si>
  <si>
    <t>Location code</t>
  </si>
  <si>
    <t>CHINA</t>
  </si>
  <si>
    <t>EURO_11</t>
  </si>
  <si>
    <t>US</t>
  </si>
  <si>
    <t>Indicator code</t>
  </si>
  <si>
    <t>RCB</t>
  </si>
  <si>
    <t>Location</t>
  </si>
  <si>
    <t>Indicator</t>
  </si>
  <si>
    <t>Scenario</t>
  </si>
  <si>
    <t>China</t>
  </si>
  <si>
    <t>Interest rate, central bank policy</t>
  </si>
  <si>
    <t>Sep25_2 25yr</t>
  </si>
  <si>
    <t>Eurozone</t>
  </si>
  <si>
    <t>United States</t>
  </si>
  <si>
    <t>STN</t>
  </si>
  <si>
    <t>YER</t>
  </si>
  <si>
    <t>Yuan</t>
  </si>
  <si>
    <t>Euro</t>
  </si>
  <si>
    <t>US$</t>
  </si>
  <si>
    <t>Billions</t>
  </si>
  <si>
    <t>China National Bureau of Statistics\Haver Analytics</t>
  </si>
  <si>
    <t>Statistical Office of the European Communities\Euro Area Business Cycle Network\Haver Analytics</t>
  </si>
  <si>
    <t>Bureau of Economic Analysis\Haver Analytics</t>
  </si>
  <si>
    <t>chained 2020</t>
  </si>
  <si>
    <t>chained 2017</t>
  </si>
  <si>
    <t>J025GDPU@EUDATA/1000</t>
  </si>
  <si>
    <t>GDPH@USNA / 4</t>
  </si>
  <si>
    <t>Real Gross Domestic Product (SAAR, Bil.Chn.2017$) / 4</t>
  </si>
  <si>
    <t>GDP, real, seasonally adjusted, LCU</t>
  </si>
  <si>
    <t>GDP, real, LCU (Seasonally adjusted by Oxford Economics)</t>
  </si>
  <si>
    <t>GDPSA</t>
  </si>
  <si>
    <t>EA19: Gross Domestic Product (SWDA, Mil.Ch.2020.EUR-ECU) /1000</t>
  </si>
  <si>
    <t>Jul25_2 25yr</t>
  </si>
  <si>
    <t>/oxford-economics/releases/GEM/Jul25_2 25yr</t>
  </si>
  <si>
    <t>People's Bank of China\Haver Analytics</t>
  </si>
  <si>
    <t xml:space="preserve"> N924FSY1@EMERGEPR, avg, extended back with RLEND</t>
  </si>
  <si>
    <t>China: Medium Term Lending Facility Rate: One Year</t>
  </si>
  <si>
    <t>USDEUR</t>
  </si>
  <si>
    <t>USDCNY</t>
  </si>
  <si>
    <t>EURCNY</t>
  </si>
  <si>
    <t>EZCPI</t>
  </si>
  <si>
    <t>USCPI</t>
  </si>
  <si>
    <t>CHCPI</t>
  </si>
  <si>
    <t>111</t>
  </si>
  <si>
    <t>Average</t>
  </si>
  <si>
    <t>023</t>
  </si>
  <si>
    <t>Q1-1971 &lt;- Jan-1971</t>
  </si>
  <si>
    <t>Euro Exchange Rate: United States Dollar (Avg, USD/EUR)</t>
  </si>
  <si>
    <t>1/(X111EXR@EUDATA)</t>
  </si>
  <si>
    <t>FXCHI@USECON</t>
  </si>
  <si>
    <t>X924EXR@EUDATA</t>
  </si>
  <si>
    <t>Q1-1970 &lt;- Jan-1970</t>
  </si>
  <si>
    <t>Foreign Exchange Rate: People's Republic of China (Yuan/US$)</t>
  </si>
  <si>
    <t>Q1-2000 &lt;- Jan-2000</t>
  </si>
  <si>
    <t>Euro Exchange Rate: Chinese Yuan Renminbi (Avg, Yuan/Euro)</t>
  </si>
  <si>
    <t>Exchange rate, period average, per Euro</t>
  </si>
  <si>
    <t>Yuan per Euro</t>
  </si>
  <si>
    <t>Oxford Economics calculation</t>
  </si>
  <si>
    <t>Exchange rate, period average * Exchange rate, period average, Eurozone</t>
  </si>
  <si>
    <t>RXEURO</t>
  </si>
  <si>
    <t xml:space="preserve">H924PC@EMERGE </t>
  </si>
  <si>
    <t xml:space="preserve">P023SH@EUDATA </t>
  </si>
  <si>
    <t>S111PC@G10</t>
  </si>
  <si>
    <t>Q1-1997 &lt;- Jan-1997</t>
  </si>
  <si>
    <t>Bureau of Labor Statistics</t>
  </si>
  <si>
    <t>BLS</t>
  </si>
  <si>
    <t>Q1-1947 &lt;- Jan-1947</t>
  </si>
  <si>
    <t>U.S.: Consumer Price Index (SA, 1982-84=100)</t>
  </si>
  <si>
    <t>China National Bureau of Statistics/Haver Analytics</t>
  </si>
  <si>
    <t>CNBS/H</t>
  </si>
  <si>
    <t>Q1-1984 &lt;- Jan-1984</t>
  </si>
  <si>
    <t>HICP</t>
  </si>
  <si>
    <t>Index</t>
  </si>
  <si>
    <t>2020=100, grown by N924PCY@EMERGEPR</t>
  </si>
  <si>
    <t>2020=100 grown by China: Consumer Price Index (NSA, year/year % chg)</t>
  </si>
  <si>
    <t>CPI</t>
  </si>
  <si>
    <t>Consumer price index</t>
  </si>
  <si>
    <t>CHCPI OEM</t>
  </si>
  <si>
    <t>Desestacionalizado con R</t>
  </si>
  <si>
    <t>VIX</t>
  </si>
  <si>
    <t>poil brent</t>
  </si>
  <si>
    <t>poil wti</t>
  </si>
  <si>
    <t>SPVIX@USECON</t>
  </si>
  <si>
    <t>N112POIL@G10</t>
  </si>
  <si>
    <t>N111POIL@G10</t>
  </si>
  <si>
    <t>20253</t>
  </si>
  <si>
    <t>Chicago Board Options Exchange</t>
  </si>
  <si>
    <t>CBOE</t>
  </si>
  <si>
    <t>Q1-1990 &lt;- Jan-1990</t>
  </si>
  <si>
    <t>CBOE Market Volatility Index: VIX (Index)</t>
  </si>
  <si>
    <t>Energy Information Administration</t>
  </si>
  <si>
    <t>EIA</t>
  </si>
  <si>
    <t>Q2-1986 &lt;- Jun-1986</t>
  </si>
  <si>
    <t>European Brent Spot Price FOB ($/Barrel)</t>
  </si>
  <si>
    <t>Wall Street Journal</t>
  </si>
  <si>
    <t>WSJ</t>
  </si>
  <si>
    <t>Q1-1946 &lt;- Jan-1946</t>
  </si>
  <si>
    <t>U.S.: Spot Oil Price: West Texas Intermediate [Prior'82=Posted Price] ($/Barrel)</t>
  </si>
  <si>
    <t>POIL</t>
  </si>
  <si>
    <t>EZ10Y</t>
  </si>
  <si>
    <t>I023R@EUDATA</t>
  </si>
  <si>
    <t>Q4-1991 &lt;- Nov-1991</t>
  </si>
  <si>
    <t>Sovereign 10y (%)</t>
  </si>
  <si>
    <t>EZ10Y_M</t>
  </si>
  <si>
    <t>EZ10Y_M_Avg</t>
  </si>
  <si>
    <t>20254</t>
  </si>
  <si>
    <t>Discontinued</t>
  </si>
  <si>
    <t>DISC</t>
  </si>
  <si>
    <t>Q4-2025 &lt;- Dec-2025</t>
  </si>
  <si>
    <t>EA11-20: HICP DISC(SWDA, 2015=100)</t>
  </si>
  <si>
    <t>China: Consumer Price Index (SA, 2025=100)</t>
  </si>
  <si>
    <t>Euro Area 11-21: Long Term Government Bond Yield: Rolling 12 Month Average (%)</t>
  </si>
  <si>
    <t>198001 *M</t>
  </si>
  <si>
    <t>198001</t>
  </si>
  <si>
    <t>198002</t>
  </si>
  <si>
    <t>198003</t>
  </si>
  <si>
    <t>198004</t>
  </si>
  <si>
    <t>198005</t>
  </si>
  <si>
    <t>198006</t>
  </si>
  <si>
    <t>198007</t>
  </si>
  <si>
    <t>198008</t>
  </si>
  <si>
    <t>198009</t>
  </si>
  <si>
    <t>198010</t>
  </si>
  <si>
    <t>198011</t>
  </si>
  <si>
    <t>198012</t>
  </si>
  <si>
    <t>198101</t>
  </si>
  <si>
    <t>198102</t>
  </si>
  <si>
    <t>198103</t>
  </si>
  <si>
    <t>198104</t>
  </si>
  <si>
    <t>198105</t>
  </si>
  <si>
    <t>198106</t>
  </si>
  <si>
    <t>198107</t>
  </si>
  <si>
    <t>198108</t>
  </si>
  <si>
    <t>198109</t>
  </si>
  <si>
    <t>198110</t>
  </si>
  <si>
    <t>198111</t>
  </si>
  <si>
    <t>198112</t>
  </si>
  <si>
    <t>198201</t>
  </si>
  <si>
    <t>198202</t>
  </si>
  <si>
    <t>198203</t>
  </si>
  <si>
    <t>198204</t>
  </si>
  <si>
    <t>198205</t>
  </si>
  <si>
    <t>198206</t>
  </si>
  <si>
    <t>198207</t>
  </si>
  <si>
    <t>198208</t>
  </si>
  <si>
    <t>198209</t>
  </si>
  <si>
    <t>198210</t>
  </si>
  <si>
    <t>198211</t>
  </si>
  <si>
    <t>198212</t>
  </si>
  <si>
    <t>198301</t>
  </si>
  <si>
    <t>198302</t>
  </si>
  <si>
    <t>198303</t>
  </si>
  <si>
    <t>198304</t>
  </si>
  <si>
    <t>198305</t>
  </si>
  <si>
    <t>198306</t>
  </si>
  <si>
    <t>198307</t>
  </si>
  <si>
    <t>198308</t>
  </si>
  <si>
    <t>198309</t>
  </si>
  <si>
    <t>198310</t>
  </si>
  <si>
    <t>198311</t>
  </si>
  <si>
    <t>198312</t>
  </si>
  <si>
    <t>198401</t>
  </si>
  <si>
    <t>198402</t>
  </si>
  <si>
    <t>198403</t>
  </si>
  <si>
    <t>198404</t>
  </si>
  <si>
    <t>198405</t>
  </si>
  <si>
    <t>198406</t>
  </si>
  <si>
    <t>198407</t>
  </si>
  <si>
    <t>198408</t>
  </si>
  <si>
    <t>198409</t>
  </si>
  <si>
    <t>198410</t>
  </si>
  <si>
    <t>198411</t>
  </si>
  <si>
    <t>198412</t>
  </si>
  <si>
    <t>198501</t>
  </si>
  <si>
    <t>198502</t>
  </si>
  <si>
    <t>198503</t>
  </si>
  <si>
    <t>198504</t>
  </si>
  <si>
    <t>198505</t>
  </si>
  <si>
    <t>198506</t>
  </si>
  <si>
    <t>198507</t>
  </si>
  <si>
    <t>198508</t>
  </si>
  <si>
    <t>198509</t>
  </si>
  <si>
    <t>198510</t>
  </si>
  <si>
    <t>198511</t>
  </si>
  <si>
    <t>198512</t>
  </si>
  <si>
    <t>198601</t>
  </si>
  <si>
    <t>198602</t>
  </si>
  <si>
    <t>198603</t>
  </si>
  <si>
    <t>198604</t>
  </si>
  <si>
    <t>198605</t>
  </si>
  <si>
    <t>198606</t>
  </si>
  <si>
    <t>198607</t>
  </si>
  <si>
    <t>198608</t>
  </si>
  <si>
    <t>198609</t>
  </si>
  <si>
    <t>198610</t>
  </si>
  <si>
    <t>198611</t>
  </si>
  <si>
    <t>198612</t>
  </si>
  <si>
    <t>198701</t>
  </si>
  <si>
    <t>198702</t>
  </si>
  <si>
    <t>198703</t>
  </si>
  <si>
    <t>198704</t>
  </si>
  <si>
    <t>198705</t>
  </si>
  <si>
    <t>198706</t>
  </si>
  <si>
    <t>198707</t>
  </si>
  <si>
    <t>198708</t>
  </si>
  <si>
    <t>198709</t>
  </si>
  <si>
    <t>198710</t>
  </si>
  <si>
    <t>198711</t>
  </si>
  <si>
    <t>198712</t>
  </si>
  <si>
    <t>198801</t>
  </si>
  <si>
    <t>198802</t>
  </si>
  <si>
    <t>198803</t>
  </si>
  <si>
    <t>198804</t>
  </si>
  <si>
    <t>198805</t>
  </si>
  <si>
    <t>198806</t>
  </si>
  <si>
    <t>198807</t>
  </si>
  <si>
    <t>198808</t>
  </si>
  <si>
    <t>198809</t>
  </si>
  <si>
    <t>198810</t>
  </si>
  <si>
    <t>198811</t>
  </si>
  <si>
    <t>198812</t>
  </si>
  <si>
    <t>198901</t>
  </si>
  <si>
    <t>198902</t>
  </si>
  <si>
    <t>198903</t>
  </si>
  <si>
    <t>198904</t>
  </si>
  <si>
    <t>198905</t>
  </si>
  <si>
    <t>198906</t>
  </si>
  <si>
    <t>198907</t>
  </si>
  <si>
    <t>198908</t>
  </si>
  <si>
    <t>198909</t>
  </si>
  <si>
    <t>198910</t>
  </si>
  <si>
    <t>198911</t>
  </si>
  <si>
    <t>198912</t>
  </si>
  <si>
    <t>199001</t>
  </si>
  <si>
    <t>199002</t>
  </si>
  <si>
    <t>199003</t>
  </si>
  <si>
    <t>199004</t>
  </si>
  <si>
    <t>199005</t>
  </si>
  <si>
    <t>199006</t>
  </si>
  <si>
    <t>199007</t>
  </si>
  <si>
    <t>199008</t>
  </si>
  <si>
    <t>199009</t>
  </si>
  <si>
    <t>199010</t>
  </si>
  <si>
    <t>199011</t>
  </si>
  <si>
    <t>199012</t>
  </si>
  <si>
    <t>199101</t>
  </si>
  <si>
    <t>199102</t>
  </si>
  <si>
    <t>199103</t>
  </si>
  <si>
    <t>199104</t>
  </si>
  <si>
    <t>199105</t>
  </si>
  <si>
    <t>199106</t>
  </si>
  <si>
    <t>199107</t>
  </si>
  <si>
    <t>199108</t>
  </si>
  <si>
    <t>199109</t>
  </si>
  <si>
    <t>199110</t>
  </si>
  <si>
    <t>199111</t>
  </si>
  <si>
    <t>199112</t>
  </si>
  <si>
    <t>199201</t>
  </si>
  <si>
    <t>199202</t>
  </si>
  <si>
    <t>199203</t>
  </si>
  <si>
    <t>199204</t>
  </si>
  <si>
    <t>199205</t>
  </si>
  <si>
    <t>199206</t>
  </si>
  <si>
    <t>199207</t>
  </si>
  <si>
    <t>199208</t>
  </si>
  <si>
    <t>199209</t>
  </si>
  <si>
    <t>199210</t>
  </si>
  <si>
    <t>199211</t>
  </si>
  <si>
    <t>199212</t>
  </si>
  <si>
    <t>199301</t>
  </si>
  <si>
    <t>199302</t>
  </si>
  <si>
    <t>199303</t>
  </si>
  <si>
    <t>199304</t>
  </si>
  <si>
    <t>199305</t>
  </si>
  <si>
    <t>199306</t>
  </si>
  <si>
    <t>199307</t>
  </si>
  <si>
    <t>199308</t>
  </si>
  <si>
    <t>199309</t>
  </si>
  <si>
    <t>199310</t>
  </si>
  <si>
    <t>199311</t>
  </si>
  <si>
    <t>199312</t>
  </si>
  <si>
    <t>199401</t>
  </si>
  <si>
    <t>199402</t>
  </si>
  <si>
    <t>199403</t>
  </si>
  <si>
    <t>199404</t>
  </si>
  <si>
    <t>199405</t>
  </si>
  <si>
    <t>199406</t>
  </si>
  <si>
    <t>199407</t>
  </si>
  <si>
    <t>199408</t>
  </si>
  <si>
    <t>199409</t>
  </si>
  <si>
    <t>199410</t>
  </si>
  <si>
    <t>199411</t>
  </si>
  <si>
    <t>199412</t>
  </si>
  <si>
    <t>199501</t>
  </si>
  <si>
    <t>199502</t>
  </si>
  <si>
    <t>199503</t>
  </si>
  <si>
    <t>199504</t>
  </si>
  <si>
    <t>199505</t>
  </si>
  <si>
    <t>199506</t>
  </si>
  <si>
    <t>199507</t>
  </si>
  <si>
    <t>199508</t>
  </si>
  <si>
    <t>199509</t>
  </si>
  <si>
    <t>199510</t>
  </si>
  <si>
    <t>199511</t>
  </si>
  <si>
    <t>199512</t>
  </si>
  <si>
    <t>199601</t>
  </si>
  <si>
    <t>199602</t>
  </si>
  <si>
    <t>199603</t>
  </si>
  <si>
    <t>199604</t>
  </si>
  <si>
    <t>199605</t>
  </si>
  <si>
    <t>199606</t>
  </si>
  <si>
    <t>199607</t>
  </si>
  <si>
    <t>199608</t>
  </si>
  <si>
    <t>199609</t>
  </si>
  <si>
    <t>199610</t>
  </si>
  <si>
    <t>199611</t>
  </si>
  <si>
    <t>199612</t>
  </si>
  <si>
    <t>199701</t>
  </si>
  <si>
    <t>199702</t>
  </si>
  <si>
    <t>199703</t>
  </si>
  <si>
    <t>199704</t>
  </si>
  <si>
    <t>199705</t>
  </si>
  <si>
    <t>199706</t>
  </si>
  <si>
    <t>199707</t>
  </si>
  <si>
    <t>199708</t>
  </si>
  <si>
    <t>199709</t>
  </si>
  <si>
    <t>199710</t>
  </si>
  <si>
    <t>199711</t>
  </si>
  <si>
    <t>199712</t>
  </si>
  <si>
    <t>199801</t>
  </si>
  <si>
    <t>199802</t>
  </si>
  <si>
    <t>199803</t>
  </si>
  <si>
    <t>199804</t>
  </si>
  <si>
    <t>199805</t>
  </si>
  <si>
    <t>199806</t>
  </si>
  <si>
    <t>199807</t>
  </si>
  <si>
    <t>199808</t>
  </si>
  <si>
    <t>199809</t>
  </si>
  <si>
    <t>199810</t>
  </si>
  <si>
    <t>199811</t>
  </si>
  <si>
    <t>199812</t>
  </si>
  <si>
    <t>199901</t>
  </si>
  <si>
    <t>199902</t>
  </si>
  <si>
    <t>199903</t>
  </si>
  <si>
    <t>199904</t>
  </si>
  <si>
    <t>199905</t>
  </si>
  <si>
    <t>199906</t>
  </si>
  <si>
    <t>199907</t>
  </si>
  <si>
    <t>199908</t>
  </si>
  <si>
    <t>199909</t>
  </si>
  <si>
    <t>199910</t>
  </si>
  <si>
    <t>199911</t>
  </si>
  <si>
    <t>199912</t>
  </si>
  <si>
    <t>200001</t>
  </si>
  <si>
    <t>200002</t>
  </si>
  <si>
    <t>200003</t>
  </si>
  <si>
    <t>200004</t>
  </si>
  <si>
    <t>200005</t>
  </si>
  <si>
    <t>200006</t>
  </si>
  <si>
    <t>200007</t>
  </si>
  <si>
    <t>200008</t>
  </si>
  <si>
    <t>200009</t>
  </si>
  <si>
    <t>200010</t>
  </si>
  <si>
    <t>200011</t>
  </si>
  <si>
    <t>200012</t>
  </si>
  <si>
    <t>200101</t>
  </si>
  <si>
    <t>200102</t>
  </si>
  <si>
    <t>200103</t>
  </si>
  <si>
    <t>200104</t>
  </si>
  <si>
    <t>200105</t>
  </si>
  <si>
    <t>200106</t>
  </si>
  <si>
    <t>200107</t>
  </si>
  <si>
    <t>200108</t>
  </si>
  <si>
    <t>200109</t>
  </si>
  <si>
    <t>200110</t>
  </si>
  <si>
    <t>200111</t>
  </si>
  <si>
    <t>200112</t>
  </si>
  <si>
    <t>200201</t>
  </si>
  <si>
    <t>200202</t>
  </si>
  <si>
    <t>200203</t>
  </si>
  <si>
    <t>200204</t>
  </si>
  <si>
    <t>200205</t>
  </si>
  <si>
    <t>200206</t>
  </si>
  <si>
    <t>200207</t>
  </si>
  <si>
    <t>200208</t>
  </si>
  <si>
    <t>200209</t>
  </si>
  <si>
    <t>200210</t>
  </si>
  <si>
    <t>200211</t>
  </si>
  <si>
    <t>200212</t>
  </si>
  <si>
    <t>200301</t>
  </si>
  <si>
    <t>200302</t>
  </si>
  <si>
    <t>200303</t>
  </si>
  <si>
    <t>200304</t>
  </si>
  <si>
    <t>200305</t>
  </si>
  <si>
    <t>200306</t>
  </si>
  <si>
    <t>200307</t>
  </si>
  <si>
    <t>200308</t>
  </si>
  <si>
    <t>200309</t>
  </si>
  <si>
    <t>200310</t>
  </si>
  <si>
    <t>200311</t>
  </si>
  <si>
    <t>200312</t>
  </si>
  <si>
    <t>200401</t>
  </si>
  <si>
    <t>200402</t>
  </si>
  <si>
    <t>200403</t>
  </si>
  <si>
    <t>200404</t>
  </si>
  <si>
    <t>200405</t>
  </si>
  <si>
    <t>200406</t>
  </si>
  <si>
    <t>200407</t>
  </si>
  <si>
    <t>200408</t>
  </si>
  <si>
    <t>200409</t>
  </si>
  <si>
    <t>200410</t>
  </si>
  <si>
    <t>200411</t>
  </si>
  <si>
    <t>200412</t>
  </si>
  <si>
    <t>200501</t>
  </si>
  <si>
    <t>200502</t>
  </si>
  <si>
    <t>200503</t>
  </si>
  <si>
    <t>200504</t>
  </si>
  <si>
    <t>200505</t>
  </si>
  <si>
    <t>200506</t>
  </si>
  <si>
    <t>200507</t>
  </si>
  <si>
    <t>200508</t>
  </si>
  <si>
    <t>200509</t>
  </si>
  <si>
    <t>200510</t>
  </si>
  <si>
    <t>200511</t>
  </si>
  <si>
    <t>200512</t>
  </si>
  <si>
    <t>200601</t>
  </si>
  <si>
    <t>200602</t>
  </si>
  <si>
    <t>200603</t>
  </si>
  <si>
    <t>200604</t>
  </si>
  <si>
    <t>200605</t>
  </si>
  <si>
    <t>200606</t>
  </si>
  <si>
    <t>200607</t>
  </si>
  <si>
    <t>200608</t>
  </si>
  <si>
    <t>200609</t>
  </si>
  <si>
    <t>200610</t>
  </si>
  <si>
    <t>200611</t>
  </si>
  <si>
    <t>200612</t>
  </si>
  <si>
    <t>200701</t>
  </si>
  <si>
    <t>200702</t>
  </si>
  <si>
    <t>200703</t>
  </si>
  <si>
    <t>200704</t>
  </si>
  <si>
    <t>200705</t>
  </si>
  <si>
    <t>200706</t>
  </si>
  <si>
    <t>200707</t>
  </si>
  <si>
    <t>200708</t>
  </si>
  <si>
    <t>200709</t>
  </si>
  <si>
    <t>200710</t>
  </si>
  <si>
    <t>200711</t>
  </si>
  <si>
    <t>200712</t>
  </si>
  <si>
    <t>200801</t>
  </si>
  <si>
    <t>200802</t>
  </si>
  <si>
    <t>200803</t>
  </si>
  <si>
    <t>200804</t>
  </si>
  <si>
    <t>200805</t>
  </si>
  <si>
    <t>200806</t>
  </si>
  <si>
    <t>200807</t>
  </si>
  <si>
    <t>200808</t>
  </si>
  <si>
    <t>200809</t>
  </si>
  <si>
    <t>200810</t>
  </si>
  <si>
    <t>200811</t>
  </si>
  <si>
    <t>200812</t>
  </si>
  <si>
    <t>200901</t>
  </si>
  <si>
    <t>200902</t>
  </si>
  <si>
    <t>200903</t>
  </si>
  <si>
    <t>200904</t>
  </si>
  <si>
    <t>200905</t>
  </si>
  <si>
    <t>200906</t>
  </si>
  <si>
    <t>200907</t>
  </si>
  <si>
    <t>200908</t>
  </si>
  <si>
    <t>200909</t>
  </si>
  <si>
    <t>200910</t>
  </si>
  <si>
    <t>200911</t>
  </si>
  <si>
    <t>200912</t>
  </si>
  <si>
    <t>201001</t>
  </si>
  <si>
    <t>201002</t>
  </si>
  <si>
    <t>201003</t>
  </si>
  <si>
    <t>201004</t>
  </si>
  <si>
    <t>201005</t>
  </si>
  <si>
    <t>201006</t>
  </si>
  <si>
    <t>201007</t>
  </si>
  <si>
    <t>201008</t>
  </si>
  <si>
    <t>201009</t>
  </si>
  <si>
    <t>201010</t>
  </si>
  <si>
    <t>201011</t>
  </si>
  <si>
    <t>201012</t>
  </si>
  <si>
    <t>201101</t>
  </si>
  <si>
    <t>201102</t>
  </si>
  <si>
    <t>201103</t>
  </si>
  <si>
    <t>201104</t>
  </si>
  <si>
    <t>201105</t>
  </si>
  <si>
    <t>201106</t>
  </si>
  <si>
    <t>201107</t>
  </si>
  <si>
    <t>201108</t>
  </si>
  <si>
    <t>201109</t>
  </si>
  <si>
    <t>201110</t>
  </si>
  <si>
    <t>201111</t>
  </si>
  <si>
    <t>201112</t>
  </si>
  <si>
    <t>201201</t>
  </si>
  <si>
    <t>201202</t>
  </si>
  <si>
    <t>201203</t>
  </si>
  <si>
    <t>201204</t>
  </si>
  <si>
    <t>201205</t>
  </si>
  <si>
    <t>201206</t>
  </si>
  <si>
    <t>201207</t>
  </si>
  <si>
    <t>201208</t>
  </si>
  <si>
    <t>201209</t>
  </si>
  <si>
    <t>201210</t>
  </si>
  <si>
    <t>201211</t>
  </si>
  <si>
    <t>201212</t>
  </si>
  <si>
    <t>201301</t>
  </si>
  <si>
    <t>201302</t>
  </si>
  <si>
    <t>201303</t>
  </si>
  <si>
    <t>201304</t>
  </si>
  <si>
    <t>201305</t>
  </si>
  <si>
    <t>201306</t>
  </si>
  <si>
    <t>201307</t>
  </si>
  <si>
    <t>201308</t>
  </si>
  <si>
    <t>201309</t>
  </si>
  <si>
    <t>201310</t>
  </si>
  <si>
    <t>201311</t>
  </si>
  <si>
    <t>201312</t>
  </si>
  <si>
    <t>201401</t>
  </si>
  <si>
    <t>201402</t>
  </si>
  <si>
    <t>201403</t>
  </si>
  <si>
    <t>201404</t>
  </si>
  <si>
    <t>201405</t>
  </si>
  <si>
    <t>201406</t>
  </si>
  <si>
    <t>201407</t>
  </si>
  <si>
    <t>201408</t>
  </si>
  <si>
    <t>201409</t>
  </si>
  <si>
    <t>201410</t>
  </si>
  <si>
    <t>201411</t>
  </si>
  <si>
    <t>201412</t>
  </si>
  <si>
    <t>201501</t>
  </si>
  <si>
    <t>201502</t>
  </si>
  <si>
    <t>201503</t>
  </si>
  <si>
    <t>201504</t>
  </si>
  <si>
    <t>201505</t>
  </si>
  <si>
    <t>201506</t>
  </si>
  <si>
    <t>201507</t>
  </si>
  <si>
    <t>201508</t>
  </si>
  <si>
    <t>201509</t>
  </si>
  <si>
    <t>201510</t>
  </si>
  <si>
    <t>201511</t>
  </si>
  <si>
    <t>201512</t>
  </si>
  <si>
    <t>201601</t>
  </si>
  <si>
    <t>201602</t>
  </si>
  <si>
    <t>201603</t>
  </si>
  <si>
    <t>201604</t>
  </si>
  <si>
    <t>201605</t>
  </si>
  <si>
    <t>201606</t>
  </si>
  <si>
    <t>201607</t>
  </si>
  <si>
    <t>201608</t>
  </si>
  <si>
    <t>201609</t>
  </si>
  <si>
    <t>201610</t>
  </si>
  <si>
    <t>201611</t>
  </si>
  <si>
    <t>201612</t>
  </si>
  <si>
    <t>201701</t>
  </si>
  <si>
    <t>201702</t>
  </si>
  <si>
    <t>201703</t>
  </si>
  <si>
    <t>201704</t>
  </si>
  <si>
    <t>201705</t>
  </si>
  <si>
    <t>201706</t>
  </si>
  <si>
    <t>201707</t>
  </si>
  <si>
    <t>201708</t>
  </si>
  <si>
    <t>201709</t>
  </si>
  <si>
    <t>201710</t>
  </si>
  <si>
    <t>201711</t>
  </si>
  <si>
    <t>201712</t>
  </si>
  <si>
    <t>201801</t>
  </si>
  <si>
    <t>201802</t>
  </si>
  <si>
    <t>201803</t>
  </si>
  <si>
    <t>201804</t>
  </si>
  <si>
    <t>201805</t>
  </si>
  <si>
    <t>201806</t>
  </si>
  <si>
    <t>201807</t>
  </si>
  <si>
    <t>201808</t>
  </si>
  <si>
    <t>201809</t>
  </si>
  <si>
    <t>201810</t>
  </si>
  <si>
    <t>201811</t>
  </si>
  <si>
    <t>201812</t>
  </si>
  <si>
    <t>201901</t>
  </si>
  <si>
    <t>201902</t>
  </si>
  <si>
    <t>201903</t>
  </si>
  <si>
    <t>201904</t>
  </si>
  <si>
    <t>201905</t>
  </si>
  <si>
    <t>201906</t>
  </si>
  <si>
    <t>201907</t>
  </si>
  <si>
    <t>201908</t>
  </si>
  <si>
    <t>201909</t>
  </si>
  <si>
    <t>201910</t>
  </si>
  <si>
    <t>201911</t>
  </si>
  <si>
    <t>201912</t>
  </si>
  <si>
    <t>202001</t>
  </si>
  <si>
    <t>202002</t>
  </si>
  <si>
    <t>202003</t>
  </si>
  <si>
    <t>202004</t>
  </si>
  <si>
    <t>202005</t>
  </si>
  <si>
    <t>202006</t>
  </si>
  <si>
    <t>202007</t>
  </si>
  <si>
    <t>202008</t>
  </si>
  <si>
    <t>202009</t>
  </si>
  <si>
    <t>202010</t>
  </si>
  <si>
    <t>202011</t>
  </si>
  <si>
    <t>202012</t>
  </si>
  <si>
    <t>202101</t>
  </si>
  <si>
    <t>202102</t>
  </si>
  <si>
    <t>202103</t>
  </si>
  <si>
    <t>202104</t>
  </si>
  <si>
    <t>202105</t>
  </si>
  <si>
    <t>202106</t>
  </si>
  <si>
    <t>202107</t>
  </si>
  <si>
    <t>202108</t>
  </si>
  <si>
    <t>202109</t>
  </si>
  <si>
    <t>202110</t>
  </si>
  <si>
    <t>202111</t>
  </si>
  <si>
    <t>202112</t>
  </si>
  <si>
    <t>202201</t>
  </si>
  <si>
    <t>202202</t>
  </si>
  <si>
    <t>202203</t>
  </si>
  <si>
    <t>202204</t>
  </si>
  <si>
    <t>202205</t>
  </si>
  <si>
    <t>202206</t>
  </si>
  <si>
    <t>202207</t>
  </si>
  <si>
    <t>202208</t>
  </si>
  <si>
    <t>202209</t>
  </si>
  <si>
    <t>202210</t>
  </si>
  <si>
    <t>202211</t>
  </si>
  <si>
    <t>202212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</si>
  <si>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</si>
  <si>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</si>
  <si>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</si>
  <si>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</si>
  <si>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</si>
  <si>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</si>
  <si>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</si>
  <si>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</si>
  <si>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</si>
  <si>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</si>
  <si>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</si>
  <si>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</si>
  <si>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</si>
  <si>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</si>
  <si>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</si>
  <si>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</si>
  <si>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</si>
  <si>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</si>
  <si>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</si>
  <si>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</si>
  <si>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</si>
  <si>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</si>
  <si>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</si>
  <si>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</si>
  <si>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</si>
  <si>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</si>
  <si>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</si>
  <si>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</si>
  <si>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</si>
  <si>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</si>
  <si>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</si>
  <si>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</si>
  <si>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</si>
  <si>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</si>
  <si>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</si>
  <si>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</si>
  <si>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202601</t>
  </si>
  <si>
    <t>202602</t>
  </si>
  <si>
    <t>Monthly</t>
  </si>
  <si>
    <t>Jan-1947</t>
  </si>
  <si>
    <t>UKGDP</t>
  </si>
  <si>
    <t>UKCPI</t>
  </si>
  <si>
    <t>UKRR</t>
  </si>
  <si>
    <t>USDGBP</t>
  </si>
  <si>
    <t>ABMIQ@UK</t>
  </si>
  <si>
    <t>801 *Q</t>
  </si>
  <si>
    <t>801</t>
  </si>
  <si>
    <t>802</t>
  </si>
  <si>
    <t>803</t>
  </si>
  <si>
    <t>804</t>
  </si>
  <si>
    <t>811</t>
  </si>
  <si>
    <t>812</t>
  </si>
  <si>
    <t>813</t>
  </si>
  <si>
    <t>814</t>
  </si>
  <si>
    <t>821</t>
  </si>
  <si>
    <t>822</t>
  </si>
  <si>
    <t>823</t>
  </si>
  <si>
    <t>824</t>
  </si>
  <si>
    <t>831</t>
  </si>
  <si>
    <t>832</t>
  </si>
  <si>
    <t>833</t>
  </si>
  <si>
    <t>834</t>
  </si>
  <si>
    <t>841</t>
  </si>
  <si>
    <t>842</t>
  </si>
  <si>
    <t>843</t>
  </si>
  <si>
    <t>844</t>
  </si>
  <si>
    <t>851</t>
  </si>
  <si>
    <t>852</t>
  </si>
  <si>
    <t>853</t>
  </si>
  <si>
    <t>854</t>
  </si>
  <si>
    <t>861</t>
  </si>
  <si>
    <t>862</t>
  </si>
  <si>
    <t>863</t>
  </si>
  <si>
    <t>864</t>
  </si>
  <si>
    <t>871</t>
  </si>
  <si>
    <t>872</t>
  </si>
  <si>
    <t>873</t>
  </si>
  <si>
    <t>874</t>
  </si>
  <si>
    <t>881</t>
  </si>
  <si>
    <t>882</t>
  </si>
  <si>
    <t>883</t>
  </si>
  <si>
    <t>884</t>
  </si>
  <si>
    <t>891</t>
  </si>
  <si>
    <t>892</t>
  </si>
  <si>
    <t>893</t>
  </si>
  <si>
    <t>894</t>
  </si>
  <si>
    <t>901</t>
  </si>
  <si>
    <t>902</t>
  </si>
  <si>
    <t>903</t>
  </si>
  <si>
    <t>904</t>
  </si>
  <si>
    <t>911</t>
  </si>
  <si>
    <t>912</t>
  </si>
  <si>
    <t>913</t>
  </si>
  <si>
    <t>914</t>
  </si>
  <si>
    <t>921</t>
  </si>
  <si>
    <t>922</t>
  </si>
  <si>
    <t>923</t>
  </si>
  <si>
    <t>924</t>
  </si>
  <si>
    <t>931</t>
  </si>
  <si>
    <t>932</t>
  </si>
  <si>
    <t>933</t>
  </si>
  <si>
    <t>934</t>
  </si>
  <si>
    <t>941</t>
  </si>
  <si>
    <t>942</t>
  </si>
  <si>
    <t>943</t>
  </si>
  <si>
    <t>944</t>
  </si>
  <si>
    <t>951</t>
  </si>
  <si>
    <t>952</t>
  </si>
  <si>
    <t>953</t>
  </si>
  <si>
    <t>954</t>
  </si>
  <si>
    <t>961</t>
  </si>
  <si>
    <t>962</t>
  </si>
  <si>
    <t>963</t>
  </si>
  <si>
    <t>964</t>
  </si>
  <si>
    <t>971</t>
  </si>
  <si>
    <t>972</t>
  </si>
  <si>
    <t>973</t>
  </si>
  <si>
    <t>974</t>
  </si>
  <si>
    <t>981</t>
  </si>
  <si>
    <t>982</t>
  </si>
  <si>
    <t>983</t>
  </si>
  <si>
    <t>984</t>
  </si>
  <si>
    <t>991</t>
  </si>
  <si>
    <t>992</t>
  </si>
  <si>
    <t>993</t>
  </si>
  <si>
    <t>994</t>
  </si>
  <si>
    <t>001</t>
  </si>
  <si>
    <t>002</t>
  </si>
  <si>
    <t>003</t>
  </si>
  <si>
    <t>004</t>
  </si>
  <si>
    <t>011</t>
  </si>
  <si>
    <t>012</t>
  </si>
  <si>
    <t>013</t>
  </si>
  <si>
    <t>014</t>
  </si>
  <si>
    <t>021</t>
  </si>
  <si>
    <t>022</t>
  </si>
  <si>
    <t>024</t>
  </si>
  <si>
    <t>031</t>
  </si>
  <si>
    <t>032</t>
  </si>
  <si>
    <t>033</t>
  </si>
  <si>
    <t>034</t>
  </si>
  <si>
    <t>041</t>
  </si>
  <si>
    <t>042</t>
  </si>
  <si>
    <t>043</t>
  </si>
  <si>
    <t>044</t>
  </si>
  <si>
    <t>051</t>
  </si>
  <si>
    <t>052</t>
  </si>
  <si>
    <t>053</t>
  </si>
  <si>
    <t>054</t>
  </si>
  <si>
    <t>061</t>
  </si>
  <si>
    <t>062</t>
  </si>
  <si>
    <t>063</t>
  </si>
  <si>
    <t>064</t>
  </si>
  <si>
    <t>071</t>
  </si>
  <si>
    <t>072</t>
  </si>
  <si>
    <t>073</t>
  </si>
  <si>
    <t>074</t>
  </si>
  <si>
    <t>081</t>
  </si>
  <si>
    <t>082</t>
  </si>
  <si>
    <t>083</t>
  </si>
  <si>
    <t>084</t>
  </si>
  <si>
    <t>091</t>
  </si>
  <si>
    <t>092</t>
  </si>
  <si>
    <t>093</t>
  </si>
  <si>
    <t>094</t>
  </si>
  <si>
    <t>101</t>
  </si>
  <si>
    <t>102</t>
  </si>
  <si>
    <t>103</t>
  </si>
  <si>
    <t>104</t>
  </si>
  <si>
    <t>112</t>
  </si>
  <si>
    <t>113</t>
  </si>
  <si>
    <t>114</t>
  </si>
  <si>
    <t>121</t>
  </si>
  <si>
    <t>122</t>
  </si>
  <si>
    <t>123</t>
  </si>
  <si>
    <t>124</t>
  </si>
  <si>
    <t>131</t>
  </si>
  <si>
    <t>132</t>
  </si>
  <si>
    <t>133</t>
  </si>
  <si>
    <t>134</t>
  </si>
  <si>
    <t>141</t>
  </si>
  <si>
    <t>142</t>
  </si>
  <si>
    <t>143</t>
  </si>
  <si>
    <t>144</t>
  </si>
  <si>
    <t>151</t>
  </si>
  <si>
    <t>152</t>
  </si>
  <si>
    <t>153</t>
  </si>
  <si>
    <t>154</t>
  </si>
  <si>
    <t>161</t>
  </si>
  <si>
    <t>162</t>
  </si>
  <si>
    <t>163</t>
  </si>
  <si>
    <t>164</t>
  </si>
  <si>
    <t>171</t>
  </si>
  <si>
    <t>172</t>
  </si>
  <si>
    <t>173</t>
  </si>
  <si>
    <t>174</t>
  </si>
  <si>
    <t>181</t>
  </si>
  <si>
    <t>182</t>
  </si>
  <si>
    <t>183</t>
  </si>
  <si>
    <t>184</t>
  </si>
  <si>
    <t>191</t>
  </si>
  <si>
    <t>192</t>
  </si>
  <si>
    <t>193</t>
  </si>
  <si>
    <t>194</t>
  </si>
  <si>
    <t>201</t>
  </si>
  <si>
    <t>202</t>
  </si>
  <si>
    <t>203</t>
  </si>
  <si>
    <t>204</t>
  </si>
  <si>
    <t>211</t>
  </si>
  <si>
    <t>212</t>
  </si>
  <si>
    <t>213</t>
  </si>
  <si>
    <t>214</t>
  </si>
  <si>
    <t>221</t>
  </si>
  <si>
    <t>222</t>
  </si>
  <si>
    <t>223</t>
  </si>
  <si>
    <t>224</t>
  </si>
  <si>
    <t>231</t>
  </si>
  <si>
    <t>232</t>
  </si>
  <si>
    <t>233</t>
  </si>
  <si>
    <t>234</t>
  </si>
  <si>
    <t>241</t>
  </si>
  <si>
    <t>242</t>
  </si>
  <si>
    <t>243</t>
  </si>
  <si>
    <t>244</t>
  </si>
  <si>
    <t>251</t>
  </si>
  <si>
    <t>252</t>
  </si>
  <si>
    <t>253</t>
  </si>
  <si>
    <t>254</t>
  </si>
  <si>
    <t>261</t>
  </si>
  <si>
    <t>.GEO</t>
  </si>
  <si>
    <t>.GRPDESC</t>
  </si>
  <si>
    <t>.GRP</t>
  </si>
  <si>
    <t>.DATA_TYPE</t>
  </si>
  <si>
    <t>.DTLM</t>
  </si>
  <si>
    <t>UK: GDP (2nd Release) Press Release, ONS, Quarterly</t>
  </si>
  <si>
    <t>W31</t>
  </si>
  <si>
    <t>LocCur</t>
  </si>
  <si>
    <t>May-14-2026 08:16</t>
  </si>
  <si>
    <t>Office for National Statistics</t>
  </si>
  <si>
    <t>Q1-2026</t>
  </si>
  <si>
    <t>Q1-1955</t>
  </si>
  <si>
    <t>UK: Real Gross Domestic Product (SA, Mil.Chn.2023.GBP)</t>
  </si>
  <si>
    <t>UNBEDR@UK</t>
  </si>
  <si>
    <t>U.K.: Interbank Rates, BoE, Monthly</t>
  </si>
  <si>
    <t>P50</t>
  </si>
  <si>
    <t>Bank of England</t>
  </si>
  <si>
    <t>Q1-2026 &lt;- Apr-2026</t>
  </si>
  <si>
    <t>Q1-1948 &lt;- Jan-1948</t>
  </si>
  <si>
    <t>UK: Official Bank Rate (Average, %)</t>
  </si>
  <si>
    <t>UK: Consumer Prices Indexes, ONS, Monthly</t>
  </si>
  <si>
    <t>P29</t>
  </si>
  <si>
    <t>INDEX</t>
  </si>
  <si>
    <t>Q1-1988 &lt;- Jan-1988</t>
  </si>
  <si>
    <t>SA(D7BT@UK)</t>
  </si>
  <si>
    <t>UK: Consumer Price Index: All Items (NSA, 2015=100)  - Seasonal Adjustment, All</t>
  </si>
  <si>
    <t>N112XUSV@G10</t>
  </si>
  <si>
    <t>U.S.: Spot Exchange Rates, FRB G.5, Monthly</t>
  </si>
  <si>
    <t>A04</t>
  </si>
  <si>
    <t>US$/LC</t>
  </si>
  <si>
    <t>U.K.: Exchange Rate (Avg, US$/Pound)</t>
  </si>
  <si>
    <t>SA(DIFF%(H924NGPC@EMERGE))</t>
  </si>
  <si>
    <t>20261</t>
  </si>
  <si>
    <t>EA21: Gross Domestic Product (SWDA, Mil.Ch.2020.EUR)</t>
  </si>
  <si>
    <t>0 &lt;- 9</t>
  </si>
  <si>
    <t>China: Gross Domestic Product (SA, 2020.Yuan)</t>
  </si>
  <si>
    <t>Q1-2026 &lt;- May-2026</t>
  </si>
  <si>
    <t>SA(DIFF%(H924PC@EMERGE))</t>
  </si>
  <si>
    <t>level CHCPI</t>
  </si>
  <si>
    <t>diff CPI SA</t>
  </si>
  <si>
    <t>level reconstructed</t>
  </si>
  <si>
    <t>level CHGDP</t>
  </si>
  <si>
    <t>DIFF gdp sa</t>
  </si>
  <si>
    <t>LEVEL RECONST</t>
  </si>
  <si>
    <t>202603</t>
  </si>
  <si>
    <t>202604</t>
  </si>
  <si>
    <t>202605</t>
  </si>
  <si>
    <t>Apr-2026</t>
  </si>
  <si>
    <t>Jun-01-2026 14:52</t>
  </si>
  <si>
    <t>May-20-2026 08:03</t>
  </si>
  <si>
    <t>Jun-01-2026 22:28</t>
  </si>
  <si>
    <t>N023RTAR@G10</t>
  </si>
  <si>
    <t>Q1-1999 &lt;- Jan-1999</t>
  </si>
  <si>
    <t>Euro Area 11-21: Deposit Rate (EOP, 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</si>
</sst>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"/>
    <numFmt numFmtId="165" formatCode="0.0000"/>
    <numFmt numFmtId="166" formatCode="###0.0;\-###0.0;0.0;@"/>
    <numFmt numFmtId="167" formatCode="0.000000"/>
    <numFmt numFmtId="168" formatCode="0.000"/>
    <numFmt numFmtId="169" formatCode="yymm"/>
    <numFmt numFmtId="170" formatCode="0.0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indexed="16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4A80"/>
      </patternFill>
    </fill>
    <fill>
      <patternFill patternType="solid">
        <fgColor rgb="FFFFF9E7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363636"/>
      </left>
      <right style="thin">
        <color rgb="FF363636"/>
      </right>
      <top style="thin">
        <color rgb="FF363636"/>
      </top>
      <bottom style="thin">
        <color rgb="FF363636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</cellStyleXfs>
  <cellXfs count="31">
    <xf numFmtId="0" fontId="0" fillId="0" borderId="0" xfId="0"/>
    <xf numFmtId="0" fontId="0" fillId="0" borderId="0" xfId="0" quotePrefix="1"/>
    <xf numFmtId="164" fontId="0" fillId="0" borderId="0" xfId="0" applyNumberFormat="1"/>
    <xf numFmtId="2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/>
    <xf numFmtId="0" fontId="3" fillId="2" borderId="1" xfId="1" applyFont="1" applyFill="1" applyBorder="1" applyAlignment="1">
      <alignment horizontal="left" wrapText="1"/>
    </xf>
    <xf numFmtId="166" fontId="0" fillId="0" borderId="0" xfId="0" applyNumberFormat="1"/>
    <xf numFmtId="166" fontId="4" fillId="0" borderId="0" xfId="0" applyNumberFormat="1" applyFont="1"/>
    <xf numFmtId="14" fontId="0" fillId="0" borderId="0" xfId="0" applyNumberFormat="1" applyBorder="1"/>
    <xf numFmtId="2" fontId="0" fillId="3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0" fillId="0" borderId="0" xfId="0" quotePrefix="1" applyNumberFormat="1"/>
    <xf numFmtId="0" fontId="3" fillId="2" borderId="1" xfId="2" applyFont="1" applyFill="1" applyBorder="1" applyAlignment="1">
      <alignment horizontal="left" wrapText="1"/>
    </xf>
    <xf numFmtId="0" fontId="1" fillId="0" borderId="0" xfId="0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0" fontId="0" fillId="0" borderId="0" xfId="0" applyFill="1"/>
    <xf numFmtId="167" fontId="0" fillId="0" borderId="0" xfId="0" applyNumberFormat="1"/>
    <xf numFmtId="168" fontId="0" fillId="0" borderId="0" xfId="0" applyNumberFormat="1"/>
    <xf numFmtId="0" fontId="1" fillId="0" borderId="0" xfId="0" applyFont="1" applyAlignment="1">
      <alignment horizontal="center" vertical="center" wrapText="1"/>
    </xf>
    <xf numFmtId="166" fontId="0" fillId="0" borderId="0" xfId="0" applyNumberFormat="1" applyAlignment="1">
      <alignment horizontal="center"/>
    </xf>
    <xf numFmtId="0" fontId="5" fillId="0" borderId="0" xfId="3"/>
    <xf numFmtId="169" fontId="0" fillId="0" borderId="0" xfId="0" applyNumberFormat="1"/>
    <xf numFmtId="1" fontId="0" fillId="0" borderId="0" xfId="0" applyNumberFormat="1"/>
    <xf numFmtId="170" fontId="0" fillId="0" borderId="0" xfId="0" applyNumberFormat="1"/>
    <xf numFmtId="165" fontId="0" fillId="0" borderId="0" xfId="0" applyNumberFormat="1" applyAlignment="1">
      <alignment horizontal="center"/>
    </xf>
    <xf numFmtId="10" fontId="0" fillId="0" borderId="0" xfId="0" applyNumberFormat="1"/>
    <xf numFmtId="2" fontId="0" fillId="4" borderId="0" xfId="0" applyNumberFormat="1" applyFill="1" applyAlignment="1">
      <alignment horizontal="center"/>
    </xf>
  </cellXfs>
  <cellStyles count="4">
    <cellStyle name="Hipervínculo" xfId="3" builtinId="8"/>
    <cellStyle name="Normal" xfId="0" builtinId="0"/>
    <cellStyle name="Normal 2" xfId="1" xr:uid="{00000000-0005-0000-0000-000001000000}"/>
    <cellStyle name="Normal 4" xfId="2" xr:uid="{00000000-0005-0000-0000-000002000000}"/>
  </cellStyles>
  <dxfs count="0"/>
  <tableStyles count="0" defaultTableStyle="TableStyleMedium2" defaultPivotStyle="PivotStyleLight16"/>
  <colors>
    <mruColors>
      <color rgb="FFFFF9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0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O018866\Documents\GitHub\LARGESVARBBVA\Data\Data_China_OE_EffER_XM.xlsx" TargetMode="External"/><Relationship Id="rId1" Type="http://schemas.openxmlformats.org/officeDocument/2006/relationships/externalLinkPath" Target="Data_China_OE_EffER_XM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s/AWMD_Apr202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Inputs/Base_UEM_ma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0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xchange rate"/>
      <sheetName val="X-M"/>
    </sheetNames>
    <sheetDataSet>
      <sheetData sheetId="0">
        <row r="7">
          <cell r="C7">
            <v>170.102</v>
          </cell>
        </row>
        <row r="8">
          <cell r="C8">
            <v>172.09739999999999</v>
          </cell>
        </row>
        <row r="9">
          <cell r="C9">
            <v>174.15889999999999</v>
          </cell>
        </row>
        <row r="10">
          <cell r="C10">
            <v>171.29589999999999</v>
          </cell>
        </row>
        <row r="11">
          <cell r="C11">
            <v>166.3783</v>
          </cell>
        </row>
        <row r="12">
          <cell r="C12">
            <v>162.24860000000001</v>
          </cell>
        </row>
        <row r="13">
          <cell r="C13">
            <v>164.42660000000001</v>
          </cell>
        </row>
        <row r="14">
          <cell r="C14">
            <v>164.65620000000001</v>
          </cell>
        </row>
        <row r="15">
          <cell r="C15">
            <v>164.7457</v>
          </cell>
        </row>
        <row r="16">
          <cell r="C16">
            <v>166.12880000000001</v>
          </cell>
        </row>
        <row r="17">
          <cell r="C17">
            <v>166.3922</v>
          </cell>
        </row>
        <row r="18">
          <cell r="C18">
            <v>166.80160000000001</v>
          </cell>
        </row>
        <row r="19">
          <cell r="C19">
            <v>168.33430000000001</v>
          </cell>
        </row>
        <row r="20">
          <cell r="C20">
            <v>170.27760000000001</v>
          </cell>
        </row>
        <row r="21">
          <cell r="C21">
            <v>176.0377</v>
          </cell>
        </row>
        <row r="22">
          <cell r="C22">
            <v>178.82239999999999</v>
          </cell>
        </row>
        <row r="23">
          <cell r="C23">
            <v>174.69589999999999</v>
          </cell>
        </row>
        <row r="24">
          <cell r="C24">
            <v>168.1343</v>
          </cell>
        </row>
        <row r="25">
          <cell r="C25">
            <v>158.488</v>
          </cell>
        </row>
        <row r="26">
          <cell r="C26">
            <v>147.08000000000001</v>
          </cell>
        </row>
        <row r="27">
          <cell r="C27">
            <v>145.51159999999999</v>
          </cell>
        </row>
        <row r="28">
          <cell r="C28">
            <v>143.61019999999999</v>
          </cell>
        </row>
        <row r="29">
          <cell r="C29">
            <v>138.62549999999999</v>
          </cell>
        </row>
        <row r="30">
          <cell r="C30">
            <v>123.8927</v>
          </cell>
        </row>
        <row r="31">
          <cell r="C31">
            <v>119.4328</v>
          </cell>
        </row>
        <row r="32">
          <cell r="C32">
            <v>117.8181</v>
          </cell>
        </row>
        <row r="33">
          <cell r="C33">
            <v>100.7163</v>
          </cell>
        </row>
        <row r="34">
          <cell r="C34">
            <v>100.6854</v>
          </cell>
        </row>
        <row r="35">
          <cell r="C35">
            <v>98.400279999999995</v>
          </cell>
        </row>
        <row r="36">
          <cell r="C36">
            <v>97.071520000000007</v>
          </cell>
        </row>
        <row r="37">
          <cell r="C37">
            <v>98.806370000000001</v>
          </cell>
        </row>
        <row r="38">
          <cell r="C38">
            <v>96.616889999999998</v>
          </cell>
        </row>
        <row r="39">
          <cell r="C39">
            <v>96.359650000000002</v>
          </cell>
        </row>
        <row r="40">
          <cell r="C40">
            <v>97.010490000000004</v>
          </cell>
        </row>
        <row r="41">
          <cell r="C41">
            <v>101.592</v>
          </cell>
        </row>
        <row r="42">
          <cell r="C42">
            <v>100.1023</v>
          </cell>
        </row>
        <row r="43">
          <cell r="C43">
            <v>102.26739999999999</v>
          </cell>
        </row>
        <row r="44">
          <cell r="C44">
            <v>106.3721</v>
          </cell>
        </row>
        <row r="45">
          <cell r="C45">
            <v>109.3334</v>
          </cell>
        </row>
        <row r="46">
          <cell r="C46">
            <v>106.57859999999999</v>
          </cell>
        </row>
        <row r="47">
          <cell r="C47">
            <v>92.15907</v>
          </cell>
        </row>
        <row r="48">
          <cell r="C48">
            <v>93.208169999999996</v>
          </cell>
        </row>
        <row r="49">
          <cell r="C49">
            <v>90.835260000000005</v>
          </cell>
        </row>
        <row r="50">
          <cell r="C50">
            <v>84.475250000000003</v>
          </cell>
        </row>
        <row r="51">
          <cell r="C51">
            <v>82.465000000000003</v>
          </cell>
        </row>
        <row r="52">
          <cell r="C52">
            <v>85.487399999999994</v>
          </cell>
        </row>
        <row r="53">
          <cell r="C53">
            <v>86.071209999999994</v>
          </cell>
        </row>
        <row r="54">
          <cell r="C54">
            <v>85.264840000000007</v>
          </cell>
        </row>
        <row r="55">
          <cell r="C55">
            <v>86.81438</v>
          </cell>
        </row>
        <row r="56">
          <cell r="C56">
            <v>87.188500000000005</v>
          </cell>
        </row>
        <row r="57">
          <cell r="C57">
            <v>87.104849999999999</v>
          </cell>
        </row>
        <row r="58">
          <cell r="C58">
            <v>88.877830000000003</v>
          </cell>
        </row>
        <row r="59">
          <cell r="C59">
            <v>90.782989999999998</v>
          </cell>
        </row>
        <row r="60">
          <cell r="C60">
            <v>91.759519999999995</v>
          </cell>
        </row>
        <row r="61">
          <cell r="C61">
            <v>93.445580000000007</v>
          </cell>
        </row>
        <row r="62">
          <cell r="C62">
            <v>95.529020000000003</v>
          </cell>
        </row>
        <row r="63">
          <cell r="C63">
            <v>65.296869999999998</v>
          </cell>
        </row>
        <row r="64">
          <cell r="C64">
            <v>66.095529999999997</v>
          </cell>
        </row>
        <row r="65">
          <cell r="C65">
            <v>66.052049999999994</v>
          </cell>
        </row>
        <row r="66">
          <cell r="C66">
            <v>66.782359999999997</v>
          </cell>
        </row>
        <row r="67">
          <cell r="C67">
            <v>67.940950000000001</v>
          </cell>
        </row>
        <row r="68">
          <cell r="C68">
            <v>66.531829999999999</v>
          </cell>
        </row>
        <row r="69">
          <cell r="C69">
            <v>68.410989999999998</v>
          </cell>
        </row>
        <row r="70">
          <cell r="C70">
            <v>69.795649999999995</v>
          </cell>
        </row>
        <row r="71">
          <cell r="C71">
            <v>71.119519999999994</v>
          </cell>
        </row>
        <row r="72">
          <cell r="C72">
            <v>71.884159999999994</v>
          </cell>
        </row>
        <row r="73">
          <cell r="C73">
            <v>72.447090000000003</v>
          </cell>
        </row>
        <row r="74">
          <cell r="C74">
            <v>73.439480000000003</v>
          </cell>
        </row>
        <row r="75">
          <cell r="C75">
            <v>76.328749999999999</v>
          </cell>
        </row>
        <row r="76">
          <cell r="C76">
            <v>77.311719999999994</v>
          </cell>
        </row>
        <row r="77">
          <cell r="C77">
            <v>79.357950000000002</v>
          </cell>
        </row>
        <row r="78">
          <cell r="C78">
            <v>83.629980000000003</v>
          </cell>
        </row>
        <row r="79">
          <cell r="C79">
            <v>89.86</v>
          </cell>
        </row>
        <row r="80">
          <cell r="C80">
            <v>89.425539999999998</v>
          </cell>
        </row>
        <row r="81">
          <cell r="C81">
            <v>90.875550000000004</v>
          </cell>
        </row>
        <row r="82">
          <cell r="C82">
            <v>87.584770000000006</v>
          </cell>
        </row>
        <row r="83">
          <cell r="C83">
            <v>89.080759999999998</v>
          </cell>
        </row>
        <row r="84">
          <cell r="C84">
            <v>90.828329999999994</v>
          </cell>
        </row>
        <row r="85">
          <cell r="C85">
            <v>90.347260000000006</v>
          </cell>
        </row>
        <row r="86">
          <cell r="C86">
            <v>89.51679</v>
          </cell>
        </row>
        <row r="87">
          <cell r="C87">
            <v>90.558210000000003</v>
          </cell>
        </row>
        <row r="88">
          <cell r="C88">
            <v>92.37276</v>
          </cell>
        </row>
        <row r="89">
          <cell r="C89">
            <v>93.723190000000002</v>
          </cell>
        </row>
        <row r="90">
          <cell r="C90">
            <v>96.361170000000001</v>
          </cell>
        </row>
        <row r="91">
          <cell r="C91">
            <v>97.109859999999998</v>
          </cell>
        </row>
        <row r="92">
          <cell r="C92">
            <v>100.3974</v>
          </cell>
        </row>
        <row r="93">
          <cell r="C93">
            <v>100.18259999999999</v>
          </cell>
        </row>
        <row r="94">
          <cell r="C94">
            <v>100.58280000000001</v>
          </cell>
        </row>
        <row r="95">
          <cell r="C95">
            <v>102.5967</v>
          </cell>
        </row>
        <row r="96">
          <cell r="C96">
            <v>100.1644</v>
          </cell>
        </row>
        <row r="97">
          <cell r="C97">
            <v>97.440250000000006</v>
          </cell>
        </row>
        <row r="98">
          <cell r="C98">
            <v>98.038799999999995</v>
          </cell>
        </row>
        <row r="99">
          <cell r="C99">
            <v>95.472239999999999</v>
          </cell>
        </row>
        <row r="100">
          <cell r="C100">
            <v>93.300439999999995</v>
          </cell>
        </row>
        <row r="101">
          <cell r="C101">
            <v>93.002830000000003</v>
          </cell>
        </row>
        <row r="102">
          <cell r="C102">
            <v>90.19135</v>
          </cell>
        </row>
        <row r="103">
          <cell r="C103">
            <v>88.261520000000004</v>
          </cell>
        </row>
        <row r="104">
          <cell r="C104">
            <v>89.775499999999994</v>
          </cell>
        </row>
        <row r="105">
          <cell r="C105">
            <v>89.527119999999996</v>
          </cell>
        </row>
        <row r="106">
          <cell r="C106">
            <v>86.394490000000005</v>
          </cell>
        </row>
        <row r="107">
          <cell r="C107">
            <v>84.784000000000006</v>
          </cell>
        </row>
        <row r="108">
          <cell r="C108">
            <v>86.0655</v>
          </cell>
        </row>
        <row r="109">
          <cell r="C109">
            <v>89.053880000000007</v>
          </cell>
        </row>
        <row r="110">
          <cell r="C110">
            <v>91.250110000000006</v>
          </cell>
        </row>
        <row r="111">
          <cell r="C111">
            <v>90.031559999999999</v>
          </cell>
        </row>
        <row r="112">
          <cell r="C112">
            <v>88.789760000000001</v>
          </cell>
        </row>
        <row r="113">
          <cell r="C113">
            <v>89.299959999999999</v>
          </cell>
        </row>
        <row r="114">
          <cell r="C114">
            <v>89.903840000000002</v>
          </cell>
        </row>
        <row r="115">
          <cell r="C115">
            <v>90.626980000000003</v>
          </cell>
        </row>
        <row r="116">
          <cell r="C116">
            <v>90.339330000000004</v>
          </cell>
        </row>
        <row r="117">
          <cell r="C117">
            <v>90.655169999999998</v>
          </cell>
        </row>
        <row r="118">
          <cell r="C118">
            <v>89.454710000000006</v>
          </cell>
        </row>
        <row r="119">
          <cell r="C119">
            <v>90.981039999999993</v>
          </cell>
        </row>
        <row r="120">
          <cell r="C120">
            <v>92.692610000000002</v>
          </cell>
        </row>
        <row r="121">
          <cell r="C121">
            <v>96.746619999999993</v>
          </cell>
        </row>
        <row r="122">
          <cell r="C122">
            <v>105.27809999999999</v>
          </cell>
        </row>
        <row r="123">
          <cell r="C123">
            <v>107.45229999999999</v>
          </cell>
        </row>
        <row r="124">
          <cell r="C124">
            <v>104.31529999999999</v>
          </cell>
        </row>
        <row r="125">
          <cell r="C125">
            <v>100.8845</v>
          </cell>
        </row>
        <row r="126">
          <cell r="C126">
            <v>97.92747</v>
          </cell>
        </row>
        <row r="127">
          <cell r="C127">
            <v>99.378339999999994</v>
          </cell>
        </row>
        <row r="128">
          <cell r="C128">
            <v>101.82689999999999</v>
          </cell>
        </row>
        <row r="129">
          <cell r="C129">
            <v>101.3275</v>
          </cell>
        </row>
        <row r="130">
          <cell r="C130">
            <v>99.782139999999998</v>
          </cell>
        </row>
        <row r="131">
          <cell r="C131">
            <v>99.498630000000006</v>
          </cell>
        </row>
        <row r="132">
          <cell r="C132">
            <v>98.288570000000007</v>
          </cell>
        </row>
        <row r="133">
          <cell r="C133">
            <v>99.809209999999993</v>
          </cell>
        </row>
        <row r="134">
          <cell r="C134">
            <v>104.3265</v>
          </cell>
        </row>
        <row r="135">
          <cell r="C135">
            <v>105.3296</v>
          </cell>
        </row>
        <row r="136">
          <cell r="C136">
            <v>106.58459999999999</v>
          </cell>
        </row>
        <row r="137">
          <cell r="C137">
            <v>106.38630000000001</v>
          </cell>
        </row>
        <row r="138">
          <cell r="C138">
            <v>106.9128</v>
          </cell>
        </row>
        <row r="139">
          <cell r="C139">
            <v>108.9661</v>
          </cell>
        </row>
        <row r="140">
          <cell r="C140">
            <v>112.52589999999999</v>
          </cell>
        </row>
        <row r="141">
          <cell r="C141">
            <v>114.04949999999999</v>
          </cell>
        </row>
        <row r="142">
          <cell r="C142">
            <v>113.69889999999999</v>
          </cell>
        </row>
        <row r="143">
          <cell r="C143">
            <v>114.9122</v>
          </cell>
        </row>
        <row r="144">
          <cell r="C144">
            <v>111.4085</v>
          </cell>
        </row>
        <row r="145">
          <cell r="C145">
            <v>114.0642</v>
          </cell>
        </row>
        <row r="146">
          <cell r="C146">
            <v>120.4089</v>
          </cell>
        </row>
        <row r="147">
          <cell r="C147">
            <v>124.9639</v>
          </cell>
        </row>
        <row r="148">
          <cell r="C148">
            <v>126.2812</v>
          </cell>
        </row>
        <row r="149">
          <cell r="C149">
            <v>127.5111</v>
          </cell>
        </row>
        <row r="150">
          <cell r="C150">
            <v>127.10169999999999</v>
          </cell>
        </row>
        <row r="151">
          <cell r="C151">
            <v>124.72239999999999</v>
          </cell>
        </row>
        <row r="152">
          <cell r="C152">
            <v>121.22329999999999</v>
          </cell>
        </row>
        <row r="153">
          <cell r="C153">
            <v>117.8625</v>
          </cell>
        </row>
        <row r="154">
          <cell r="C154">
            <v>118.3432</v>
          </cell>
        </row>
        <row r="155">
          <cell r="C155">
            <v>118.1925</v>
          </cell>
        </row>
        <row r="156">
          <cell r="C156">
            <v>116.2666</v>
          </cell>
        </row>
        <row r="157">
          <cell r="C157">
            <v>117.1337</v>
          </cell>
        </row>
        <row r="158">
          <cell r="C158">
            <v>118.4442</v>
          </cell>
        </row>
        <row r="159">
          <cell r="C159">
            <v>119.7941</v>
          </cell>
        </row>
        <row r="160">
          <cell r="C160">
            <v>122.0031</v>
          </cell>
        </row>
        <row r="161">
          <cell r="C161">
            <v>117.46639999999999</v>
          </cell>
        </row>
        <row r="162">
          <cell r="C162">
            <v>116.8639</v>
          </cell>
        </row>
        <row r="163">
          <cell r="C163">
            <v>118.8943</v>
          </cell>
        </row>
        <row r="164">
          <cell r="C164">
            <v>118.68380000000001</v>
          </cell>
        </row>
        <row r="165">
          <cell r="C165">
            <v>115.809</v>
          </cell>
        </row>
        <row r="166">
          <cell r="C166">
            <v>115.33150000000001</v>
          </cell>
        </row>
        <row r="167">
          <cell r="C167">
            <v>117.45269999999999</v>
          </cell>
        </row>
        <row r="168">
          <cell r="C168">
            <v>117.6617</v>
          </cell>
        </row>
        <row r="169">
          <cell r="C169">
            <v>117.22799999999999</v>
          </cell>
        </row>
        <row r="170">
          <cell r="C170">
            <v>120.252</v>
          </cell>
        </row>
        <row r="171">
          <cell r="C171">
            <v>121.9974</v>
          </cell>
        </row>
        <row r="172">
          <cell r="C172">
            <v>123.01560000000001</v>
          </cell>
        </row>
        <row r="173">
          <cell r="C173">
            <v>124.4853</v>
          </cell>
        </row>
        <row r="174">
          <cell r="C174">
            <v>128.53919999999999</v>
          </cell>
        </row>
        <row r="175">
          <cell r="C175">
            <v>131.26159999999999</v>
          </cell>
        </row>
        <row r="176">
          <cell r="C176">
            <v>130.86070000000001</v>
          </cell>
        </row>
        <row r="177">
          <cell r="C177">
            <v>131.3322</v>
          </cell>
        </row>
        <row r="178">
          <cell r="C178">
            <v>127.69970000000001</v>
          </cell>
        </row>
        <row r="179">
          <cell r="C179">
            <v>128.1053</v>
          </cell>
        </row>
        <row r="180">
          <cell r="C180">
            <v>125.7456</v>
          </cell>
        </row>
        <row r="181">
          <cell r="C181">
            <v>123.8096</v>
          </cell>
        </row>
        <row r="182">
          <cell r="C182">
            <v>125.7312</v>
          </cell>
        </row>
        <row r="183">
          <cell r="C183">
            <v>126.2555</v>
          </cell>
        </row>
        <row r="184">
          <cell r="C184">
            <v>127.52200000000001</v>
          </cell>
        </row>
        <row r="185">
          <cell r="C185">
            <v>127.0783</v>
          </cell>
        </row>
        <row r="186">
          <cell r="C186">
            <v>128.9556</v>
          </cell>
        </row>
        <row r="187">
          <cell r="C187">
            <v>128.9408</v>
          </cell>
        </row>
        <row r="188">
          <cell r="C188">
            <v>124.33240000000001</v>
          </cell>
        </row>
        <row r="189">
          <cell r="C189">
            <v>124.4251</v>
          </cell>
        </row>
        <row r="190">
          <cell r="C190">
            <v>127.34480000000001</v>
          </cell>
        </row>
      </sheetData>
      <sheetData sheetId="1">
        <row r="7">
          <cell r="B7">
            <v>28.062080000000002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duction"/>
      <sheetName val="AWMD_Updated"/>
      <sheetName val="awm19up18"/>
    </sheetNames>
    <sheetDataSet>
      <sheetData sheetId="0"/>
      <sheetData sheetId="1">
        <row r="2">
          <cell r="B2">
            <v>1099492.7922236717</v>
          </cell>
          <cell r="T2">
            <v>14.274151491053445</v>
          </cell>
          <cell r="AI2">
            <v>7.9869932180000003</v>
          </cell>
        </row>
        <row r="3">
          <cell r="B3">
            <v>1120627.1414320327</v>
          </cell>
          <cell r="T3">
            <v>14.434899026747654</v>
          </cell>
          <cell r="AI3">
            <v>7.9565450039999996</v>
          </cell>
        </row>
        <row r="4">
          <cell r="B4">
            <v>1134127.9715542814</v>
          </cell>
          <cell r="T4">
            <v>14.568972351816717</v>
          </cell>
          <cell r="AI4">
            <v>7.602188806</v>
          </cell>
        </row>
        <row r="5">
          <cell r="B5">
            <v>1147866.5978610846</v>
          </cell>
          <cell r="T5">
            <v>14.752618767554864</v>
          </cell>
          <cell r="AI5">
            <v>7.2423084040000001</v>
          </cell>
        </row>
        <row r="6">
          <cell r="B6">
            <v>1145859.5653233049</v>
          </cell>
          <cell r="T6">
            <v>15.022850173958533</v>
          </cell>
          <cell r="AI6">
            <v>6.5168982130000002</v>
          </cell>
        </row>
        <row r="7">
          <cell r="B7">
            <v>1160538.2101512637</v>
          </cell>
          <cell r="T7">
            <v>15.276235609740946</v>
          </cell>
          <cell r="AI7">
            <v>5.9386375290000002</v>
          </cell>
        </row>
        <row r="8">
          <cell r="B8">
            <v>1178637.8545914607</v>
          </cell>
          <cell r="T8">
            <v>15.456064715663491</v>
          </cell>
          <cell r="AI8">
            <v>6.2262125619999997</v>
          </cell>
        </row>
        <row r="9">
          <cell r="B9">
            <v>1188012.3995315752</v>
          </cell>
          <cell r="T9">
            <v>15.690365022557353</v>
          </cell>
          <cell r="AI9">
            <v>6.005823296</v>
          </cell>
        </row>
        <row r="10">
          <cell r="B10">
            <v>1205616.5203552593</v>
          </cell>
          <cell r="T10">
            <v>15.955659184786441</v>
          </cell>
          <cell r="AI10">
            <v>5.0466009070000002</v>
          </cell>
        </row>
        <row r="11">
          <cell r="B11">
            <v>1213734.4803915417</v>
          </cell>
          <cell r="T11">
            <v>16.18355295721706</v>
          </cell>
          <cell r="AI11">
            <v>4.7536779339999997</v>
          </cell>
        </row>
        <row r="12">
          <cell r="B12">
            <v>1230330.7060323597</v>
          </cell>
          <cell r="T12">
            <v>16.470980403469834</v>
          </cell>
          <cell r="AI12">
            <v>4.8573328550000001</v>
          </cell>
        </row>
        <row r="13">
          <cell r="B13">
            <v>1248340.6034820473</v>
          </cell>
          <cell r="T13">
            <v>16.809796741959868</v>
          </cell>
          <cell r="AI13">
            <v>6.3948429679999998</v>
          </cell>
        </row>
        <row r="14">
          <cell r="B14">
            <v>1272374.1919969199</v>
          </cell>
          <cell r="T14">
            <v>17.163342276829948</v>
          </cell>
          <cell r="AI14">
            <v>6.7913627769999998</v>
          </cell>
        </row>
        <row r="15">
          <cell r="B15">
            <v>1287801.6656661483</v>
          </cell>
          <cell r="T15">
            <v>17.579335164020513</v>
          </cell>
          <cell r="AI15">
            <v>8.4854333719999993</v>
          </cell>
        </row>
        <row r="16">
          <cell r="B16">
            <v>1305486.3937974465</v>
          </cell>
          <cell r="T16">
            <v>17.936340825005416</v>
          </cell>
          <cell r="AI16">
            <v>10.211200034999999</v>
          </cell>
        </row>
        <row r="17">
          <cell r="B17">
            <v>1319750.2685794067</v>
          </cell>
          <cell r="T17">
            <v>18.408230801896487</v>
          </cell>
          <cell r="AI17">
            <v>11.082562958</v>
          </cell>
        </row>
        <row r="18">
          <cell r="B18">
            <v>1332816.9079353318</v>
          </cell>
          <cell r="T18">
            <v>19.037351265464782</v>
          </cell>
          <cell r="AI18">
            <v>11.226946358999999</v>
          </cell>
        </row>
        <row r="19">
          <cell r="B19">
            <v>1335228.6004851898</v>
          </cell>
          <cell r="T19">
            <v>19.677253407359721</v>
          </cell>
          <cell r="AI19">
            <v>11.465486577</v>
          </cell>
        </row>
        <row r="20">
          <cell r="B20">
            <v>1344324.7287351985</v>
          </cell>
          <cell r="T20">
            <v>20.253607473930096</v>
          </cell>
          <cell r="AI20">
            <v>11.524151691</v>
          </cell>
        </row>
        <row r="21">
          <cell r="B21">
            <v>1322903.9841410089</v>
          </cell>
          <cell r="T21">
            <v>20.907105358639047</v>
          </cell>
          <cell r="AI21">
            <v>10.65978015</v>
          </cell>
        </row>
        <row r="22">
          <cell r="B22">
            <v>1310557.0282023719</v>
          </cell>
          <cell r="T22">
            <v>21.240893378589043</v>
          </cell>
          <cell r="AI22">
            <v>8.8139351779999995</v>
          </cell>
        </row>
        <row r="23">
          <cell r="B23">
            <v>1317323.7339456878</v>
          </cell>
          <cell r="T23">
            <v>21.762747070862602</v>
          </cell>
          <cell r="AI23">
            <v>7.0553127269999996</v>
          </cell>
        </row>
        <row r="24">
          <cell r="B24">
            <v>1329091.2012866964</v>
          </cell>
          <cell r="T24">
            <v>22.140068791977932</v>
          </cell>
          <cell r="AI24">
            <v>6.3822833169999997</v>
          </cell>
        </row>
        <row r="25">
          <cell r="B25">
            <v>1343135.5264119296</v>
          </cell>
          <cell r="T25">
            <v>22.553007830461766</v>
          </cell>
          <cell r="AI25">
            <v>6.5988649290000003</v>
          </cell>
        </row>
        <row r="26">
          <cell r="B26">
            <v>1365065.2980850337</v>
          </cell>
          <cell r="T26">
            <v>23.158420414982658</v>
          </cell>
          <cell r="AI26">
            <v>7.0007737399999996</v>
          </cell>
        </row>
        <row r="27">
          <cell r="B27">
            <v>1382620.3118751852</v>
          </cell>
          <cell r="T27">
            <v>23.84938414919025</v>
          </cell>
          <cell r="AI27">
            <v>8.5678147039999999</v>
          </cell>
        </row>
        <row r="28">
          <cell r="B28">
            <v>1394259.3665044657</v>
          </cell>
          <cell r="T28">
            <v>24.239970755958517</v>
          </cell>
          <cell r="AI28">
            <v>9.3484899610000003</v>
          </cell>
        </row>
        <row r="29">
          <cell r="B29">
            <v>1416653.375633111</v>
          </cell>
          <cell r="T29">
            <v>24.89343733385434</v>
          </cell>
          <cell r="AI29">
            <v>9.2056778930000007</v>
          </cell>
        </row>
        <row r="30">
          <cell r="B30">
            <v>1422493.3249709513</v>
          </cell>
          <cell r="T30">
            <v>25.565171501989731</v>
          </cell>
          <cell r="AI30">
            <v>10.214431834000001</v>
          </cell>
        </row>
        <row r="31">
          <cell r="B31">
            <v>1424409.9543706391</v>
          </cell>
          <cell r="T31">
            <v>26.218296549591344</v>
          </cell>
          <cell r="AI31">
            <v>9.3718135950000008</v>
          </cell>
        </row>
        <row r="32">
          <cell r="B32">
            <v>1425529.3112327708</v>
          </cell>
          <cell r="T32">
            <v>26.749592126266272</v>
          </cell>
          <cell r="AI32">
            <v>8.9984842230000002</v>
          </cell>
        </row>
        <row r="33">
          <cell r="B33">
            <v>1442580.5555063505</v>
          </cell>
          <cell r="T33">
            <v>27.19454747534472</v>
          </cell>
          <cell r="AI33">
            <v>9.1298613100000008</v>
          </cell>
        </row>
        <row r="34">
          <cell r="B34">
            <v>1451856.7840681211</v>
          </cell>
          <cell r="T34">
            <v>27.677350049250901</v>
          </cell>
          <cell r="AI34">
            <v>8.0570853000000007</v>
          </cell>
        </row>
        <row r="35">
          <cell r="B35">
            <v>1468422.4290562696</v>
          </cell>
          <cell r="T35">
            <v>28.260886208987245</v>
          </cell>
          <cell r="AI35">
            <v>7.9093559310000003</v>
          </cell>
        </row>
        <row r="36">
          <cell r="B36">
            <v>1475299.7017252713</v>
          </cell>
          <cell r="T36">
            <v>28.712918345784718</v>
          </cell>
          <cell r="AI36">
            <v>9.1721210630000005</v>
          </cell>
        </row>
        <row r="37">
          <cell r="B37">
            <v>1492869.1561977486</v>
          </cell>
          <cell r="T37">
            <v>29.148158587365426</v>
          </cell>
          <cell r="AI37">
            <v>9.1367645609999997</v>
          </cell>
        </row>
        <row r="38">
          <cell r="B38">
            <v>1500494.0340356475</v>
          </cell>
          <cell r="T38">
            <v>29.825084012840609</v>
          </cell>
          <cell r="AI38">
            <v>7.6970246309999997</v>
          </cell>
        </row>
        <row r="39">
          <cell r="B39">
            <v>1524531.6212645266</v>
          </cell>
          <cell r="T39">
            <v>30.506254372517649</v>
          </cell>
          <cell r="AI39">
            <v>9.3504668970000004</v>
          </cell>
        </row>
        <row r="40">
          <cell r="B40">
            <v>1532308.7095018986</v>
          </cell>
          <cell r="T40">
            <v>31.237077513645417</v>
          </cell>
          <cell r="AI40">
            <v>11.022080144</v>
          </cell>
        </row>
        <row r="41">
          <cell r="B41">
            <v>1546862.9233225412</v>
          </cell>
          <cell r="T41">
            <v>32.024356288260286</v>
          </cell>
          <cell r="AI41">
            <v>12.693692391000001</v>
          </cell>
        </row>
        <row r="42">
          <cell r="B42">
            <v>1561462.487377974</v>
          </cell>
          <cell r="T42">
            <v>33.126531488386952</v>
          </cell>
          <cell r="AI42">
            <v>12.735106889000001</v>
          </cell>
        </row>
        <row r="43">
          <cell r="B43">
            <v>1554130.5401179057</v>
          </cell>
          <cell r="T43">
            <v>33.986161276285088</v>
          </cell>
          <cell r="AI43">
            <v>13.237090305000001</v>
          </cell>
        </row>
        <row r="44">
          <cell r="B44">
            <v>1553244.609704728</v>
          </cell>
          <cell r="T44">
            <v>34.76756715672056</v>
          </cell>
          <cell r="AI44">
            <v>12.239029242999999</v>
          </cell>
        </row>
        <row r="45">
          <cell r="B45">
            <v>1553974.2135924825</v>
          </cell>
          <cell r="T45">
            <v>35.62130128113607</v>
          </cell>
          <cell r="AI45">
            <v>12.663299259</v>
          </cell>
        </row>
        <row r="46">
          <cell r="B46">
            <v>1555473.6087437088</v>
          </cell>
          <cell r="T46">
            <v>36.784819553342679</v>
          </cell>
          <cell r="AI46">
            <v>13.432882043999999</v>
          </cell>
        </row>
        <row r="47">
          <cell r="B47">
            <v>1560133.1094051495</v>
          </cell>
          <cell r="T47">
            <v>37.768239052343084</v>
          </cell>
          <cell r="AI47">
            <v>15.507875287999999</v>
          </cell>
        </row>
        <row r="48">
          <cell r="B48">
            <v>1564437.4935357058</v>
          </cell>
          <cell r="T48">
            <v>38.724472045988897</v>
          </cell>
          <cell r="AI48">
            <v>16.133415178</v>
          </cell>
        </row>
        <row r="49">
          <cell r="B49">
            <v>1568108.3618959098</v>
          </cell>
          <cell r="T49">
            <v>39.74534672277855</v>
          </cell>
          <cell r="AI49">
            <v>15.426309166999999</v>
          </cell>
        </row>
        <row r="50">
          <cell r="B50">
            <v>1574589.0983518937</v>
          </cell>
          <cell r="T50">
            <v>40.729083560444835</v>
          </cell>
          <cell r="AI50">
            <v>14.331319171000001</v>
          </cell>
        </row>
        <row r="51">
          <cell r="B51">
            <v>1576706.9489732159</v>
          </cell>
          <cell r="T51">
            <v>41.674783197493255</v>
          </cell>
          <cell r="AI51">
            <v>14.400041219</v>
          </cell>
        </row>
        <row r="52">
          <cell r="B52">
            <v>1568297.1372394122</v>
          </cell>
          <cell r="T52">
            <v>42.478199268187538</v>
          </cell>
          <cell r="AI52">
            <v>13.349537282</v>
          </cell>
        </row>
        <row r="53">
          <cell r="B53">
            <v>1568969.9546161648</v>
          </cell>
          <cell r="T53">
            <v>43.293676331706997</v>
          </cell>
          <cell r="AI53">
            <v>12.606617089</v>
          </cell>
        </row>
        <row r="54">
          <cell r="B54">
            <v>1579416.3818735306</v>
          </cell>
          <cell r="T54">
            <v>44.173742425290897</v>
          </cell>
          <cell r="AI54">
            <v>11.886461701</v>
          </cell>
        </row>
        <row r="55">
          <cell r="B55">
            <v>1589751.0502129178</v>
          </cell>
          <cell r="T55">
            <v>44.935484711245664</v>
          </cell>
          <cell r="AI55">
            <v>11.847544911</v>
          </cell>
        </row>
        <row r="56">
          <cell r="B56">
            <v>1593881.1794279974</v>
          </cell>
          <cell r="T56">
            <v>45.68737029716921</v>
          </cell>
          <cell r="AI56">
            <v>12.218649981</v>
          </cell>
        </row>
        <row r="57">
          <cell r="B57">
            <v>1611312.4549781117</v>
          </cell>
          <cell r="T57">
            <v>46.475520685125673</v>
          </cell>
          <cell r="AI57">
            <v>12.169143466</v>
          </cell>
        </row>
        <row r="58">
          <cell r="B58">
            <v>1625156.0780541741</v>
          </cell>
          <cell r="T58">
            <v>47.308976460958007</v>
          </cell>
          <cell r="AI58">
            <v>11.431690392</v>
          </cell>
        </row>
        <row r="59">
          <cell r="B59">
            <v>1617476.4568480845</v>
          </cell>
          <cell r="T59">
            <v>47.937613802410482</v>
          </cell>
          <cell r="AI59">
            <v>10.857933396</v>
          </cell>
        </row>
        <row r="60">
          <cell r="B60">
            <v>1634152.5776949411</v>
          </cell>
          <cell r="T60">
            <v>48.424677675799494</v>
          </cell>
          <cell r="AI60">
            <v>10.413572545999999</v>
          </cell>
        </row>
        <row r="61">
          <cell r="B61">
            <v>1642515.4883158489</v>
          </cell>
          <cell r="T61">
            <v>49.042148406359757</v>
          </cell>
          <cell r="AI61">
            <v>10.128110652</v>
          </cell>
        </row>
        <row r="62">
          <cell r="B62">
            <v>1646206.3611413599</v>
          </cell>
          <cell r="T62">
            <v>49.862985357454754</v>
          </cell>
          <cell r="AI62">
            <v>9.8634286150000001</v>
          </cell>
        </row>
        <row r="63">
          <cell r="B63">
            <v>1661914.2837128765</v>
          </cell>
          <cell r="T63">
            <v>50.535071728305624</v>
          </cell>
          <cell r="AI63">
            <v>9.9615893779999993</v>
          </cell>
        </row>
        <row r="64">
          <cell r="B64">
            <v>1675982.6719326738</v>
          </cell>
          <cell r="T64">
            <v>50.788389569476479</v>
          </cell>
          <cell r="AI64">
            <v>9.3468044579999994</v>
          </cell>
        </row>
        <row r="65">
          <cell r="B65">
            <v>1685974.6596246576</v>
          </cell>
          <cell r="T65">
            <v>51.210371328714643</v>
          </cell>
          <cell r="AI65">
            <v>8.6279720340000008</v>
          </cell>
        </row>
        <row r="66">
          <cell r="B66">
            <v>1680223.011803088</v>
          </cell>
          <cell r="T66">
            <v>51.615763263984391</v>
          </cell>
          <cell r="AI66">
            <v>8.7486201890000004</v>
          </cell>
        </row>
        <row r="67">
          <cell r="B67">
            <v>1711030.4031301639</v>
          </cell>
          <cell r="T67">
            <v>51.818958008209471</v>
          </cell>
          <cell r="AI67">
            <v>8.0283936950000001</v>
          </cell>
        </row>
        <row r="68">
          <cell r="B68">
            <v>1719722.7107344619</v>
          </cell>
          <cell r="T68">
            <v>51.961722561768042</v>
          </cell>
          <cell r="AI68">
            <v>7.7533412579999998</v>
          </cell>
        </row>
        <row r="69">
          <cell r="B69">
            <v>1723981.416325998</v>
          </cell>
          <cell r="T69">
            <v>52.142784021969419</v>
          </cell>
          <cell r="AI69">
            <v>7.8747735780000001</v>
          </cell>
        </row>
        <row r="70">
          <cell r="B70">
            <v>1715707.5697683725</v>
          </cell>
          <cell r="T70">
            <v>52.62228656177475</v>
          </cell>
          <cell r="AI70">
            <v>8.1053529750000006</v>
          </cell>
        </row>
        <row r="71">
          <cell r="B71">
            <v>1744612.9666438829</v>
          </cell>
          <cell r="T71">
            <v>52.976874475133542</v>
          </cell>
          <cell r="AI71">
            <v>8.4258268600000008</v>
          </cell>
        </row>
        <row r="72">
          <cell r="B72">
            <v>1763348.5035073687</v>
          </cell>
          <cell r="T72">
            <v>53.247482987755426</v>
          </cell>
          <cell r="AI72">
            <v>8.4902365050000004</v>
          </cell>
        </row>
        <row r="73">
          <cell r="B73">
            <v>1785825.6936798852</v>
          </cell>
          <cell r="T73">
            <v>53.521775755881194</v>
          </cell>
          <cell r="AI73">
            <v>8.4260121350000006</v>
          </cell>
        </row>
        <row r="74">
          <cell r="B74">
            <v>1795687.0453779509</v>
          </cell>
          <cell r="T74">
            <v>53.896274160989229</v>
          </cell>
          <cell r="AI74">
            <v>7.4535991590000004</v>
          </cell>
        </row>
        <row r="75">
          <cell r="B75">
            <v>1812194.2820054181</v>
          </cell>
          <cell r="T75">
            <v>54.285819812305753</v>
          </cell>
          <cell r="AI75">
            <v>7.2598364330000003</v>
          </cell>
        </row>
        <row r="76">
          <cell r="B76">
            <v>1834640.1861029626</v>
          </cell>
          <cell r="T76">
            <v>54.701297557981071</v>
          </cell>
          <cell r="AI76">
            <v>7.9743925070000001</v>
          </cell>
        </row>
        <row r="77">
          <cell r="B77">
            <v>1851607.7632941313</v>
          </cell>
          <cell r="T77">
            <v>55.123778804616045</v>
          </cell>
          <cell r="AI77">
            <v>8.4754225069999993</v>
          </cell>
        </row>
        <row r="78">
          <cell r="B78">
            <v>1873357.2754911156</v>
          </cell>
          <cell r="T78">
            <v>55.831041350665849</v>
          </cell>
          <cell r="AI78">
            <v>9.5159466239999997</v>
          </cell>
        </row>
        <row r="79">
          <cell r="B79">
            <v>1891166.507143354</v>
          </cell>
          <cell r="T79">
            <v>56.474651228530455</v>
          </cell>
          <cell r="AI79">
            <v>9.6913450809999997</v>
          </cell>
        </row>
        <row r="80">
          <cell r="B80">
            <v>1902475.2923999787</v>
          </cell>
          <cell r="T80">
            <v>56.86923800643153</v>
          </cell>
          <cell r="AI80">
            <v>10.102045947000001</v>
          </cell>
        </row>
        <row r="81">
          <cell r="B81">
            <v>1922300.012152707</v>
          </cell>
          <cell r="T81">
            <v>57.38760880328703</v>
          </cell>
          <cell r="AI81">
            <v>11.071902127</v>
          </cell>
        </row>
        <row r="82">
          <cell r="B82">
            <v>1948361.0169630887</v>
          </cell>
          <cell r="T82">
            <v>58.106758019778439</v>
          </cell>
          <cell r="AI82">
            <v>11.225662452</v>
          </cell>
        </row>
        <row r="83">
          <cell r="B83">
            <v>1957258.1590514842</v>
          </cell>
          <cell r="T83">
            <v>58.605873635184572</v>
          </cell>
          <cell r="AI83">
            <v>10.618018136</v>
          </cell>
        </row>
        <row r="84">
          <cell r="B84">
            <v>1975410.7593247055</v>
          </cell>
          <cell r="T84">
            <v>59.146729876778643</v>
          </cell>
          <cell r="AI84">
            <v>10.536336843999999</v>
          </cell>
        </row>
        <row r="85">
          <cell r="B85">
            <v>1986588.9426843303</v>
          </cell>
          <cell r="T85">
            <v>59.910068168803988</v>
          </cell>
          <cell r="AI85">
            <v>11.046291095999999</v>
          </cell>
        </row>
        <row r="86">
          <cell r="B86">
            <v>2000317.4698859446</v>
          </cell>
          <cell r="T86">
            <v>60.523557385036177</v>
          </cell>
          <cell r="AI86">
            <v>11.096522687</v>
          </cell>
        </row>
        <row r="87">
          <cell r="B87">
            <v>2006259.1778595182</v>
          </cell>
          <cell r="T87">
            <v>61.11965386838213</v>
          </cell>
          <cell r="AI87">
            <v>10.461557802</v>
          </cell>
        </row>
        <row r="88">
          <cell r="B88">
            <v>2005704.9115983665</v>
          </cell>
          <cell r="T88">
            <v>61.901553573253409</v>
          </cell>
          <cell r="AI88">
            <v>10.505995789</v>
          </cell>
        </row>
        <row r="89">
          <cell r="B89">
            <v>2024779.1889547959</v>
          </cell>
          <cell r="T89">
            <v>62.399618272660952</v>
          </cell>
          <cell r="AI89">
            <v>10.732214710999999</v>
          </cell>
        </row>
        <row r="90">
          <cell r="B90">
            <v>2055344.3135814895</v>
          </cell>
          <cell r="T90">
            <v>63.063435411329401</v>
          </cell>
          <cell r="AI90">
            <v>10.849247498</v>
          </cell>
        </row>
        <row r="91">
          <cell r="B91">
            <v>2039655.3510260149</v>
          </cell>
          <cell r="T91">
            <v>63.705368091710504</v>
          </cell>
          <cell r="AI91">
            <v>10.979088303999999</v>
          </cell>
        </row>
        <row r="92">
          <cell r="B92">
            <v>2033943.7300427046</v>
          </cell>
          <cell r="T92">
            <v>64.012141409365924</v>
          </cell>
          <cell r="AI92">
            <v>11.928408989999999</v>
          </cell>
        </row>
        <row r="93">
          <cell r="B93">
            <v>2029876.685304441</v>
          </cell>
          <cell r="T93">
            <v>64.439827404072773</v>
          </cell>
          <cell r="AI93">
            <v>11.451664051</v>
          </cell>
        </row>
        <row r="94">
          <cell r="B94">
            <v>2016046.0452915577</v>
          </cell>
          <cell r="T94">
            <v>65.221967723920869</v>
          </cell>
          <cell r="AI94">
            <v>10.706122967000001</v>
          </cell>
        </row>
        <row r="95">
          <cell r="B95">
            <v>2017541.4852718085</v>
          </cell>
          <cell r="T95">
            <v>65.815692465948672</v>
          </cell>
          <cell r="AI95">
            <v>9.0912239360000004</v>
          </cell>
        </row>
        <row r="96">
          <cell r="B96">
            <v>2025906.4458409215</v>
          </cell>
          <cell r="T96">
            <v>66.241831670734655</v>
          </cell>
          <cell r="AI96">
            <v>8.1200998729999991</v>
          </cell>
        </row>
        <row r="97">
          <cell r="B97">
            <v>2031211.4470334593</v>
          </cell>
          <cell r="T97">
            <v>66.574390403160805</v>
          </cell>
          <cell r="AI97">
            <v>7.4121285769999998</v>
          </cell>
        </row>
        <row r="98">
          <cell r="B98">
            <v>2050032.9768420418</v>
          </cell>
          <cell r="T98">
            <v>67.214226522974784</v>
          </cell>
          <cell r="AI98">
            <v>6.84</v>
          </cell>
        </row>
        <row r="99">
          <cell r="B99">
            <v>2062801.142504019</v>
          </cell>
          <cell r="T99">
            <v>67.68988568981834</v>
          </cell>
          <cell r="AI99">
            <v>6.37</v>
          </cell>
        </row>
        <row r="100">
          <cell r="B100">
            <v>2076692.6445404356</v>
          </cell>
          <cell r="T100">
            <v>68.067811107490812</v>
          </cell>
          <cell r="AI100">
            <v>6.3833333333333329</v>
          </cell>
        </row>
        <row r="101">
          <cell r="B101">
            <v>2093169.7083564659</v>
          </cell>
          <cell r="T101">
            <v>68.353966289649279</v>
          </cell>
          <cell r="AI101">
            <v>6.5066666666666668</v>
          </cell>
        </row>
        <row r="102">
          <cell r="B102">
            <v>2104539.6</v>
          </cell>
          <cell r="T102">
            <v>68.946384864563669</v>
          </cell>
          <cell r="AI102">
            <v>6.9433333333333325</v>
          </cell>
        </row>
        <row r="103">
          <cell r="B103">
            <v>2121359.7999999998</v>
          </cell>
          <cell r="T103">
            <v>69.515172581683231</v>
          </cell>
          <cell r="AI103">
            <v>7.1366666666666667</v>
          </cell>
        </row>
        <row r="104">
          <cell r="B104">
            <v>2126613.2999999998</v>
          </cell>
          <cell r="T104">
            <v>69.801229562901455</v>
          </cell>
          <cell r="AI104">
            <v>6.6933333333333325</v>
          </cell>
        </row>
        <row r="105">
          <cell r="B105">
            <v>2131237.4</v>
          </cell>
          <cell r="T105">
            <v>70.083960299514644</v>
          </cell>
          <cell r="AI105">
            <v>6.5066666666666668</v>
          </cell>
        </row>
        <row r="106">
          <cell r="B106">
            <v>2134815.9</v>
          </cell>
          <cell r="T106">
            <v>70.669379236811849</v>
          </cell>
          <cell r="AI106">
            <v>5.63</v>
          </cell>
        </row>
        <row r="107">
          <cell r="B107">
            <v>2151744.7000000002</v>
          </cell>
          <cell r="T107">
            <v>71.228188222963809</v>
          </cell>
          <cell r="AI107">
            <v>5.1366666666666658</v>
          </cell>
        </row>
        <row r="108">
          <cell r="B108">
            <v>2161793.2999999998</v>
          </cell>
          <cell r="T108">
            <v>71.298039346143824</v>
          </cell>
          <cell r="AI108">
            <v>5</v>
          </cell>
        </row>
        <row r="109">
          <cell r="B109">
            <v>2173813.6</v>
          </cell>
          <cell r="T109">
            <v>71.554160131611766</v>
          </cell>
          <cell r="AI109">
            <v>4.5866666666666669</v>
          </cell>
        </row>
        <row r="110">
          <cell r="B110">
            <v>2180287.6</v>
          </cell>
          <cell r="T110">
            <v>72.046444237764987</v>
          </cell>
          <cell r="AI110">
            <v>4.4400000000000004</v>
          </cell>
        </row>
        <row r="111">
          <cell r="B111">
            <v>2206551</v>
          </cell>
          <cell r="T111">
            <v>72.2859338030553</v>
          </cell>
          <cell r="AI111">
            <v>4.3266666666666671</v>
          </cell>
        </row>
        <row r="112">
          <cell r="B112">
            <v>2223751</v>
          </cell>
          <cell r="T112">
            <v>72.522097124452443</v>
          </cell>
          <cell r="AI112">
            <v>4.3233333333333333</v>
          </cell>
        </row>
        <row r="113">
          <cell r="B113">
            <v>2246964.5</v>
          </cell>
          <cell r="T113">
            <v>72.748281714170119</v>
          </cell>
          <cell r="AI113">
            <v>4.4333333333333336</v>
          </cell>
        </row>
        <row r="114">
          <cell r="B114">
            <v>2263049.5</v>
          </cell>
          <cell r="T114">
            <v>72.934551375746196</v>
          </cell>
          <cell r="AI114">
            <v>4.2033333333333331</v>
          </cell>
        </row>
        <row r="115">
          <cell r="B115">
            <v>2272064.4</v>
          </cell>
          <cell r="T115">
            <v>73.35698435943128</v>
          </cell>
          <cell r="AI115">
            <v>4.0566666666666658</v>
          </cell>
        </row>
        <row r="116">
          <cell r="B116">
            <v>2284156.7000000002</v>
          </cell>
          <cell r="T116">
            <v>73.436814214290763</v>
          </cell>
          <cell r="AI116">
            <v>3.936666666666667</v>
          </cell>
        </row>
        <row r="117">
          <cell r="B117">
            <v>2290836.5</v>
          </cell>
          <cell r="T117">
            <v>73.426835482611295</v>
          </cell>
          <cell r="AI117">
            <v>3.6233333333333335</v>
          </cell>
        </row>
        <row r="118">
          <cell r="B118">
            <v>2314093.9</v>
          </cell>
          <cell r="T118">
            <v>73.593147680828437</v>
          </cell>
          <cell r="AI118">
            <v>3.0907318840579703</v>
          </cell>
        </row>
        <row r="119">
          <cell r="B119">
            <v>2325202.2000000002</v>
          </cell>
          <cell r="T119">
            <v>74.102063007159316</v>
          </cell>
          <cell r="AI119">
            <v>2.6340295815295813</v>
          </cell>
        </row>
        <row r="120">
          <cell r="B120">
            <v>2355619.6</v>
          </cell>
          <cell r="T120">
            <v>74.308290132806192</v>
          </cell>
          <cell r="AI120">
            <v>2.6993939393939397</v>
          </cell>
        </row>
        <row r="121">
          <cell r="B121">
            <v>2380273.9</v>
          </cell>
          <cell r="T121">
            <v>74.581042137739928</v>
          </cell>
          <cell r="AI121">
            <v>3.4297979797979798</v>
          </cell>
        </row>
        <row r="122">
          <cell r="B122">
            <v>2411275.9</v>
          </cell>
          <cell r="T122">
            <v>75.069999999999993</v>
          </cell>
          <cell r="AI122">
            <v>3.5423160800552114</v>
          </cell>
        </row>
        <row r="123">
          <cell r="B123">
            <v>2432945.6</v>
          </cell>
          <cell r="T123">
            <v>75.556666666666672</v>
          </cell>
          <cell r="AI123">
            <v>4.2630168350168347</v>
          </cell>
        </row>
        <row r="124">
          <cell r="B124">
            <v>2449234.7000000002</v>
          </cell>
          <cell r="T124">
            <v>75.990000000000009</v>
          </cell>
          <cell r="AI124">
            <v>4.7376004140786749</v>
          </cell>
        </row>
        <row r="125">
          <cell r="B125">
            <v>2460438.7999999998</v>
          </cell>
          <cell r="T125">
            <v>76.469999999999985</v>
          </cell>
          <cell r="AI125">
            <v>5.0241283891547042</v>
          </cell>
        </row>
        <row r="126">
          <cell r="B126">
            <v>2487664.2999999998</v>
          </cell>
          <cell r="T126">
            <v>76.69</v>
          </cell>
          <cell r="AI126">
            <v>4.7450545454545452</v>
          </cell>
        </row>
        <row r="127">
          <cell r="B127">
            <v>2489074.7999999998</v>
          </cell>
          <cell r="T127">
            <v>77.790000000000006</v>
          </cell>
          <cell r="AI127">
            <v>4.5907510822510824</v>
          </cell>
        </row>
        <row r="128">
          <cell r="B128">
            <v>2494098.5</v>
          </cell>
          <cell r="T128">
            <v>77.839999999999989</v>
          </cell>
          <cell r="AI128">
            <v>4.2678360342555983</v>
          </cell>
        </row>
        <row r="129">
          <cell r="B129">
            <v>2493173.7000000002</v>
          </cell>
          <cell r="T129">
            <v>78.11</v>
          </cell>
          <cell r="AI129">
            <v>3.4434800907626997</v>
          </cell>
        </row>
        <row r="130">
          <cell r="B130">
            <v>2498164.9</v>
          </cell>
          <cell r="T130">
            <v>78.653333333333322</v>
          </cell>
          <cell r="AI130">
            <v>3.3622242424242419</v>
          </cell>
        </row>
        <row r="131">
          <cell r="B131">
            <v>2510333.2000000002</v>
          </cell>
          <cell r="T131">
            <v>79.433333333333323</v>
          </cell>
          <cell r="AI131">
            <v>3.4460137085137088</v>
          </cell>
        </row>
        <row r="132">
          <cell r="B132">
            <v>2521538.2999999998</v>
          </cell>
          <cell r="T132">
            <v>79.48</v>
          </cell>
          <cell r="AI132">
            <v>3.3573506493506495</v>
          </cell>
        </row>
        <row r="133">
          <cell r="B133">
            <v>2526452.4</v>
          </cell>
          <cell r="T133">
            <v>79.906666666666652</v>
          </cell>
          <cell r="AI133">
            <v>3.1088179089026919</v>
          </cell>
        </row>
        <row r="134">
          <cell r="B134">
            <v>2519758.1</v>
          </cell>
          <cell r="T134">
            <v>80.476666666666674</v>
          </cell>
          <cell r="AI134">
            <v>2.6830735209235215</v>
          </cell>
        </row>
        <row r="135">
          <cell r="B135">
            <v>2520802.4</v>
          </cell>
          <cell r="T135">
            <v>81.02</v>
          </cell>
          <cell r="AI135">
            <v>2.3619103174603175</v>
          </cell>
        </row>
        <row r="136">
          <cell r="B136">
            <v>2536983.2999999998</v>
          </cell>
          <cell r="T136">
            <v>81.126666666666665</v>
          </cell>
          <cell r="AI136">
            <v>2.1392634105025414</v>
          </cell>
        </row>
        <row r="137">
          <cell r="B137">
            <v>2552665.6</v>
          </cell>
          <cell r="T137">
            <v>81.583333333333329</v>
          </cell>
          <cell r="AI137">
            <v>2.1496495169082128</v>
          </cell>
        </row>
        <row r="138">
          <cell r="B138">
            <v>2567036.1</v>
          </cell>
          <cell r="T138">
            <v>81.88</v>
          </cell>
          <cell r="AI138">
            <v>2.062950759144238</v>
          </cell>
        </row>
        <row r="139">
          <cell r="B139">
            <v>2582706.6</v>
          </cell>
          <cell r="T139">
            <v>82.903333333333322</v>
          </cell>
          <cell r="AI139">
            <v>2.0824296536796543</v>
          </cell>
        </row>
        <row r="140">
          <cell r="B140">
            <v>2588725.4</v>
          </cell>
          <cell r="T140">
            <v>82.990000000000009</v>
          </cell>
          <cell r="AI140">
            <v>2.1163030303030301</v>
          </cell>
        </row>
        <row r="141">
          <cell r="B141">
            <v>2599850.4</v>
          </cell>
          <cell r="T141">
            <v>83.493333333333339</v>
          </cell>
          <cell r="AI141">
            <v>2.1636084760649976</v>
          </cell>
        </row>
        <row r="142">
          <cell r="B142">
            <v>2606660.5</v>
          </cell>
          <cell r="T142">
            <v>83.576666666666668</v>
          </cell>
          <cell r="AI142">
            <v>2.1403230158730158</v>
          </cell>
        </row>
        <row r="143">
          <cell r="B143">
            <v>2622986.9</v>
          </cell>
          <cell r="T143">
            <v>84.6</v>
          </cell>
          <cell r="AI143">
            <v>2.1246399711399708</v>
          </cell>
        </row>
        <row r="144">
          <cell r="B144">
            <v>2642982.5</v>
          </cell>
          <cell r="T144">
            <v>84.909999999999982</v>
          </cell>
          <cell r="AI144">
            <v>2.130347731978167</v>
          </cell>
        </row>
        <row r="145">
          <cell r="B145">
            <v>2661132</v>
          </cell>
          <cell r="T145">
            <v>85.463333333333324</v>
          </cell>
          <cell r="AI145">
            <v>2.3434466089466088</v>
          </cell>
        </row>
        <row r="146">
          <cell r="B146">
            <v>2685738.1</v>
          </cell>
          <cell r="T146">
            <v>85.543333333333337</v>
          </cell>
          <cell r="AI146">
            <v>2.611546837944664</v>
          </cell>
        </row>
        <row r="147">
          <cell r="B147">
            <v>2715507.2</v>
          </cell>
          <cell r="T147">
            <v>86.706666666666663</v>
          </cell>
          <cell r="AI147">
            <v>2.889486531986531</v>
          </cell>
        </row>
        <row r="148">
          <cell r="B148">
            <v>2730891.1</v>
          </cell>
          <cell r="T148">
            <v>86.776666666666657</v>
          </cell>
          <cell r="AI148">
            <v>3.2213498964803313</v>
          </cell>
        </row>
        <row r="149">
          <cell r="B149">
            <v>2762384.4</v>
          </cell>
          <cell r="T149">
            <v>87.006666666666661</v>
          </cell>
          <cell r="AI149">
            <v>3.5944641148325354</v>
          </cell>
        </row>
        <row r="150">
          <cell r="B150">
            <v>2781873.5</v>
          </cell>
          <cell r="T150">
            <v>87.17</v>
          </cell>
          <cell r="AI150">
            <v>3.8203242424242436</v>
          </cell>
        </row>
        <row r="151">
          <cell r="B151">
            <v>2800380.6</v>
          </cell>
          <cell r="T151">
            <v>88.366666666666674</v>
          </cell>
          <cell r="AI151">
            <v>4.0647962330067591</v>
          </cell>
        </row>
        <row r="152">
          <cell r="B152">
            <v>2811500.2</v>
          </cell>
          <cell r="T152">
            <v>88.44</v>
          </cell>
          <cell r="AI152">
            <v>4.5004968379446639</v>
          </cell>
        </row>
        <row r="153">
          <cell r="B153">
            <v>2825295.4</v>
          </cell>
          <cell r="T153">
            <v>89.570000000000007</v>
          </cell>
          <cell r="AI153">
            <v>4.724768393315304</v>
          </cell>
        </row>
        <row r="154">
          <cell r="B154">
            <v>2843248.4</v>
          </cell>
          <cell r="T154">
            <v>90.15666666666668</v>
          </cell>
          <cell r="AI154">
            <v>4.4800030378977738</v>
          </cell>
        </row>
        <row r="155">
          <cell r="B155">
            <v>2829514.7</v>
          </cell>
          <cell r="T155">
            <v>91.653333333333322</v>
          </cell>
          <cell r="AI155">
            <v>4.8604682539682544</v>
          </cell>
        </row>
        <row r="156">
          <cell r="B156">
            <v>2814214.3</v>
          </cell>
          <cell r="T156">
            <v>91.92</v>
          </cell>
          <cell r="AI156">
            <v>4.9817907647907642</v>
          </cell>
        </row>
        <row r="157">
          <cell r="B157">
            <v>2766761.1</v>
          </cell>
          <cell r="T157">
            <v>91.686666666666667</v>
          </cell>
          <cell r="AI157">
            <v>4.2146686680469294</v>
          </cell>
        </row>
        <row r="158">
          <cell r="B158">
            <v>2681070.6</v>
          </cell>
          <cell r="T158">
            <v>91.089999999999989</v>
          </cell>
          <cell r="AI158">
            <v>2.0116761183261183</v>
          </cell>
        </row>
        <row r="159">
          <cell r="B159">
            <v>2681074.1</v>
          </cell>
          <cell r="T159">
            <v>91.853333333333339</v>
          </cell>
          <cell r="AI159">
            <v>1.3106363636363636</v>
          </cell>
        </row>
        <row r="160">
          <cell r="B160">
            <v>2690579.9</v>
          </cell>
          <cell r="T160">
            <v>91.59666666666665</v>
          </cell>
          <cell r="AI160">
            <v>0.8691745404354102</v>
          </cell>
        </row>
        <row r="161">
          <cell r="B161">
            <v>2702962.7</v>
          </cell>
          <cell r="T161">
            <v>92.08</v>
          </cell>
          <cell r="AI161">
            <v>0.72191197691197695</v>
          </cell>
        </row>
        <row r="162">
          <cell r="B162">
            <v>2713589.5</v>
          </cell>
          <cell r="T162">
            <v>92.09333333333332</v>
          </cell>
          <cell r="AI162">
            <v>0.66213550724637671</v>
          </cell>
        </row>
        <row r="163">
          <cell r="B163">
            <v>2738484.4</v>
          </cell>
          <cell r="T163">
            <v>93.313333333333318</v>
          </cell>
          <cell r="AI163">
            <v>0.68627157287157292</v>
          </cell>
        </row>
        <row r="164">
          <cell r="B164">
            <v>2750608.7</v>
          </cell>
          <cell r="T164">
            <v>93.17</v>
          </cell>
          <cell r="AI164">
            <v>0.87493939393939391</v>
          </cell>
        </row>
        <row r="165">
          <cell r="B165">
            <v>2767460.3</v>
          </cell>
          <cell r="T165">
            <v>93.946666666666673</v>
          </cell>
          <cell r="AI165">
            <v>1.0204692577953447</v>
          </cell>
        </row>
        <row r="166">
          <cell r="B166">
            <v>2792962.3</v>
          </cell>
          <cell r="T166">
            <v>94.373333333333335</v>
          </cell>
          <cell r="AI166">
            <v>1.09316994478951</v>
          </cell>
        </row>
        <row r="167">
          <cell r="B167">
            <v>2792997.5</v>
          </cell>
          <cell r="T167">
            <v>95.883333333333326</v>
          </cell>
          <cell r="AI167">
            <v>1.4116307814992026</v>
          </cell>
        </row>
        <row r="168">
          <cell r="B168">
            <v>2793875</v>
          </cell>
          <cell r="T168">
            <v>95.69</v>
          </cell>
          <cell r="AI168">
            <v>1.5620535165317773</v>
          </cell>
        </row>
        <row r="169">
          <cell r="B169">
            <v>2786265.3</v>
          </cell>
          <cell r="T169">
            <v>96.706666666666663</v>
          </cell>
          <cell r="AI169">
            <v>1.4955447330447331</v>
          </cell>
        </row>
        <row r="170">
          <cell r="B170">
            <v>2778685.7</v>
          </cell>
          <cell r="T170">
            <v>96.90666666666668</v>
          </cell>
          <cell r="AI170">
            <v>1.0429891774891775</v>
          </cell>
        </row>
        <row r="171">
          <cell r="B171">
            <v>2768489</v>
          </cell>
          <cell r="T171">
            <v>98.25</v>
          </cell>
          <cell r="AI171">
            <v>0.69602734107997266</v>
          </cell>
        </row>
        <row r="172">
          <cell r="B172">
            <v>2764560.3</v>
          </cell>
          <cell r="T172">
            <v>98.13</v>
          </cell>
          <cell r="AI172">
            <v>0.35857891963109351</v>
          </cell>
        </row>
        <row r="173">
          <cell r="B173">
            <v>2753519.8</v>
          </cell>
          <cell r="T173">
            <v>98.943333333333328</v>
          </cell>
          <cell r="AI173">
            <v>0.19512890922959569</v>
          </cell>
        </row>
        <row r="174">
          <cell r="B174">
            <v>2742980.5</v>
          </cell>
          <cell r="T174">
            <v>98.716666666666683</v>
          </cell>
          <cell r="AI174">
            <v>0.21143636363636364</v>
          </cell>
        </row>
        <row r="175">
          <cell r="B175">
            <v>2760957.9</v>
          </cell>
          <cell r="T175">
            <v>99.63</v>
          </cell>
          <cell r="AI175">
            <v>0.20679401154401153</v>
          </cell>
        </row>
        <row r="176">
          <cell r="B176">
            <v>2769898.9</v>
          </cell>
          <cell r="T176">
            <v>99.45</v>
          </cell>
          <cell r="AI176">
            <v>0.22351217140347576</v>
          </cell>
        </row>
        <row r="177">
          <cell r="B177">
            <v>2777431.1</v>
          </cell>
          <cell r="T177">
            <v>99.74666666666667</v>
          </cell>
          <cell r="AI177">
            <v>0.24090234644582464</v>
          </cell>
        </row>
        <row r="178">
          <cell r="B178">
            <v>2788490</v>
          </cell>
          <cell r="T178">
            <v>99.350000000000009</v>
          </cell>
          <cell r="AI178">
            <v>0.2951595959595959</v>
          </cell>
        </row>
        <row r="179">
          <cell r="B179">
            <v>2794967.8</v>
          </cell>
          <cell r="T179">
            <v>100.19</v>
          </cell>
          <cell r="AI179">
            <v>0.29858333333333326</v>
          </cell>
        </row>
        <row r="180">
          <cell r="B180">
            <v>2808154</v>
          </cell>
          <cell r="T180">
            <v>99.8</v>
          </cell>
          <cell r="AI180">
            <v>0.1645686053077357</v>
          </cell>
        </row>
        <row r="181">
          <cell r="B181">
            <v>2820011.2</v>
          </cell>
          <cell r="T181">
            <v>99.90666666666668</v>
          </cell>
          <cell r="AI181">
            <v>8.1471152518978601E-2</v>
          </cell>
        </row>
        <row r="182">
          <cell r="B182">
            <v>2840206.6</v>
          </cell>
          <cell r="T182">
            <v>99.029999999999987</v>
          </cell>
          <cell r="AI182">
            <v>4.6016161616161566E-2</v>
          </cell>
        </row>
        <row r="183">
          <cell r="B183">
            <v>2853021.8</v>
          </cell>
          <cell r="T183">
            <v>100.62</v>
          </cell>
          <cell r="AI183">
            <v>-6.5258373205741675E-3</v>
          </cell>
        </row>
        <row r="184">
          <cell r="B184">
            <v>2864151.6</v>
          </cell>
          <cell r="T184">
            <v>100.18666666666667</v>
          </cell>
          <cell r="AI184">
            <v>-2.7817083882301235E-2</v>
          </cell>
        </row>
        <row r="185">
          <cell r="B185">
            <v>2878559</v>
          </cell>
          <cell r="T185">
            <v>100.16333333333334</v>
          </cell>
          <cell r="AI185">
            <v>-8.9176046176046173E-2</v>
          </cell>
        </row>
        <row r="186">
          <cell r="B186">
            <v>2893136.7</v>
          </cell>
          <cell r="T186">
            <v>99.076666666666668</v>
          </cell>
          <cell r="AI186">
            <v>-0.18608174603174596</v>
          </cell>
        </row>
        <row r="187">
          <cell r="B187">
            <v>2899826</v>
          </cell>
          <cell r="T187">
            <v>100.50333333333333</v>
          </cell>
          <cell r="AI187">
            <v>-0.2580937950937951</v>
          </cell>
        </row>
        <row r="188">
          <cell r="B188">
            <v>2913477.2</v>
          </cell>
          <cell r="T188">
            <v>100.44333333333333</v>
          </cell>
          <cell r="AI188">
            <v>-0.29812585482150694</v>
          </cell>
        </row>
        <row r="189">
          <cell r="B189">
            <v>2934539.4</v>
          </cell>
          <cell r="T189">
            <v>100.88666666666667</v>
          </cell>
          <cell r="AI189">
            <v>-0.31248124098124092</v>
          </cell>
        </row>
        <row r="190">
          <cell r="B190">
            <v>2957100.8</v>
          </cell>
          <cell r="T190">
            <v>100.79666666666668</v>
          </cell>
          <cell r="AI190">
            <v>-0.32783109354413703</v>
          </cell>
        </row>
        <row r="191">
          <cell r="B191">
            <v>2978741.1</v>
          </cell>
          <cell r="T191">
            <v>102.03333333333335</v>
          </cell>
          <cell r="AI191">
            <v>-0.32994781144781143</v>
          </cell>
        </row>
        <row r="192">
          <cell r="B192">
            <v>3000221.4</v>
          </cell>
          <cell r="T192">
            <v>101.93</v>
          </cell>
          <cell r="AI192">
            <v>-0.3296321601104209</v>
          </cell>
        </row>
        <row r="193">
          <cell r="B193">
            <v>3024317.4</v>
          </cell>
          <cell r="T193">
            <v>102.31666666666666</v>
          </cell>
          <cell r="AI193">
            <v>-0.32881339712918661</v>
          </cell>
        </row>
        <row r="194">
          <cell r="B194">
            <v>3024658</v>
          </cell>
          <cell r="T194">
            <v>102.07333333333334</v>
          </cell>
          <cell r="AI194">
            <v>-0.32828643578643579</v>
          </cell>
        </row>
        <row r="195">
          <cell r="B195">
            <v>3040276.8</v>
          </cell>
          <cell r="T195">
            <v>103.78666666666665</v>
          </cell>
          <cell r="AI195">
            <v>-0.32524163059163058</v>
          </cell>
        </row>
        <row r="196">
          <cell r="B196">
            <v>3042099.7</v>
          </cell>
          <cell r="T196">
            <v>104.08666666666666</v>
          </cell>
          <cell r="AI196">
            <v>-0.31952575757575752</v>
          </cell>
        </row>
        <row r="197">
          <cell r="B197">
            <v>3060786.2</v>
          </cell>
          <cell r="T197">
            <v>104.26666666666667</v>
          </cell>
          <cell r="AI197">
            <v>-0.31531800845988472</v>
          </cell>
        </row>
        <row r="198">
          <cell r="B198">
            <v>3080880.4</v>
          </cell>
          <cell r="T198">
            <v>103.52666666666669</v>
          </cell>
          <cell r="AI198">
            <v>-0.30854682539682532</v>
          </cell>
        </row>
        <row r="199">
          <cell r="B199">
            <v>3091828.7</v>
          </cell>
          <cell r="T199">
            <v>105.24000000000001</v>
          </cell>
          <cell r="AI199">
            <v>-0.31707121212121209</v>
          </cell>
        </row>
        <row r="200">
          <cell r="B200">
            <v>3097112.3</v>
          </cell>
          <cell r="T200">
            <v>105.08</v>
          </cell>
          <cell r="AI200">
            <v>-0.39670760399021265</v>
          </cell>
        </row>
        <row r="201">
          <cell r="B201">
            <v>3097190.2</v>
          </cell>
          <cell r="T201">
            <v>105.31333333333333</v>
          </cell>
          <cell r="AI201">
            <v>-0.40295175983436843</v>
          </cell>
        </row>
        <row r="202">
          <cell r="B202">
            <v>2993926.9</v>
          </cell>
          <cell r="T202">
            <v>104.68</v>
          </cell>
          <cell r="AI202">
            <v>-0.40554090909090901</v>
          </cell>
        </row>
        <row r="203">
          <cell r="B203">
            <v>2660459.7999999998</v>
          </cell>
          <cell r="T203">
            <v>105.47333333333334</v>
          </cell>
          <cell r="AI203">
            <v>-0.30066666666666669</v>
          </cell>
        </row>
        <row r="204">
          <cell r="B204">
            <v>2970333.7</v>
          </cell>
          <cell r="T204">
            <v>105.04333333333334</v>
          </cell>
          <cell r="AI204">
            <v>-0.47173611895351025</v>
          </cell>
        </row>
        <row r="205">
          <cell r="B205">
            <v>2981040.4</v>
          </cell>
          <cell r="T205">
            <v>105.02</v>
          </cell>
          <cell r="AI205">
            <v>-0.52269480519480516</v>
          </cell>
        </row>
        <row r="206">
          <cell r="B206">
            <v>3000063.3</v>
          </cell>
          <cell r="T206">
            <v>105.78666666666668</v>
          </cell>
          <cell r="AI206">
            <v>-0.54244565217391305</v>
          </cell>
        </row>
        <row r="207">
          <cell r="B207">
            <v>3067091.6</v>
          </cell>
          <cell r="T207">
            <v>107.40333333333335</v>
          </cell>
          <cell r="AI207">
            <v>-0.54038477633477633</v>
          </cell>
        </row>
        <row r="208">
          <cell r="B208">
            <v>3120194</v>
          </cell>
          <cell r="T208">
            <v>108.01666666666667</v>
          </cell>
          <cell r="AI208">
            <v>-0.54581818181818198</v>
          </cell>
        </row>
        <row r="209">
          <cell r="B209">
            <v>3146947.9</v>
          </cell>
          <cell r="T209">
            <v>109.88333333333334</v>
          </cell>
          <cell r="AI209">
            <v>-0.56637656063743014</v>
          </cell>
        </row>
        <row r="210">
          <cell r="B210">
            <v>3164662</v>
          </cell>
          <cell r="T210">
            <v>112.29</v>
          </cell>
          <cell r="AI210">
            <v>-0.52902587993385097</v>
          </cell>
        </row>
        <row r="211">
          <cell r="B211">
            <v>3193040.9</v>
          </cell>
          <cell r="T211">
            <v>116.06666666666666</v>
          </cell>
          <cell r="AI211">
            <v>-0.35761642743221683</v>
          </cell>
        </row>
        <row r="212">
          <cell r="B212">
            <v>3210968.8</v>
          </cell>
          <cell r="T212">
            <v>118.10000000000001</v>
          </cell>
          <cell r="AI212">
            <v>0.48074060480582209</v>
          </cell>
        </row>
        <row r="213">
          <cell r="B213">
            <v>3207804.3</v>
          </cell>
          <cell r="T213">
            <v>120.84333333333332</v>
          </cell>
          <cell r="AI213">
            <v>1.7721233766233759</v>
          </cell>
        </row>
        <row r="214">
          <cell r="B214">
            <v>3208505.5</v>
          </cell>
          <cell r="T214">
            <v>121.29333333333334</v>
          </cell>
          <cell r="AI214">
            <v>2.6319262845849805</v>
          </cell>
        </row>
        <row r="215">
          <cell r="B215">
            <v>3210970.6</v>
          </cell>
          <cell r="T215">
            <v>123.26</v>
          </cell>
          <cell r="AI215">
            <v>3.3564328063241109</v>
          </cell>
        </row>
        <row r="216">
          <cell r="B216">
            <v>3211162.7</v>
          </cell>
          <cell r="T216">
            <v>123.95</v>
          </cell>
          <cell r="AI216">
            <v>3.7773871635610754</v>
          </cell>
        </row>
        <row r="217">
          <cell r="B217">
            <v>3212690.9</v>
          </cell>
          <cell r="T217">
            <v>124.15666666666668</v>
          </cell>
          <cell r="AI217">
            <v>3.9574559884559881</v>
          </cell>
        </row>
        <row r="218">
          <cell r="B218">
            <v>3223148.3</v>
          </cell>
          <cell r="T218">
            <v>124.44</v>
          </cell>
          <cell r="AI218">
            <v>3.9236147186147186</v>
          </cell>
        </row>
        <row r="219">
          <cell r="B219">
            <v>3228476.5</v>
          </cell>
          <cell r="T219">
            <v>126.32000000000001</v>
          </cell>
          <cell r="AI219">
            <v>3.8081719367588938</v>
          </cell>
        </row>
        <row r="220">
          <cell r="B220">
            <v>3242099.9</v>
          </cell>
          <cell r="T220">
            <v>126.63333333333334</v>
          </cell>
          <cell r="AI220">
            <v>3.5553770939205709</v>
          </cell>
        </row>
        <row r="221">
          <cell r="B221">
            <v>3250018.1</v>
          </cell>
          <cell r="T221">
            <v>126.92</v>
          </cell>
          <cell r="AI221">
            <v>2.9964871698349955</v>
          </cell>
        </row>
        <row r="222">
          <cell r="T222">
            <v>127.35333333333334</v>
          </cell>
          <cell r="AI222">
            <v>2.6140402173913042</v>
          </cell>
        </row>
      </sheetData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P"/>
      <sheetName val="BASE_M"/>
      <sheetName val="BASE_Q"/>
      <sheetName val="BASE_Y"/>
      <sheetName val="Summary"/>
      <sheetName val="GAS_VIX"/>
      <sheetName val="Read me"/>
      <sheetName val="c Summary"/>
      <sheetName val="Base_UEM_mater"/>
    </sheetNames>
    <sheetDataSet>
      <sheetData sheetId="0"/>
      <sheetData sheetId="1">
        <row r="1">
          <cell r="A1">
            <v>46062.63236236111</v>
          </cell>
          <cell r="B1">
            <v>46062.683565856481</v>
          </cell>
          <cell r="C1"/>
          <cell r="D1">
            <v>46076.663005312497</v>
          </cell>
          <cell r="E1"/>
          <cell r="F1"/>
          <cell r="G1"/>
          <cell r="H1"/>
          <cell r="I1"/>
          <cell r="J1"/>
          <cell r="K1"/>
          <cell r="L1"/>
          <cell r="M1"/>
          <cell r="N1"/>
          <cell r="O1">
            <v>46076.663299699074</v>
          </cell>
          <cell r="P1">
            <v>45910.631919861116</v>
          </cell>
          <cell r="Q1">
            <v>45910.643663368057</v>
          </cell>
          <cell r="R1">
            <v>45910.643999652777</v>
          </cell>
          <cell r="S1">
            <v>45910.643795543983</v>
          </cell>
          <cell r="T1">
            <v>45910.643886342594</v>
          </cell>
          <cell r="U1">
            <v>45910.644352152776</v>
          </cell>
          <cell r="V1">
            <v>45910.644000023152</v>
          </cell>
          <cell r="W1">
            <v>45910.644019502317</v>
          </cell>
          <cell r="X1">
            <v>46055.428924525462</v>
          </cell>
          <cell r="Y1"/>
          <cell r="Z1"/>
          <cell r="AA1"/>
          <cell r="AB1"/>
          <cell r="AC1"/>
          <cell r="AD1"/>
          <cell r="AE1"/>
          <cell r="AF1"/>
          <cell r="AG1"/>
          <cell r="AH1"/>
          <cell r="AI1">
            <v>46084.519443599536</v>
          </cell>
          <cell r="AJ1"/>
          <cell r="AK1"/>
          <cell r="AL1"/>
          <cell r="AM1"/>
          <cell r="AN1"/>
          <cell r="AO1"/>
          <cell r="AP1"/>
          <cell r="AQ1"/>
          <cell r="AR1"/>
          <cell r="AS1"/>
          <cell r="AT1"/>
          <cell r="AU1"/>
          <cell r="AV1"/>
          <cell r="AW1"/>
          <cell r="AX1">
            <v>46062.683624780097</v>
          </cell>
          <cell r="AY1"/>
          <cell r="AZ1">
            <v>45993.517207916666</v>
          </cell>
        </row>
        <row r="2">
          <cell r="A2" t="str">
            <v>c.posadas@bbva.com</v>
          </cell>
          <cell r="B2" t="str">
            <v>c.posadas@bbva.com</v>
          </cell>
          <cell r="C2"/>
          <cell r="D2" t="str">
            <v>maria.martinez.alvarez@bbva.com</v>
          </cell>
          <cell r="E2"/>
          <cell r="F2"/>
          <cell r="G2"/>
          <cell r="H2"/>
          <cell r="I2"/>
          <cell r="J2"/>
          <cell r="K2"/>
          <cell r="L2"/>
          <cell r="M2"/>
          <cell r="N2"/>
          <cell r="O2" t="str">
            <v>maria.martinez.alvarez@bbva.com</v>
          </cell>
          <cell r="P2" t="str">
            <v>carlos.castellano@bbva.com</v>
          </cell>
          <cell r="Q2" t="str">
            <v>carlos.castellano@bbva.com</v>
          </cell>
          <cell r="R2" t="str">
            <v>carlos.castellano@bbva.com</v>
          </cell>
          <cell r="S2" t="str">
            <v>carlos.castellano@bbva.com</v>
          </cell>
          <cell r="T2" t="str">
            <v>carlos.castellano@bbva.com</v>
          </cell>
          <cell r="U2" t="str">
            <v>carlos.castellano@bbva.com</v>
          </cell>
          <cell r="V2" t="str">
            <v>carlos.castellano@bbva.com</v>
          </cell>
          <cell r="W2" t="str">
            <v>carlos.castellano@bbva.com</v>
          </cell>
          <cell r="X2" t="str">
            <v>maria.martinez.alvarez@bbva.com</v>
          </cell>
          <cell r="Y2"/>
          <cell r="Z2"/>
          <cell r="AA2"/>
          <cell r="AB2"/>
          <cell r="AC2"/>
          <cell r="AD2"/>
          <cell r="AE2"/>
          <cell r="AF2"/>
          <cell r="AG2"/>
          <cell r="AH2"/>
          <cell r="AI2" t="str">
            <v>maria.martinez.alvarez@bbva.com</v>
          </cell>
          <cell r="AJ2"/>
          <cell r="AK2"/>
          <cell r="AL2"/>
          <cell r="AM2"/>
          <cell r="AN2"/>
          <cell r="AO2"/>
          <cell r="AP2"/>
          <cell r="AQ2"/>
          <cell r="AR2"/>
          <cell r="AS2"/>
          <cell r="AT2"/>
          <cell r="AU2"/>
          <cell r="AV2"/>
          <cell r="AW2"/>
          <cell r="AX2" t="str">
            <v>c.posadas@bbva.com</v>
          </cell>
          <cell r="AY2"/>
          <cell r="AZ2" t="str">
            <v>maria.martinez.alvarez@bbva.com</v>
          </cell>
        </row>
        <row r="3">
          <cell r="A3"/>
          <cell r="B3"/>
          <cell r="C3"/>
          <cell r="D3" t="str">
            <v/>
          </cell>
          <cell r="E3" t="str">
            <v/>
          </cell>
          <cell r="F3" t="str">
            <v/>
          </cell>
          <cell r="G3" t="str">
            <v/>
          </cell>
          <cell r="H3" t="str">
            <v/>
          </cell>
          <cell r="I3" t="str">
            <v/>
          </cell>
          <cell r="J3" t="str">
            <v/>
          </cell>
          <cell r="K3" t="str">
            <v/>
          </cell>
          <cell r="L3" t="str">
            <v/>
          </cell>
          <cell r="M3" t="str">
            <v/>
          </cell>
          <cell r="N3" t="str">
            <v/>
          </cell>
          <cell r="O3" t="str">
            <v/>
          </cell>
          <cell r="P3" t="str">
            <v/>
          </cell>
          <cell r="Q3" t="str">
            <v/>
          </cell>
          <cell r="R3" t="str">
            <v/>
          </cell>
          <cell r="S3" t="str">
            <v/>
          </cell>
          <cell r="T3" t="str">
            <v/>
          </cell>
          <cell r="U3" t="str">
            <v/>
          </cell>
          <cell r="V3" t="str">
            <v/>
          </cell>
          <cell r="W3" t="str">
            <v/>
          </cell>
          <cell r="X3" t="str">
            <v/>
          </cell>
          <cell r="Y3" t="str">
            <v/>
          </cell>
          <cell r="Z3" t="str">
            <v/>
          </cell>
          <cell r="AA3" t="str">
            <v/>
          </cell>
          <cell r="AB3" t="str">
            <v/>
          </cell>
          <cell r="AC3" t="str">
            <v/>
          </cell>
          <cell r="AD3" t="str">
            <v/>
          </cell>
          <cell r="AE3" t="str">
            <v/>
          </cell>
          <cell r="AF3" t="str">
            <v/>
          </cell>
          <cell r="AG3" t="str">
            <v/>
          </cell>
          <cell r="AH3" t="str">
            <v/>
          </cell>
          <cell r="AI3" t="str">
            <v/>
          </cell>
          <cell r="AJ3" t="str">
            <v/>
          </cell>
          <cell r="AK3" t="str">
            <v/>
          </cell>
          <cell r="AL3" t="str">
            <v/>
          </cell>
          <cell r="AM3" t="str">
            <v/>
          </cell>
          <cell r="AN3" t="str">
            <v/>
          </cell>
          <cell r="AO3" t="str">
            <v/>
          </cell>
          <cell r="AP3" t="str">
            <v/>
          </cell>
          <cell r="AQ3" t="str">
            <v/>
          </cell>
          <cell r="AR3" t="str">
            <v/>
          </cell>
          <cell r="AS3" t="str">
            <v/>
          </cell>
          <cell r="AT3" t="str">
            <v/>
          </cell>
          <cell r="AU3" t="str">
            <v/>
          </cell>
          <cell r="AV3" t="str">
            <v/>
          </cell>
          <cell r="AW3" t="str">
            <v/>
          </cell>
          <cell r="AX3"/>
          <cell r="AY3" t="str">
            <v/>
          </cell>
          <cell r="AZ3"/>
        </row>
        <row r="4">
          <cell r="A4"/>
          <cell r="B4" t="str">
            <v>Refi rate (%)</v>
          </cell>
          <cell r="C4" t="str">
            <v>DFR (%)</v>
          </cell>
          <cell r="D4" t="str">
            <v>EONIA / ESTER</v>
          </cell>
          <cell r="E4"/>
          <cell r="F4"/>
          <cell r="G4"/>
          <cell r="H4"/>
          <cell r="I4"/>
          <cell r="J4"/>
          <cell r="K4"/>
          <cell r="L4"/>
          <cell r="M4"/>
          <cell r="N4"/>
          <cell r="O4" t="str">
            <v>Euribor 1m (%)</v>
          </cell>
          <cell r="P4" t="str">
            <v>Euribor 3m (%)</v>
          </cell>
          <cell r="Q4" t="str">
            <v>Euribor 6m (%)</v>
          </cell>
          <cell r="R4" t="str">
            <v>Euribor 12m (%)</v>
          </cell>
          <cell r="S4" t="str">
            <v>Sovereign 1y (%)</v>
          </cell>
          <cell r="T4" t="str">
            <v>Sovereign 2y (%)</v>
          </cell>
          <cell r="U4" t="str">
            <v>Sovereign 3y (%)</v>
          </cell>
          <cell r="V4" t="str">
            <v>Sovereign 5y (%)</v>
          </cell>
          <cell r="W4" t="str">
            <v>Sovereign 10y (%)</v>
          </cell>
          <cell r="X4" t="str">
            <v>Sovereign 30y (%)</v>
          </cell>
          <cell r="Y4"/>
          <cell r="Z4"/>
          <cell r="AA4"/>
          <cell r="AB4"/>
          <cell r="AC4"/>
          <cell r="AD4"/>
          <cell r="AE4"/>
          <cell r="AF4"/>
          <cell r="AG4"/>
          <cell r="AH4"/>
          <cell r="AI4" t="str">
            <v>Swap 1y (%)</v>
          </cell>
          <cell r="AJ4" t="str">
            <v>Swap 2y (%)</v>
          </cell>
          <cell r="AK4" t="str">
            <v>Swap 3y (%)</v>
          </cell>
          <cell r="AL4" t="str">
            <v>Swap 5y (%)</v>
          </cell>
          <cell r="AM4" t="str">
            <v>Swap 10y (%)</v>
          </cell>
          <cell r="AN4"/>
          <cell r="AO4"/>
          <cell r="AP4"/>
          <cell r="AQ4"/>
          <cell r="AR4"/>
          <cell r="AS4"/>
          <cell r="AT4"/>
          <cell r="AU4"/>
          <cell r="AV4"/>
          <cell r="AW4"/>
          <cell r="AX4" t="str">
            <v>Exchange rate to the USD</v>
          </cell>
          <cell r="AY4" t="str">
            <v>Stock market (Index)</v>
          </cell>
          <cell r="AZ4" t="str">
            <v>Central bank total assets (billons euro )</v>
          </cell>
          <cell r="BA4"/>
          <cell r="BB4"/>
          <cell r="BC4"/>
          <cell r="BD4"/>
          <cell r="BE4"/>
          <cell r="BF4"/>
          <cell r="BG4"/>
          <cell r="BH4"/>
          <cell r="BI4"/>
          <cell r="BJ4"/>
        </row>
        <row r="5">
          <cell r="A5"/>
          <cell r="B5"/>
          <cell r="C5"/>
          <cell r="D5"/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  <cell r="AH5"/>
          <cell r="AI5"/>
          <cell r="AJ5"/>
          <cell r="AK5"/>
          <cell r="AL5"/>
          <cell r="AM5"/>
          <cell r="AN5"/>
          <cell r="AO5"/>
          <cell r="AP5"/>
          <cell r="AQ5"/>
          <cell r="AR5"/>
          <cell r="AS5"/>
          <cell r="AT5"/>
          <cell r="AU5"/>
          <cell r="AV5"/>
          <cell r="AW5"/>
          <cell r="AX5"/>
          <cell r="AY5"/>
          <cell r="AZ5"/>
        </row>
        <row r="6">
          <cell r="A6">
            <v>29221</v>
          </cell>
          <cell r="B6" t="str">
            <v/>
          </cell>
          <cell r="C6" t="str">
            <v/>
          </cell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  <cell r="AH6"/>
          <cell r="AI6"/>
          <cell r="AJ6"/>
          <cell r="AK6"/>
          <cell r="AL6"/>
          <cell r="AM6"/>
          <cell r="AN6"/>
          <cell r="AO6"/>
          <cell r="AP6"/>
          <cell r="AQ6"/>
          <cell r="AR6"/>
          <cell r="AS6"/>
          <cell r="AT6"/>
          <cell r="AU6"/>
          <cell r="AV6"/>
          <cell r="AW6"/>
          <cell r="AX6" t="str">
            <v/>
          </cell>
          <cell r="AY6"/>
          <cell r="AZ6"/>
        </row>
        <row r="7">
          <cell r="A7">
            <v>29252</v>
          </cell>
          <cell r="B7" t="str">
            <v/>
          </cell>
          <cell r="C7" t="str">
            <v/>
          </cell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>
            <v>8.3940000000000001</v>
          </cell>
          <cell r="X7"/>
          <cell r="Y7"/>
          <cell r="Z7"/>
          <cell r="AA7"/>
          <cell r="AB7"/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/>
          <cell r="AS7"/>
          <cell r="AT7"/>
          <cell r="AU7"/>
          <cell r="AV7"/>
          <cell r="AW7"/>
          <cell r="AX7">
            <v>0.69899999999999995</v>
          </cell>
          <cell r="AY7"/>
          <cell r="AZ7"/>
        </row>
        <row r="8">
          <cell r="A8">
            <v>29281</v>
          </cell>
          <cell r="B8" t="str">
            <v/>
          </cell>
          <cell r="C8" t="str">
            <v/>
          </cell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>
            <v>9.3719999999999999</v>
          </cell>
          <cell r="X8"/>
          <cell r="Y8"/>
          <cell r="Z8"/>
          <cell r="AA8"/>
          <cell r="AB8"/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/>
          <cell r="AS8"/>
          <cell r="AT8"/>
          <cell r="AU8"/>
          <cell r="AV8"/>
          <cell r="AW8"/>
          <cell r="AX8">
            <v>0.73599999999999999</v>
          </cell>
          <cell r="AY8"/>
          <cell r="AZ8"/>
        </row>
        <row r="9">
          <cell r="A9">
            <v>29312</v>
          </cell>
          <cell r="B9" t="str">
            <v/>
          </cell>
          <cell r="C9" t="str">
            <v/>
          </cell>
          <cell r="D9"/>
          <cell r="E9"/>
          <cell r="F9"/>
          <cell r="G9"/>
          <cell r="H9"/>
          <cell r="I9"/>
          <cell r="J9"/>
          <cell r="K9"/>
          <cell r="L9"/>
          <cell r="M9"/>
          <cell r="N9"/>
          <cell r="O9"/>
          <cell r="P9"/>
          <cell r="Q9"/>
          <cell r="R9"/>
          <cell r="S9"/>
          <cell r="T9"/>
          <cell r="U9"/>
          <cell r="V9"/>
          <cell r="W9">
            <v>9.36</v>
          </cell>
          <cell r="X9"/>
          <cell r="Y9"/>
          <cell r="Z9"/>
          <cell r="AA9"/>
          <cell r="AB9"/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/>
          <cell r="AS9"/>
          <cell r="AT9"/>
          <cell r="AU9"/>
          <cell r="AV9"/>
          <cell r="AW9"/>
          <cell r="AX9">
            <v>0.745</v>
          </cell>
          <cell r="AY9"/>
          <cell r="AZ9"/>
        </row>
        <row r="10">
          <cell r="A10">
            <v>29342</v>
          </cell>
          <cell r="B10" t="str">
            <v/>
          </cell>
          <cell r="C10" t="str">
            <v/>
          </cell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>
            <v>8.5939999999999994</v>
          </cell>
          <cell r="X10"/>
          <cell r="Y10"/>
          <cell r="Z10"/>
          <cell r="AA10"/>
          <cell r="AB10"/>
          <cell r="AC10"/>
          <cell r="AD10"/>
          <cell r="AE10"/>
          <cell r="AF10"/>
          <cell r="AG10"/>
          <cell r="AH10"/>
          <cell r="AI10"/>
          <cell r="AJ10"/>
          <cell r="AK10"/>
          <cell r="AL10"/>
          <cell r="AM10"/>
          <cell r="AN10"/>
          <cell r="AO10"/>
          <cell r="AP10"/>
          <cell r="AQ10"/>
          <cell r="AR10"/>
          <cell r="AS10"/>
          <cell r="AT10"/>
          <cell r="AU10"/>
          <cell r="AV10"/>
          <cell r="AW10"/>
          <cell r="AX10">
            <v>0.71299999999999997</v>
          </cell>
          <cell r="AY10"/>
          <cell r="AZ10"/>
        </row>
        <row r="11">
          <cell r="A11">
            <v>29373</v>
          </cell>
          <cell r="B11" t="str">
            <v/>
          </cell>
          <cell r="C11" t="str">
            <v/>
          </cell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>
            <v>8.18</v>
          </cell>
          <cell r="X11"/>
          <cell r="Y11"/>
          <cell r="Z11"/>
          <cell r="AA11"/>
          <cell r="AB11"/>
          <cell r="AC11"/>
          <cell r="AD11"/>
          <cell r="AE11"/>
          <cell r="AF11"/>
          <cell r="AG11"/>
          <cell r="AH11"/>
          <cell r="AI11"/>
          <cell r="AJ11"/>
          <cell r="AK11"/>
          <cell r="AL11"/>
          <cell r="AM11"/>
          <cell r="AN11"/>
          <cell r="AO11"/>
          <cell r="AP11"/>
          <cell r="AQ11"/>
          <cell r="AR11"/>
          <cell r="AS11"/>
          <cell r="AT11"/>
          <cell r="AU11"/>
          <cell r="AV11"/>
          <cell r="AW11"/>
          <cell r="AX11">
            <v>0.70299999999999996</v>
          </cell>
          <cell r="AY11"/>
          <cell r="AZ11"/>
        </row>
        <row r="12">
          <cell r="A12">
            <v>29403</v>
          </cell>
          <cell r="B12" t="str">
            <v/>
          </cell>
          <cell r="C12" t="str">
            <v/>
          </cell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>
            <v>7.9539999999999997</v>
          </cell>
          <cell r="X12"/>
          <cell r="Y12"/>
          <cell r="Z12"/>
          <cell r="AA12"/>
          <cell r="AB12"/>
          <cell r="AC12"/>
          <cell r="AD12"/>
          <cell r="AE12"/>
          <cell r="AF12"/>
          <cell r="AG12"/>
          <cell r="AH12"/>
          <cell r="AI12"/>
          <cell r="AJ12"/>
          <cell r="AK12"/>
          <cell r="AL12"/>
          <cell r="AM12"/>
          <cell r="AN12"/>
          <cell r="AO12"/>
          <cell r="AP12"/>
          <cell r="AQ12"/>
          <cell r="AR12"/>
          <cell r="AS12"/>
          <cell r="AT12"/>
          <cell r="AU12"/>
          <cell r="AV12"/>
          <cell r="AW12"/>
          <cell r="AX12">
            <v>1</v>
          </cell>
          <cell r="AY12"/>
          <cell r="AZ12"/>
        </row>
        <row r="13">
          <cell r="A13">
            <v>29434</v>
          </cell>
          <cell r="B13" t="str">
            <v/>
          </cell>
          <cell r="C13" t="str">
            <v/>
          </cell>
          <cell r="D13"/>
          <cell r="E13"/>
          <cell r="F13"/>
          <cell r="G13"/>
          <cell r="H13"/>
          <cell r="I13"/>
          <cell r="J13"/>
          <cell r="K13"/>
          <cell r="L13"/>
          <cell r="M13"/>
          <cell r="N13"/>
          <cell r="O13"/>
          <cell r="P13"/>
          <cell r="Q13"/>
          <cell r="R13"/>
          <cell r="S13"/>
          <cell r="T13"/>
          <cell r="U13"/>
          <cell r="V13"/>
          <cell r="W13">
            <v>7.8390000000000004</v>
          </cell>
          <cell r="X13"/>
          <cell r="Y13"/>
          <cell r="Z13"/>
          <cell r="AA13"/>
          <cell r="AB13"/>
          <cell r="AC13"/>
          <cell r="AD13"/>
          <cell r="AE13"/>
          <cell r="AF13"/>
          <cell r="AG13"/>
          <cell r="AH13"/>
          <cell r="AI13"/>
          <cell r="AJ13"/>
          <cell r="AK13"/>
          <cell r="AL13"/>
          <cell r="AM13"/>
          <cell r="AN13"/>
          <cell r="AO13"/>
          <cell r="AP13"/>
          <cell r="AQ13"/>
          <cell r="AR13"/>
          <cell r="AS13"/>
          <cell r="AT13"/>
          <cell r="AU13"/>
          <cell r="AV13"/>
          <cell r="AW13"/>
          <cell r="AX13">
            <v>0.70799999999999996</v>
          </cell>
          <cell r="AY13"/>
          <cell r="AZ13"/>
        </row>
        <row r="14">
          <cell r="A14">
            <v>29465</v>
          </cell>
          <cell r="B14" t="str">
            <v/>
          </cell>
          <cell r="C14" t="str">
            <v/>
          </cell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>
            <v>8.1739999999999995</v>
          </cell>
          <cell r="X14"/>
          <cell r="Y14"/>
          <cell r="Z14"/>
          <cell r="AA14"/>
          <cell r="AB14"/>
          <cell r="AC14"/>
          <cell r="AD14"/>
          <cell r="AE14"/>
          <cell r="AF14"/>
          <cell r="AG14"/>
          <cell r="AH14"/>
          <cell r="AI14"/>
          <cell r="AJ14"/>
          <cell r="AK14"/>
          <cell r="AL14"/>
          <cell r="AM14"/>
          <cell r="AN14"/>
          <cell r="AO14"/>
          <cell r="AP14"/>
          <cell r="AQ14"/>
          <cell r="AR14"/>
          <cell r="AS14"/>
          <cell r="AT14"/>
          <cell r="AU14"/>
          <cell r="AV14"/>
          <cell r="AW14"/>
          <cell r="AX14">
            <v>0.70699999999999996</v>
          </cell>
          <cell r="AY14"/>
          <cell r="AZ14"/>
        </row>
        <row r="15">
          <cell r="A15">
            <v>29495</v>
          </cell>
          <cell r="B15" t="str">
            <v/>
          </cell>
          <cell r="C15" t="str">
            <v/>
          </cell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>
            <v>8.3610000000000007</v>
          </cell>
          <cell r="X15"/>
          <cell r="Y15"/>
          <cell r="Z15"/>
          <cell r="AA15"/>
          <cell r="AB15"/>
          <cell r="AC15"/>
          <cell r="AD15"/>
          <cell r="AE15"/>
          <cell r="AF15"/>
          <cell r="AG15"/>
          <cell r="AH15"/>
          <cell r="AI15"/>
          <cell r="AJ15"/>
          <cell r="AK15"/>
          <cell r="AL15"/>
          <cell r="AM15"/>
          <cell r="AN15"/>
          <cell r="AO15"/>
          <cell r="AP15"/>
          <cell r="AQ15"/>
          <cell r="AR15"/>
          <cell r="AS15"/>
          <cell r="AT15"/>
          <cell r="AU15"/>
          <cell r="AV15"/>
          <cell r="AW15"/>
          <cell r="AX15">
            <v>0.72199999999999998</v>
          </cell>
          <cell r="AY15"/>
          <cell r="AZ15"/>
        </row>
        <row r="16">
          <cell r="A16">
            <v>29526</v>
          </cell>
          <cell r="B16" t="str">
            <v/>
          </cell>
          <cell r="C16" t="str">
            <v/>
          </cell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>
            <v>8.7040000000000006</v>
          </cell>
          <cell r="X16"/>
          <cell r="Y16"/>
          <cell r="Z16"/>
          <cell r="AA16"/>
          <cell r="AB16"/>
          <cell r="AC16"/>
          <cell r="AD16"/>
          <cell r="AE16"/>
          <cell r="AF16"/>
          <cell r="AG16"/>
          <cell r="AH16"/>
          <cell r="AI16"/>
          <cell r="AJ16"/>
          <cell r="AK16"/>
          <cell r="AL16"/>
          <cell r="AM16"/>
          <cell r="AN16"/>
          <cell r="AO16"/>
          <cell r="AP16"/>
          <cell r="AQ16"/>
          <cell r="AR16"/>
          <cell r="AS16"/>
          <cell r="AT16"/>
          <cell r="AU16"/>
          <cell r="AV16"/>
          <cell r="AW16"/>
          <cell r="AX16">
            <v>0.749</v>
          </cell>
          <cell r="AY16"/>
          <cell r="AZ16"/>
        </row>
        <row r="17">
          <cell r="A17">
            <v>29556</v>
          </cell>
          <cell r="B17" t="str">
            <v/>
          </cell>
          <cell r="C17" t="str">
            <v/>
          </cell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>
            <v>8.8610000000000007</v>
          </cell>
          <cell r="X17"/>
          <cell r="Y17"/>
          <cell r="Z17"/>
          <cell r="AA17"/>
          <cell r="AB17"/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/>
          <cell r="AS17"/>
          <cell r="AT17"/>
          <cell r="AU17"/>
          <cell r="AV17"/>
          <cell r="AW17"/>
          <cell r="AX17">
            <v>0.76800000000000002</v>
          </cell>
          <cell r="AY17"/>
          <cell r="AZ17"/>
        </row>
        <row r="18">
          <cell r="A18">
            <v>29587</v>
          </cell>
          <cell r="B18" t="str">
            <v/>
          </cell>
          <cell r="C18" t="str">
            <v/>
          </cell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>
            <v>8.98</v>
          </cell>
          <cell r="X18"/>
          <cell r="Y18"/>
          <cell r="Z18"/>
          <cell r="AA18"/>
          <cell r="AB18"/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/>
          <cell r="AS18"/>
          <cell r="AT18"/>
          <cell r="AU18"/>
          <cell r="AV18"/>
          <cell r="AW18"/>
          <cell r="AX18">
            <v>0.77700000000000002</v>
          </cell>
          <cell r="AY18"/>
          <cell r="AZ18"/>
        </row>
        <row r="19">
          <cell r="A19">
            <v>29618</v>
          </cell>
          <cell r="B19" t="str">
            <v/>
          </cell>
          <cell r="C19" t="str">
            <v/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>
            <v>9.7590000000000003</v>
          </cell>
          <cell r="X19"/>
          <cell r="Y19"/>
          <cell r="Z19"/>
          <cell r="AA19"/>
          <cell r="AB19"/>
          <cell r="AC19"/>
          <cell r="AD19"/>
          <cell r="AE19"/>
          <cell r="AF19"/>
          <cell r="AG19"/>
          <cell r="AH19"/>
          <cell r="AI19"/>
          <cell r="AJ19"/>
          <cell r="AK19"/>
          <cell r="AL19"/>
          <cell r="AM19"/>
          <cell r="AN19"/>
          <cell r="AO19"/>
          <cell r="AP19"/>
          <cell r="AQ19"/>
          <cell r="AR19"/>
          <cell r="AS19"/>
          <cell r="AT19"/>
          <cell r="AU19"/>
          <cell r="AV19"/>
          <cell r="AW19"/>
          <cell r="AX19">
            <v>0.82899999999999996</v>
          </cell>
          <cell r="AY19"/>
          <cell r="AZ19"/>
        </row>
        <row r="20">
          <cell r="A20">
            <v>29646</v>
          </cell>
          <cell r="B20" t="str">
            <v/>
          </cell>
          <cell r="C20" t="str">
            <v/>
          </cell>
          <cell r="D20"/>
          <cell r="E20"/>
          <cell r="F20"/>
          <cell r="G20"/>
          <cell r="H20"/>
          <cell r="I20"/>
          <cell r="J20"/>
          <cell r="K20"/>
          <cell r="L20"/>
          <cell r="M20"/>
          <cell r="N20"/>
          <cell r="O20"/>
          <cell r="P20"/>
          <cell r="Q20"/>
          <cell r="R20"/>
          <cell r="S20"/>
          <cell r="T20"/>
          <cell r="U20"/>
          <cell r="V20"/>
          <cell r="W20">
            <v>10.084</v>
          </cell>
          <cell r="X20"/>
          <cell r="Y20"/>
          <cell r="Z20"/>
          <cell r="AA20"/>
          <cell r="AB20"/>
          <cell r="AC20"/>
          <cell r="AD20"/>
          <cell r="AE20"/>
          <cell r="AF20"/>
          <cell r="AG20"/>
          <cell r="AH20"/>
          <cell r="AI20"/>
          <cell r="AJ20"/>
          <cell r="AK20"/>
          <cell r="AL20"/>
          <cell r="AM20"/>
          <cell r="AN20"/>
          <cell r="AO20"/>
          <cell r="AP20"/>
          <cell r="AQ20"/>
          <cell r="AR20"/>
          <cell r="AS20"/>
          <cell r="AT20"/>
          <cell r="AU20"/>
          <cell r="AV20"/>
          <cell r="AW20"/>
          <cell r="AX20">
            <v>0.82899999999999996</v>
          </cell>
          <cell r="AY20"/>
          <cell r="AZ20"/>
        </row>
        <row r="21">
          <cell r="A21">
            <v>29677</v>
          </cell>
          <cell r="B21" t="str">
            <v/>
          </cell>
          <cell r="C21" t="str">
            <v/>
          </cell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>
            <v>10.048</v>
          </cell>
          <cell r="X21"/>
          <cell r="Y21"/>
          <cell r="Z21"/>
          <cell r="AA21"/>
          <cell r="AB21"/>
          <cell r="AC21"/>
          <cell r="AD21"/>
          <cell r="AE21"/>
          <cell r="AF21"/>
          <cell r="AG21"/>
          <cell r="AH21"/>
          <cell r="AI21"/>
          <cell r="AJ21"/>
          <cell r="AK21"/>
          <cell r="AL21"/>
          <cell r="AM21"/>
          <cell r="AN21"/>
          <cell r="AO21"/>
          <cell r="AP21"/>
          <cell r="AQ21"/>
          <cell r="AR21"/>
          <cell r="AS21"/>
          <cell r="AT21"/>
          <cell r="AU21"/>
          <cell r="AV21"/>
          <cell r="AW21"/>
          <cell r="AX21">
            <v>0.85199999999999998</v>
          </cell>
          <cell r="AY21"/>
          <cell r="AZ21"/>
        </row>
        <row r="22">
          <cell r="A22">
            <v>29707</v>
          </cell>
          <cell r="B22" t="str">
            <v/>
          </cell>
          <cell r="C22" t="str">
            <v/>
          </cell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>
            <v>10.382999999999999</v>
          </cell>
          <cell r="X22"/>
          <cell r="Y22"/>
          <cell r="Z22"/>
          <cell r="AA22"/>
          <cell r="AB22"/>
          <cell r="AC22"/>
          <cell r="AD22"/>
          <cell r="AE22"/>
          <cell r="AF22"/>
          <cell r="AG22"/>
          <cell r="AH22"/>
          <cell r="AI22"/>
          <cell r="AJ22"/>
          <cell r="AK22"/>
          <cell r="AL22"/>
          <cell r="AM22"/>
          <cell r="AN22"/>
          <cell r="AO22"/>
          <cell r="AP22"/>
          <cell r="AQ22"/>
          <cell r="AR22"/>
          <cell r="AS22"/>
          <cell r="AT22"/>
          <cell r="AU22"/>
          <cell r="AV22"/>
          <cell r="AW22"/>
          <cell r="AX22">
            <v>0.90300000000000002</v>
          </cell>
          <cell r="AY22"/>
          <cell r="AZ22"/>
        </row>
        <row r="23">
          <cell r="A23">
            <v>29738</v>
          </cell>
          <cell r="B23" t="str">
            <v/>
          </cell>
          <cell r="C23" t="str">
            <v/>
          </cell>
          <cell r="D23"/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/>
          <cell r="Q23"/>
          <cell r="R23"/>
          <cell r="S23"/>
          <cell r="T23"/>
          <cell r="U23"/>
          <cell r="V23"/>
          <cell r="W23">
            <v>10.481999999999999</v>
          </cell>
          <cell r="X23"/>
          <cell r="Y23"/>
          <cell r="Z23"/>
          <cell r="AA23"/>
          <cell r="AB23"/>
          <cell r="AC23"/>
          <cell r="AD23"/>
          <cell r="AE23"/>
          <cell r="AF23"/>
          <cell r="AG23"/>
          <cell r="AH23"/>
          <cell r="AI23"/>
          <cell r="AJ23"/>
          <cell r="AK23"/>
          <cell r="AL23"/>
          <cell r="AM23"/>
          <cell r="AN23"/>
          <cell r="AO23"/>
          <cell r="AP23"/>
          <cell r="AQ23"/>
          <cell r="AR23"/>
          <cell r="AS23"/>
          <cell r="AT23"/>
          <cell r="AU23"/>
          <cell r="AV23"/>
          <cell r="AW23"/>
          <cell r="AX23">
            <v>0.93899999999999995</v>
          </cell>
          <cell r="AY23"/>
          <cell r="AZ23"/>
        </row>
        <row r="24">
          <cell r="A24">
            <v>29768</v>
          </cell>
          <cell r="B24" t="str">
            <v/>
          </cell>
          <cell r="C24" t="str">
            <v/>
          </cell>
          <cell r="D24"/>
          <cell r="E24"/>
          <cell r="F24"/>
          <cell r="G24"/>
          <cell r="H24"/>
          <cell r="I24"/>
          <cell r="J24"/>
          <cell r="K24"/>
          <cell r="L24"/>
          <cell r="M24"/>
          <cell r="N24"/>
          <cell r="O24"/>
          <cell r="P24"/>
          <cell r="Q24"/>
          <cell r="R24"/>
          <cell r="S24"/>
          <cell r="T24"/>
          <cell r="U24"/>
          <cell r="V24"/>
          <cell r="W24">
            <v>10.551</v>
          </cell>
          <cell r="X24"/>
          <cell r="Y24"/>
          <cell r="Z24"/>
          <cell r="AA24"/>
          <cell r="AB24"/>
          <cell r="AC24"/>
          <cell r="AD24"/>
          <cell r="AE24"/>
          <cell r="AF24"/>
          <cell r="AG24"/>
          <cell r="AH24"/>
          <cell r="AI24"/>
          <cell r="AJ24"/>
          <cell r="AK24"/>
          <cell r="AL24"/>
          <cell r="AM24"/>
          <cell r="AN24"/>
          <cell r="AO24"/>
          <cell r="AP24"/>
          <cell r="AQ24"/>
          <cell r="AR24"/>
          <cell r="AS24"/>
          <cell r="AT24"/>
          <cell r="AU24"/>
          <cell r="AV24"/>
          <cell r="AW24"/>
          <cell r="AX24">
            <v>0.96799999999999997</v>
          </cell>
          <cell r="AY24"/>
          <cell r="AZ24"/>
        </row>
        <row r="25">
          <cell r="A25">
            <v>29799</v>
          </cell>
          <cell r="B25" t="str">
            <v/>
          </cell>
          <cell r="C25" t="str">
            <v/>
          </cell>
          <cell r="D25"/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/>
          <cell r="Q25"/>
          <cell r="R25"/>
          <cell r="S25"/>
          <cell r="T25"/>
          <cell r="U25"/>
          <cell r="V25"/>
          <cell r="W25">
            <v>10.537000000000001</v>
          </cell>
          <cell r="X25"/>
          <cell r="Y25"/>
          <cell r="Z25"/>
          <cell r="AA25"/>
          <cell r="AB25"/>
          <cell r="AC25"/>
          <cell r="AD25"/>
          <cell r="AE25"/>
          <cell r="AF25"/>
          <cell r="AG25"/>
          <cell r="AH25"/>
          <cell r="AI25"/>
          <cell r="AJ25"/>
          <cell r="AK25"/>
          <cell r="AL25"/>
          <cell r="AM25"/>
          <cell r="AN25"/>
          <cell r="AO25"/>
          <cell r="AP25"/>
          <cell r="AQ25"/>
          <cell r="AR25"/>
          <cell r="AS25"/>
          <cell r="AT25"/>
          <cell r="AU25"/>
          <cell r="AV25"/>
          <cell r="AW25"/>
          <cell r="AX25">
            <v>0.99299999999999999</v>
          </cell>
          <cell r="AY25"/>
          <cell r="AZ25"/>
        </row>
        <row r="26">
          <cell r="A26">
            <v>29830</v>
          </cell>
          <cell r="B26" t="str">
            <v/>
          </cell>
          <cell r="C26" t="str">
            <v/>
          </cell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>
            <v>10.587999999999999</v>
          </cell>
          <cell r="X26"/>
          <cell r="Y26"/>
          <cell r="Z26"/>
          <cell r="AA26"/>
          <cell r="AB26"/>
          <cell r="AC26"/>
          <cell r="AD26"/>
          <cell r="AE26"/>
          <cell r="AF26"/>
          <cell r="AG26"/>
          <cell r="AH26"/>
          <cell r="AI26"/>
          <cell r="AJ26"/>
          <cell r="AK26"/>
          <cell r="AL26"/>
          <cell r="AM26"/>
          <cell r="AN26"/>
          <cell r="AO26"/>
          <cell r="AP26"/>
          <cell r="AQ26"/>
          <cell r="AR26"/>
          <cell r="AS26"/>
          <cell r="AT26"/>
          <cell r="AU26"/>
          <cell r="AV26"/>
          <cell r="AW26"/>
          <cell r="AX26">
            <v>0.94599999999999995</v>
          </cell>
          <cell r="AY26"/>
          <cell r="AZ26"/>
        </row>
        <row r="27">
          <cell r="A27">
            <v>29860</v>
          </cell>
          <cell r="B27" t="str">
            <v/>
          </cell>
          <cell r="C27" t="str">
            <v/>
          </cell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>
            <v>10.257999999999999</v>
          </cell>
          <cell r="X27"/>
          <cell r="Y27"/>
          <cell r="Z27"/>
          <cell r="AA27"/>
          <cell r="AB27"/>
          <cell r="AC27"/>
          <cell r="AD27"/>
          <cell r="AE27"/>
          <cell r="AF27"/>
          <cell r="AG27"/>
          <cell r="AH27"/>
          <cell r="AI27"/>
          <cell r="AJ27"/>
          <cell r="AK27"/>
          <cell r="AL27"/>
          <cell r="AM27"/>
          <cell r="AN27"/>
          <cell r="AO27"/>
          <cell r="AP27"/>
          <cell r="AQ27"/>
          <cell r="AR27"/>
          <cell r="AS27"/>
          <cell r="AT27"/>
          <cell r="AU27"/>
          <cell r="AV27"/>
          <cell r="AW27"/>
          <cell r="AX27">
            <v>0.92100000000000004</v>
          </cell>
          <cell r="AY27"/>
          <cell r="AZ27"/>
        </row>
        <row r="28">
          <cell r="A28">
            <v>29891</v>
          </cell>
          <cell r="B28" t="str">
            <v/>
          </cell>
          <cell r="C28" t="str">
            <v/>
          </cell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>
            <v>9.9250000000000007</v>
          </cell>
          <cell r="X28"/>
          <cell r="Y28"/>
          <cell r="Z28"/>
          <cell r="AA28"/>
          <cell r="AB28"/>
          <cell r="AC28"/>
          <cell r="AD28"/>
          <cell r="AE28"/>
          <cell r="AF28"/>
          <cell r="AG28"/>
          <cell r="AH28"/>
          <cell r="AI28"/>
          <cell r="AJ28"/>
          <cell r="AK28"/>
          <cell r="AL28"/>
          <cell r="AM28"/>
          <cell r="AN28"/>
          <cell r="AO28"/>
          <cell r="AP28"/>
          <cell r="AQ28"/>
          <cell r="AR28"/>
          <cell r="AS28"/>
          <cell r="AT28"/>
          <cell r="AU28"/>
          <cell r="AV28"/>
          <cell r="AW28"/>
          <cell r="AX28">
            <v>0.91</v>
          </cell>
          <cell r="AY28"/>
          <cell r="AZ28"/>
        </row>
        <row r="29">
          <cell r="A29">
            <v>29921</v>
          </cell>
          <cell r="B29" t="str">
            <v/>
          </cell>
          <cell r="C29" t="str">
            <v/>
          </cell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>
            <v>9.7110000000000003</v>
          </cell>
          <cell r="X29"/>
          <cell r="Y29"/>
          <cell r="Z29"/>
          <cell r="AA29"/>
          <cell r="AB29"/>
          <cell r="AC29"/>
          <cell r="AD29"/>
          <cell r="AE29"/>
          <cell r="AF29"/>
          <cell r="AG29"/>
          <cell r="AH29"/>
          <cell r="AI29"/>
          <cell r="AJ29"/>
          <cell r="AK29"/>
          <cell r="AL29"/>
          <cell r="AM29"/>
          <cell r="AN29"/>
          <cell r="AO29"/>
          <cell r="AP29"/>
          <cell r="AQ29"/>
          <cell r="AR29"/>
          <cell r="AS29"/>
          <cell r="AT29"/>
          <cell r="AU29"/>
          <cell r="AV29"/>
          <cell r="AW29"/>
          <cell r="AX29">
            <v>0.92400000000000004</v>
          </cell>
          <cell r="AY29"/>
          <cell r="AZ29"/>
        </row>
        <row r="30">
          <cell r="A30">
            <v>29952</v>
          </cell>
          <cell r="B30" t="str">
            <v/>
          </cell>
          <cell r="C30" t="str">
            <v/>
          </cell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>
            <v>9.827</v>
          </cell>
          <cell r="X30"/>
          <cell r="Y30"/>
          <cell r="Z30"/>
          <cell r="AA30"/>
          <cell r="AB30"/>
          <cell r="AC30"/>
          <cell r="AD30"/>
          <cell r="AE30"/>
          <cell r="AF30"/>
          <cell r="AG30"/>
          <cell r="AH30"/>
          <cell r="AI30"/>
          <cell r="AJ30"/>
          <cell r="AK30"/>
          <cell r="AL30"/>
          <cell r="AM30"/>
          <cell r="AN30"/>
          <cell r="AO30"/>
          <cell r="AP30"/>
          <cell r="AQ30"/>
          <cell r="AR30"/>
          <cell r="AS30"/>
          <cell r="AT30"/>
          <cell r="AU30"/>
          <cell r="AV30"/>
          <cell r="AW30"/>
          <cell r="AX30">
            <v>0.93600000000000005</v>
          </cell>
          <cell r="AY30"/>
          <cell r="AZ30"/>
        </row>
        <row r="31">
          <cell r="A31">
            <v>29983</v>
          </cell>
          <cell r="B31" t="str">
            <v/>
          </cell>
          <cell r="C31" t="str">
            <v/>
          </cell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>
            <v>9.7609999999999992</v>
          </cell>
          <cell r="X31"/>
          <cell r="Y31"/>
          <cell r="Z31"/>
          <cell r="AA31"/>
          <cell r="AB31"/>
          <cell r="AC31"/>
          <cell r="AD31"/>
          <cell r="AE31"/>
          <cell r="AF31"/>
          <cell r="AG31"/>
          <cell r="AH31"/>
          <cell r="AI31"/>
          <cell r="AJ31"/>
          <cell r="AK31"/>
          <cell r="AL31"/>
          <cell r="AM31"/>
          <cell r="AN31"/>
          <cell r="AO31"/>
          <cell r="AP31"/>
          <cell r="AQ31"/>
          <cell r="AR31"/>
          <cell r="AS31"/>
          <cell r="AT31"/>
          <cell r="AU31"/>
          <cell r="AV31"/>
          <cell r="AW31"/>
          <cell r="AX31">
            <v>0.96799999999999997</v>
          </cell>
          <cell r="AY31"/>
          <cell r="AZ31"/>
        </row>
        <row r="32">
          <cell r="A32">
            <v>30011</v>
          </cell>
          <cell r="B32" t="str">
            <v/>
          </cell>
          <cell r="C32" t="str">
            <v/>
          </cell>
          <cell r="D32"/>
          <cell r="E32"/>
          <cell r="F32"/>
          <cell r="G32"/>
          <cell r="H32"/>
          <cell r="I32"/>
          <cell r="J32"/>
          <cell r="K32"/>
          <cell r="L32"/>
          <cell r="M32"/>
          <cell r="N32"/>
          <cell r="O32"/>
          <cell r="P32"/>
          <cell r="Q32"/>
          <cell r="R32"/>
          <cell r="S32"/>
          <cell r="T32"/>
          <cell r="U32"/>
          <cell r="V32"/>
          <cell r="W32">
            <v>9.4320000000000004</v>
          </cell>
          <cell r="X32"/>
          <cell r="Y32"/>
          <cell r="Z32"/>
          <cell r="AA32"/>
          <cell r="AB32"/>
          <cell r="AC32"/>
          <cell r="AD32"/>
          <cell r="AE32"/>
          <cell r="AF32"/>
          <cell r="AG32"/>
          <cell r="AH32"/>
          <cell r="AI32"/>
          <cell r="AJ32"/>
          <cell r="AK32"/>
          <cell r="AL32"/>
          <cell r="AM32"/>
          <cell r="AN32"/>
          <cell r="AO32"/>
          <cell r="AP32"/>
          <cell r="AQ32"/>
          <cell r="AR32"/>
          <cell r="AS32"/>
          <cell r="AT32"/>
          <cell r="AU32"/>
          <cell r="AV32"/>
          <cell r="AW32"/>
          <cell r="AX32">
            <v>0.98699999999999999</v>
          </cell>
          <cell r="AY32"/>
          <cell r="AZ32"/>
        </row>
        <row r="33">
          <cell r="A33">
            <v>30042</v>
          </cell>
          <cell r="B33" t="str">
            <v/>
          </cell>
          <cell r="C33" t="str">
            <v/>
          </cell>
          <cell r="D33"/>
          <cell r="E33"/>
          <cell r="F33"/>
          <cell r="G33"/>
          <cell r="H33"/>
          <cell r="I33"/>
          <cell r="J33"/>
          <cell r="K33"/>
          <cell r="L33"/>
          <cell r="M33"/>
          <cell r="N33"/>
          <cell r="O33"/>
          <cell r="P33"/>
          <cell r="Q33"/>
          <cell r="R33"/>
          <cell r="S33"/>
          <cell r="T33"/>
          <cell r="U33"/>
          <cell r="V33"/>
          <cell r="W33">
            <v>8.9809999999999999</v>
          </cell>
          <cell r="X33"/>
          <cell r="Y33"/>
          <cell r="Z33"/>
          <cell r="AA33"/>
          <cell r="AB33"/>
          <cell r="AC33"/>
          <cell r="AD33"/>
          <cell r="AE33"/>
          <cell r="AF33"/>
          <cell r="AG33"/>
          <cell r="AH33"/>
          <cell r="AI33"/>
          <cell r="AJ33"/>
          <cell r="AK33"/>
          <cell r="AL33"/>
          <cell r="AM33"/>
          <cell r="AN33"/>
          <cell r="AO33"/>
          <cell r="AP33"/>
          <cell r="AQ33"/>
          <cell r="AR33"/>
          <cell r="AS33"/>
          <cell r="AT33"/>
          <cell r="AU33"/>
          <cell r="AV33"/>
          <cell r="AW33"/>
          <cell r="AX33">
            <v>1.0029999999999999</v>
          </cell>
          <cell r="AY33"/>
          <cell r="AZ33"/>
        </row>
        <row r="34">
          <cell r="A34">
            <v>30072</v>
          </cell>
          <cell r="B34" t="str">
            <v/>
          </cell>
          <cell r="C34" t="str">
            <v/>
          </cell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>
            <v>8.8149999999999995</v>
          </cell>
          <cell r="X34"/>
          <cell r="Y34"/>
          <cell r="Z34"/>
          <cell r="AA34"/>
          <cell r="AB34"/>
          <cell r="AC34"/>
          <cell r="AD34"/>
          <cell r="AE34"/>
          <cell r="AF34"/>
          <cell r="AG34"/>
          <cell r="AH34"/>
          <cell r="AI34"/>
          <cell r="AJ34"/>
          <cell r="AK34"/>
          <cell r="AL34"/>
          <cell r="AM34"/>
          <cell r="AN34"/>
          <cell r="AO34"/>
          <cell r="AP34"/>
          <cell r="AQ34"/>
          <cell r="AR34"/>
          <cell r="AS34"/>
          <cell r="AT34"/>
          <cell r="AU34"/>
          <cell r="AV34"/>
          <cell r="AW34"/>
          <cell r="AX34">
            <v>0.96899999999999997</v>
          </cell>
          <cell r="AY34"/>
          <cell r="AZ34"/>
        </row>
        <row r="35">
          <cell r="A35">
            <v>30103</v>
          </cell>
          <cell r="B35" t="str">
            <v/>
          </cell>
          <cell r="C35" t="str">
            <v/>
          </cell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>
            <v>9.1539999999999999</v>
          </cell>
          <cell r="X35"/>
          <cell r="Y35"/>
          <cell r="Z35"/>
          <cell r="AA35"/>
          <cell r="AB35"/>
          <cell r="AC35"/>
          <cell r="AD35"/>
          <cell r="AE35"/>
          <cell r="AF35"/>
          <cell r="AG35"/>
          <cell r="AH35"/>
          <cell r="AI35"/>
          <cell r="AJ35"/>
          <cell r="AK35"/>
          <cell r="AL35"/>
          <cell r="AM35"/>
          <cell r="AN35"/>
          <cell r="AO35"/>
          <cell r="AP35"/>
          <cell r="AQ35"/>
          <cell r="AR35"/>
          <cell r="AS35"/>
          <cell r="AT35"/>
          <cell r="AU35"/>
          <cell r="AV35"/>
          <cell r="AW35"/>
          <cell r="AX35">
            <v>1.022</v>
          </cell>
          <cell r="AY35"/>
          <cell r="AZ35"/>
        </row>
        <row r="36">
          <cell r="A36">
            <v>30133</v>
          </cell>
          <cell r="B36" t="str">
            <v/>
          </cell>
          <cell r="C36" t="str">
            <v/>
          </cell>
          <cell r="D36"/>
          <cell r="E36"/>
          <cell r="F36"/>
          <cell r="G36"/>
          <cell r="H36"/>
          <cell r="I36"/>
          <cell r="J36"/>
          <cell r="K36"/>
          <cell r="L36"/>
          <cell r="M36"/>
          <cell r="N36"/>
          <cell r="O36"/>
          <cell r="P36"/>
          <cell r="Q36"/>
          <cell r="R36"/>
          <cell r="S36"/>
          <cell r="T36"/>
          <cell r="U36"/>
          <cell r="V36"/>
          <cell r="W36">
            <v>9.2609999999999992</v>
          </cell>
          <cell r="X36"/>
          <cell r="Y36"/>
          <cell r="Z36"/>
          <cell r="AA36"/>
          <cell r="AB36"/>
          <cell r="AC36"/>
          <cell r="AD36"/>
          <cell r="AE36"/>
          <cell r="AF36"/>
          <cell r="AG36"/>
          <cell r="AH36"/>
          <cell r="AI36"/>
          <cell r="AJ36"/>
          <cell r="AK36"/>
          <cell r="AL36"/>
          <cell r="AM36"/>
          <cell r="AN36"/>
          <cell r="AO36"/>
          <cell r="AP36"/>
          <cell r="AQ36"/>
          <cell r="AR36"/>
          <cell r="AS36"/>
          <cell r="AT36"/>
          <cell r="AU36"/>
          <cell r="AV36"/>
          <cell r="AW36"/>
          <cell r="AX36">
            <v>1.0429999999999999</v>
          </cell>
          <cell r="AY36"/>
          <cell r="AZ36"/>
        </row>
        <row r="37">
          <cell r="A37">
            <v>30164</v>
          </cell>
          <cell r="B37" t="str">
            <v/>
          </cell>
          <cell r="C37" t="str">
            <v/>
          </cell>
          <cell r="D37"/>
          <cell r="E37"/>
          <cell r="F37"/>
          <cell r="G37"/>
          <cell r="H37"/>
          <cell r="I37"/>
          <cell r="J37"/>
          <cell r="K37"/>
          <cell r="L37"/>
          <cell r="M37"/>
          <cell r="N37"/>
          <cell r="O37"/>
          <cell r="P37"/>
          <cell r="Q37"/>
          <cell r="R37"/>
          <cell r="S37"/>
          <cell r="T37"/>
          <cell r="U37"/>
          <cell r="V37"/>
          <cell r="W37">
            <v>8.98</v>
          </cell>
          <cell r="X37"/>
          <cell r="Y37"/>
          <cell r="Z37"/>
          <cell r="AA37"/>
          <cell r="AB37"/>
          <cell r="AC37"/>
          <cell r="AD37"/>
          <cell r="AE37"/>
          <cell r="AF37"/>
          <cell r="AG37"/>
          <cell r="AH37"/>
          <cell r="AI37"/>
          <cell r="AJ37"/>
          <cell r="AK37"/>
          <cell r="AL37"/>
          <cell r="AM37"/>
          <cell r="AN37"/>
          <cell r="AO37"/>
          <cell r="AP37"/>
          <cell r="AQ37"/>
          <cell r="AR37"/>
          <cell r="AS37"/>
          <cell r="AT37"/>
          <cell r="AU37"/>
          <cell r="AV37"/>
          <cell r="AW37"/>
          <cell r="AX37">
            <v>1.05</v>
          </cell>
          <cell r="AY37"/>
          <cell r="AZ37"/>
        </row>
        <row r="38">
          <cell r="A38">
            <v>30195</v>
          </cell>
          <cell r="B38" t="str">
            <v/>
          </cell>
          <cell r="C38" t="str">
            <v/>
          </cell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>
            <v>8.7210000000000001</v>
          </cell>
          <cell r="X38"/>
          <cell r="Y38"/>
          <cell r="Z38"/>
          <cell r="AA38"/>
          <cell r="AB38"/>
          <cell r="AC38"/>
          <cell r="AD38"/>
          <cell r="AE38"/>
          <cell r="AF38"/>
          <cell r="AG38"/>
          <cell r="AH38"/>
          <cell r="AI38"/>
          <cell r="AJ38"/>
          <cell r="AK38"/>
          <cell r="AL38"/>
          <cell r="AM38"/>
          <cell r="AN38"/>
          <cell r="AO38"/>
          <cell r="AP38"/>
          <cell r="AQ38"/>
          <cell r="AR38"/>
          <cell r="AS38"/>
          <cell r="AT38"/>
          <cell r="AU38"/>
          <cell r="AV38"/>
          <cell r="AW38"/>
          <cell r="AX38">
            <v>1.0620000000000001</v>
          </cell>
          <cell r="AY38"/>
          <cell r="AZ38"/>
        </row>
        <row r="39">
          <cell r="A39">
            <v>30225</v>
          </cell>
          <cell r="B39" t="str">
            <v/>
          </cell>
          <cell r="C39" t="str">
            <v/>
          </cell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>
            <v>8.3650000000000002</v>
          </cell>
          <cell r="X39"/>
          <cell r="Y39"/>
          <cell r="Z39"/>
          <cell r="AA39"/>
          <cell r="AB39"/>
          <cell r="AC39"/>
          <cell r="AD39"/>
          <cell r="AE39"/>
          <cell r="AF39"/>
          <cell r="AG39"/>
          <cell r="AH39"/>
          <cell r="AI39"/>
          <cell r="AJ39"/>
          <cell r="AK39"/>
          <cell r="AL39"/>
          <cell r="AM39"/>
          <cell r="AN39"/>
          <cell r="AO39"/>
          <cell r="AP39"/>
          <cell r="AQ39"/>
          <cell r="AR39"/>
          <cell r="AS39"/>
          <cell r="AT39"/>
          <cell r="AU39"/>
          <cell r="AV39"/>
          <cell r="AW39"/>
          <cell r="AX39">
            <v>1.075</v>
          </cell>
          <cell r="AY39"/>
          <cell r="AZ39"/>
        </row>
        <row r="40">
          <cell r="A40">
            <v>30256</v>
          </cell>
          <cell r="B40" t="str">
            <v/>
          </cell>
          <cell r="C40" t="str">
            <v/>
          </cell>
          <cell r="D40"/>
          <cell r="E40"/>
          <cell r="F40"/>
          <cell r="G40"/>
          <cell r="H40"/>
          <cell r="I40"/>
          <cell r="J40"/>
          <cell r="K40"/>
          <cell r="L40"/>
          <cell r="M40"/>
          <cell r="N40"/>
          <cell r="O40"/>
          <cell r="P40"/>
          <cell r="Q40"/>
          <cell r="R40"/>
          <cell r="S40"/>
          <cell r="T40"/>
          <cell r="U40"/>
          <cell r="V40"/>
          <cell r="W40">
            <v>8.2880000000000003</v>
          </cell>
          <cell r="X40"/>
          <cell r="Y40"/>
          <cell r="Z40"/>
          <cell r="AA40"/>
          <cell r="AB40"/>
          <cell r="AC40"/>
          <cell r="AD40"/>
          <cell r="AE40"/>
          <cell r="AF40"/>
          <cell r="AG40"/>
          <cell r="AH40"/>
          <cell r="AI40"/>
          <cell r="AJ40"/>
          <cell r="AK40"/>
          <cell r="AL40"/>
          <cell r="AM40"/>
          <cell r="AN40"/>
          <cell r="AO40"/>
          <cell r="AP40"/>
          <cell r="AQ40"/>
          <cell r="AR40"/>
          <cell r="AS40"/>
          <cell r="AT40"/>
          <cell r="AU40"/>
          <cell r="AV40"/>
          <cell r="AW40"/>
          <cell r="AX40">
            <v>1.0920000000000001</v>
          </cell>
          <cell r="AY40"/>
          <cell r="AZ40"/>
        </row>
        <row r="41">
          <cell r="A41">
            <v>30286</v>
          </cell>
          <cell r="B41" t="str">
            <v/>
          </cell>
          <cell r="C41" t="str">
            <v/>
          </cell>
          <cell r="D41"/>
          <cell r="E41"/>
          <cell r="F41"/>
          <cell r="G41"/>
          <cell r="H41"/>
          <cell r="I41"/>
          <cell r="J41"/>
          <cell r="K41"/>
          <cell r="L41"/>
          <cell r="M41"/>
          <cell r="N41"/>
          <cell r="O41"/>
          <cell r="P41"/>
          <cell r="Q41"/>
          <cell r="R41"/>
          <cell r="S41"/>
          <cell r="T41"/>
          <cell r="U41"/>
          <cell r="V41"/>
          <cell r="W41">
            <v>8.0050000000000008</v>
          </cell>
          <cell r="X41"/>
          <cell r="Y41"/>
          <cell r="Z41"/>
          <cell r="AA41"/>
          <cell r="AB41"/>
          <cell r="AC41"/>
          <cell r="AD41"/>
          <cell r="AE41"/>
          <cell r="AF41"/>
          <cell r="AG41"/>
          <cell r="AH41"/>
          <cell r="AI41"/>
          <cell r="AJ41"/>
          <cell r="AK41"/>
          <cell r="AL41"/>
          <cell r="AM41"/>
          <cell r="AN41"/>
          <cell r="AO41"/>
          <cell r="AP41"/>
          <cell r="AQ41"/>
          <cell r="AR41"/>
          <cell r="AS41"/>
          <cell r="AT41"/>
          <cell r="AU41"/>
          <cell r="AV41"/>
          <cell r="AW41"/>
          <cell r="AX41">
            <v>1.0469999999999999</v>
          </cell>
          <cell r="AY41"/>
          <cell r="AZ41"/>
        </row>
        <row r="42">
          <cell r="A42">
            <v>30317</v>
          </cell>
          <cell r="B42" t="str">
            <v/>
          </cell>
          <cell r="C42" t="str">
            <v/>
          </cell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>
            <v>7.71</v>
          </cell>
          <cell r="X42"/>
          <cell r="Y42"/>
          <cell r="Z42"/>
          <cell r="AA42"/>
          <cell r="AB42"/>
          <cell r="AC42"/>
          <cell r="AD42"/>
          <cell r="AE42"/>
          <cell r="AF42"/>
          <cell r="AG42"/>
          <cell r="AH42"/>
          <cell r="AI42"/>
          <cell r="AJ42"/>
          <cell r="AK42"/>
          <cell r="AL42"/>
          <cell r="AM42"/>
          <cell r="AN42"/>
          <cell r="AO42"/>
          <cell r="AP42"/>
          <cell r="AQ42"/>
          <cell r="AR42"/>
          <cell r="AS42"/>
          <cell r="AT42"/>
          <cell r="AU42"/>
          <cell r="AV42"/>
          <cell r="AW42"/>
          <cell r="AX42">
            <v>1.04</v>
          </cell>
          <cell r="AY42"/>
          <cell r="AZ42"/>
        </row>
        <row r="43">
          <cell r="A43">
            <v>30348</v>
          </cell>
          <cell r="B43" t="str">
            <v/>
          </cell>
          <cell r="C43" t="str">
            <v/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>
            <v>7.7119999999999997</v>
          </cell>
          <cell r="X43"/>
          <cell r="Y43"/>
          <cell r="Z43"/>
          <cell r="AA43"/>
          <cell r="AB43"/>
          <cell r="AC43"/>
          <cell r="AD43"/>
          <cell r="AE43"/>
          <cell r="AF43"/>
          <cell r="AG43"/>
          <cell r="AH43"/>
          <cell r="AI43"/>
          <cell r="AJ43"/>
          <cell r="AK43"/>
          <cell r="AL43"/>
          <cell r="AM43"/>
          <cell r="AN43"/>
          <cell r="AO43"/>
          <cell r="AP43"/>
          <cell r="AQ43"/>
          <cell r="AR43"/>
          <cell r="AS43"/>
          <cell r="AT43"/>
          <cell r="AU43"/>
          <cell r="AV43"/>
          <cell r="AW43"/>
          <cell r="AX43">
            <v>1.0589999999999999</v>
          </cell>
          <cell r="AY43"/>
          <cell r="AZ43"/>
        </row>
        <row r="44">
          <cell r="A44">
            <v>30376</v>
          </cell>
          <cell r="B44" t="str">
            <v/>
          </cell>
          <cell r="C44" t="str">
            <v/>
          </cell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>
            <v>7.4219999999999997</v>
          </cell>
          <cell r="X44"/>
          <cell r="Y44"/>
          <cell r="Z44"/>
          <cell r="AA44"/>
          <cell r="AB44"/>
          <cell r="AC44"/>
          <cell r="AD44"/>
          <cell r="AE44"/>
          <cell r="AF44"/>
          <cell r="AG44"/>
          <cell r="AH44"/>
          <cell r="AI44"/>
          <cell r="AJ44"/>
          <cell r="AK44"/>
          <cell r="AL44"/>
          <cell r="AM44"/>
          <cell r="AN44"/>
          <cell r="AO44"/>
          <cell r="AP44"/>
          <cell r="AQ44"/>
          <cell r="AR44"/>
          <cell r="AS44"/>
          <cell r="AT44"/>
          <cell r="AU44"/>
          <cell r="AV44"/>
          <cell r="AW44"/>
          <cell r="AX44">
            <v>1.0660000000000001</v>
          </cell>
          <cell r="AY44"/>
          <cell r="AZ44"/>
        </row>
        <row r="45">
          <cell r="A45">
            <v>30407</v>
          </cell>
          <cell r="B45" t="str">
            <v/>
          </cell>
          <cell r="C45" t="str">
            <v/>
          </cell>
          <cell r="D45"/>
          <cell r="E45"/>
          <cell r="F45"/>
          <cell r="G45"/>
          <cell r="H45"/>
          <cell r="I45"/>
          <cell r="J45"/>
          <cell r="K45"/>
          <cell r="L45"/>
          <cell r="M45"/>
          <cell r="N45"/>
          <cell r="O45"/>
          <cell r="P45"/>
          <cell r="Q45"/>
          <cell r="R45"/>
          <cell r="S45"/>
          <cell r="T45"/>
          <cell r="U45"/>
          <cell r="V45"/>
          <cell r="W45">
            <v>7.5129999999999999</v>
          </cell>
          <cell r="X45"/>
          <cell r="Y45"/>
          <cell r="Z45"/>
          <cell r="AA45"/>
          <cell r="AB45"/>
          <cell r="AC45"/>
          <cell r="AD45"/>
          <cell r="AE45"/>
          <cell r="AF45"/>
          <cell r="AG45"/>
          <cell r="AH45"/>
          <cell r="AI45"/>
          <cell r="AJ45"/>
          <cell r="AK45"/>
          <cell r="AL45"/>
          <cell r="AM45"/>
          <cell r="AN45"/>
          <cell r="AO45"/>
          <cell r="AP45"/>
          <cell r="AQ45"/>
          <cell r="AR45"/>
          <cell r="AS45"/>
          <cell r="AT45"/>
          <cell r="AU45"/>
          <cell r="AV45"/>
          <cell r="AW45"/>
          <cell r="AX45">
            <v>1.081</v>
          </cell>
          <cell r="AY45"/>
          <cell r="AZ45"/>
        </row>
        <row r="46">
          <cell r="A46">
            <v>30437</v>
          </cell>
          <cell r="B46" t="str">
            <v/>
          </cell>
          <cell r="C46" t="str">
            <v/>
          </cell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>
            <v>7.6890000000000001</v>
          </cell>
          <cell r="X46"/>
          <cell r="Y46"/>
          <cell r="Z46"/>
          <cell r="AA46"/>
          <cell r="AB46"/>
          <cell r="AC46"/>
          <cell r="AD46"/>
          <cell r="AE46"/>
          <cell r="AF46"/>
          <cell r="AG46"/>
          <cell r="AH46"/>
          <cell r="AI46"/>
          <cell r="AJ46"/>
          <cell r="AK46"/>
          <cell r="AL46"/>
          <cell r="AM46"/>
          <cell r="AN46"/>
          <cell r="AO46"/>
          <cell r="AP46"/>
          <cell r="AQ46"/>
          <cell r="AR46"/>
          <cell r="AS46"/>
          <cell r="AT46"/>
          <cell r="AU46"/>
          <cell r="AV46"/>
          <cell r="AW46"/>
          <cell r="AX46">
            <v>1.0880000000000001</v>
          </cell>
          <cell r="AY46"/>
          <cell r="AZ46"/>
        </row>
        <row r="47">
          <cell r="A47">
            <v>30468</v>
          </cell>
          <cell r="B47" t="str">
            <v/>
          </cell>
          <cell r="C47" t="str">
            <v/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>
            <v>8.109</v>
          </cell>
          <cell r="X47"/>
          <cell r="Y47"/>
          <cell r="Z47"/>
          <cell r="AA47"/>
          <cell r="AB47"/>
          <cell r="AC47"/>
          <cell r="AD47"/>
          <cell r="AE47"/>
          <cell r="AF47"/>
          <cell r="AG47"/>
          <cell r="AH47"/>
          <cell r="AI47"/>
          <cell r="AJ47"/>
          <cell r="AK47"/>
          <cell r="AL47"/>
          <cell r="AM47"/>
          <cell r="AN47"/>
          <cell r="AO47"/>
          <cell r="AP47"/>
          <cell r="AQ47"/>
          <cell r="AR47"/>
          <cell r="AS47"/>
          <cell r="AT47"/>
          <cell r="AU47"/>
          <cell r="AV47"/>
          <cell r="AW47"/>
          <cell r="AX47">
            <v>1.121</v>
          </cell>
          <cell r="AY47"/>
          <cell r="AZ47"/>
        </row>
        <row r="48">
          <cell r="A48">
            <v>30498</v>
          </cell>
          <cell r="B48" t="str">
            <v/>
          </cell>
          <cell r="C48" t="str">
            <v/>
          </cell>
          <cell r="D48"/>
          <cell r="E48"/>
          <cell r="F48"/>
          <cell r="G48"/>
          <cell r="H48"/>
          <cell r="I48"/>
          <cell r="J48"/>
          <cell r="K48"/>
          <cell r="L48"/>
          <cell r="M48"/>
          <cell r="N48"/>
          <cell r="O48"/>
          <cell r="P48"/>
          <cell r="Q48"/>
          <cell r="R48"/>
          <cell r="S48"/>
          <cell r="T48"/>
          <cell r="U48"/>
          <cell r="V48"/>
          <cell r="W48">
            <v>8.2390000000000008</v>
          </cell>
          <cell r="X48"/>
          <cell r="Y48"/>
          <cell r="Z48"/>
          <cell r="AA48"/>
          <cell r="AB48"/>
          <cell r="AC48"/>
          <cell r="AD48"/>
          <cell r="AE48"/>
          <cell r="AF48"/>
          <cell r="AG48"/>
          <cell r="AH48"/>
          <cell r="AI48"/>
          <cell r="AJ48"/>
          <cell r="AK48"/>
          <cell r="AL48"/>
          <cell r="AM48"/>
          <cell r="AN48"/>
          <cell r="AO48"/>
          <cell r="AP48"/>
          <cell r="AQ48"/>
          <cell r="AR48"/>
          <cell r="AS48"/>
          <cell r="AT48"/>
          <cell r="AU48"/>
          <cell r="AV48"/>
          <cell r="AW48"/>
          <cell r="AX48">
            <v>1.1379999999999999</v>
          </cell>
          <cell r="AY48"/>
          <cell r="AZ48"/>
        </row>
        <row r="49">
          <cell r="A49">
            <v>30529</v>
          </cell>
          <cell r="B49" t="str">
            <v/>
          </cell>
          <cell r="C49" t="str">
            <v/>
          </cell>
          <cell r="D49"/>
          <cell r="E49"/>
          <cell r="F49"/>
          <cell r="G49"/>
          <cell r="H49"/>
          <cell r="I49"/>
          <cell r="J49"/>
          <cell r="K49"/>
          <cell r="L49"/>
          <cell r="M49"/>
          <cell r="N49"/>
          <cell r="O49"/>
          <cell r="P49"/>
          <cell r="Q49"/>
          <cell r="R49"/>
          <cell r="S49"/>
          <cell r="T49"/>
          <cell r="U49"/>
          <cell r="V49"/>
          <cell r="W49">
            <v>8.3659999999999997</v>
          </cell>
          <cell r="X49"/>
          <cell r="Y49"/>
          <cell r="Z49"/>
          <cell r="AA49"/>
          <cell r="AB49"/>
          <cell r="AC49"/>
          <cell r="AD49"/>
          <cell r="AE49"/>
          <cell r="AF49"/>
          <cell r="AG49"/>
          <cell r="AH49"/>
          <cell r="AI49"/>
          <cell r="AJ49"/>
          <cell r="AK49"/>
          <cell r="AL49"/>
          <cell r="AM49"/>
          <cell r="AN49"/>
          <cell r="AO49"/>
          <cell r="AP49"/>
          <cell r="AQ49"/>
          <cell r="AR49"/>
          <cell r="AS49"/>
          <cell r="AT49"/>
          <cell r="AU49"/>
          <cell r="AV49"/>
          <cell r="AW49"/>
          <cell r="AX49">
            <v>1.173</v>
          </cell>
          <cell r="AY49"/>
          <cell r="AZ49"/>
        </row>
        <row r="50">
          <cell r="A50">
            <v>30560</v>
          </cell>
          <cell r="B50" t="str">
            <v/>
          </cell>
          <cell r="C50" t="str">
            <v/>
          </cell>
          <cell r="D50"/>
          <cell r="E50"/>
          <cell r="F50"/>
          <cell r="G50"/>
          <cell r="H50"/>
          <cell r="I50"/>
          <cell r="J50"/>
          <cell r="K50"/>
          <cell r="L50"/>
          <cell r="M50"/>
          <cell r="N50"/>
          <cell r="O50"/>
          <cell r="P50"/>
          <cell r="Q50"/>
          <cell r="R50"/>
          <cell r="S50"/>
          <cell r="T50"/>
          <cell r="U50"/>
          <cell r="V50"/>
          <cell r="W50">
            <v>8.4779999999999998</v>
          </cell>
          <cell r="X50"/>
          <cell r="Y50"/>
          <cell r="Z50"/>
          <cell r="AA50"/>
          <cell r="AB50"/>
          <cell r="AC50"/>
          <cell r="AD50"/>
          <cell r="AE50"/>
          <cell r="AF50"/>
          <cell r="AG50"/>
          <cell r="AH50"/>
          <cell r="AI50"/>
          <cell r="AJ50"/>
          <cell r="AK50"/>
          <cell r="AL50"/>
          <cell r="AM50"/>
          <cell r="AN50"/>
          <cell r="AO50"/>
          <cell r="AP50"/>
          <cell r="AQ50"/>
          <cell r="AR50"/>
          <cell r="AS50"/>
          <cell r="AT50"/>
          <cell r="AU50"/>
          <cell r="AV50"/>
          <cell r="AW50"/>
          <cell r="AX50">
            <v>1.1739999999999999</v>
          </cell>
          <cell r="AY50"/>
          <cell r="AZ50"/>
        </row>
        <row r="51">
          <cell r="A51">
            <v>30590</v>
          </cell>
          <cell r="B51" t="str">
            <v/>
          </cell>
          <cell r="C51" t="str">
            <v/>
          </cell>
          <cell r="D51"/>
          <cell r="E51"/>
          <cell r="F51"/>
          <cell r="G51"/>
          <cell r="H51"/>
          <cell r="I51"/>
          <cell r="J51"/>
          <cell r="K51"/>
          <cell r="L51"/>
          <cell r="M51"/>
          <cell r="N51"/>
          <cell r="O51"/>
          <cell r="P51"/>
          <cell r="Q51"/>
          <cell r="R51"/>
          <cell r="S51"/>
          <cell r="T51"/>
          <cell r="U51"/>
          <cell r="V51"/>
          <cell r="W51">
            <v>8.2620000000000005</v>
          </cell>
          <cell r="X51"/>
          <cell r="Y51"/>
          <cell r="Z51"/>
          <cell r="AA51"/>
          <cell r="AB51"/>
          <cell r="AC51"/>
          <cell r="AD51"/>
          <cell r="AE51"/>
          <cell r="AF51"/>
          <cell r="AG51"/>
          <cell r="AH51"/>
          <cell r="AI51"/>
          <cell r="AJ51"/>
          <cell r="AK51"/>
          <cell r="AL51"/>
          <cell r="AM51"/>
          <cell r="AN51"/>
          <cell r="AO51"/>
          <cell r="AP51"/>
          <cell r="AQ51"/>
          <cell r="AR51"/>
          <cell r="AS51"/>
          <cell r="AT51"/>
          <cell r="AU51"/>
          <cell r="AV51"/>
          <cell r="AW51"/>
          <cell r="AX51">
            <v>1.155</v>
          </cell>
          <cell r="AY51"/>
          <cell r="AZ51"/>
        </row>
        <row r="52">
          <cell r="A52">
            <v>30621</v>
          </cell>
          <cell r="B52" t="str">
            <v/>
          </cell>
          <cell r="C52" t="str">
            <v/>
          </cell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>
            <v>8.3070000000000004</v>
          </cell>
          <cell r="X52"/>
          <cell r="Y52"/>
          <cell r="Z52"/>
          <cell r="AA52"/>
          <cell r="AB52"/>
          <cell r="AC52"/>
          <cell r="AD52"/>
          <cell r="AE52"/>
          <cell r="AF52"/>
          <cell r="AG52"/>
          <cell r="AH52"/>
          <cell r="AI52"/>
          <cell r="AJ52"/>
          <cell r="AK52"/>
          <cell r="AL52"/>
          <cell r="AM52"/>
          <cell r="AN52"/>
          <cell r="AO52"/>
          <cell r="AP52"/>
          <cell r="AQ52"/>
          <cell r="AR52"/>
          <cell r="AS52"/>
          <cell r="AT52"/>
          <cell r="AU52"/>
          <cell r="AV52"/>
          <cell r="AW52"/>
          <cell r="AX52">
            <v>1.1850000000000001</v>
          </cell>
          <cell r="AY52"/>
          <cell r="AZ52"/>
        </row>
        <row r="53">
          <cell r="A53">
            <v>30651</v>
          </cell>
          <cell r="B53" t="str">
            <v/>
          </cell>
          <cell r="C53" t="str">
            <v/>
          </cell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>
            <v>8.41</v>
          </cell>
          <cell r="X53"/>
          <cell r="Y53"/>
          <cell r="Z53"/>
          <cell r="AA53"/>
          <cell r="AB53"/>
          <cell r="AC53"/>
          <cell r="AD53"/>
          <cell r="AE53"/>
          <cell r="AF53"/>
          <cell r="AG53"/>
          <cell r="AH53"/>
          <cell r="AI53"/>
          <cell r="AJ53"/>
          <cell r="AK53"/>
          <cell r="AL53"/>
          <cell r="AM53"/>
          <cell r="AN53"/>
          <cell r="AO53"/>
          <cell r="AP53"/>
          <cell r="AQ53"/>
          <cell r="AR53"/>
          <cell r="AS53"/>
          <cell r="AT53"/>
          <cell r="AU53"/>
          <cell r="AV53"/>
          <cell r="AW53"/>
          <cell r="AX53">
            <v>1.2170000000000001</v>
          </cell>
          <cell r="AY53"/>
          <cell r="AZ53"/>
        </row>
        <row r="54">
          <cell r="A54">
            <v>30682</v>
          </cell>
          <cell r="B54" t="str">
            <v/>
          </cell>
          <cell r="C54" t="str">
            <v/>
          </cell>
          <cell r="D54"/>
          <cell r="E54"/>
          <cell r="F54"/>
          <cell r="G54"/>
          <cell r="H54"/>
          <cell r="I54"/>
          <cell r="J54"/>
          <cell r="K54"/>
          <cell r="L54"/>
          <cell r="M54"/>
          <cell r="N54"/>
          <cell r="O54"/>
          <cell r="P54"/>
          <cell r="Q54"/>
          <cell r="R54"/>
          <cell r="S54"/>
          <cell r="T54"/>
          <cell r="U54"/>
          <cell r="V54"/>
          <cell r="W54">
            <v>8.3759999999999994</v>
          </cell>
          <cell r="X54"/>
          <cell r="Y54"/>
          <cell r="Z54"/>
          <cell r="AA54"/>
          <cell r="AB54"/>
          <cell r="AC54"/>
          <cell r="AD54"/>
          <cell r="AE54"/>
          <cell r="AF54"/>
          <cell r="AG54"/>
          <cell r="AH54"/>
          <cell r="AI54"/>
          <cell r="AJ54"/>
          <cell r="AK54"/>
          <cell r="AL54"/>
          <cell r="AM54"/>
          <cell r="AN54"/>
          <cell r="AO54"/>
          <cell r="AP54"/>
          <cell r="AQ54"/>
          <cell r="AR54"/>
          <cell r="AS54"/>
          <cell r="AT54"/>
          <cell r="AU54"/>
          <cell r="AV54"/>
          <cell r="AW54"/>
          <cell r="AX54">
            <v>1.2430000000000001</v>
          </cell>
          <cell r="AY54"/>
          <cell r="AZ54"/>
        </row>
        <row r="55">
          <cell r="A55">
            <v>30713</v>
          </cell>
          <cell r="B55" t="str">
            <v/>
          </cell>
          <cell r="C55" t="str">
            <v/>
          </cell>
          <cell r="D55"/>
          <cell r="E55"/>
          <cell r="F55"/>
          <cell r="G55"/>
          <cell r="H55"/>
          <cell r="I55"/>
          <cell r="J55"/>
          <cell r="K55"/>
          <cell r="L55"/>
          <cell r="M55"/>
          <cell r="N55"/>
          <cell r="O55"/>
          <cell r="P55"/>
          <cell r="Q55"/>
          <cell r="R55"/>
          <cell r="S55"/>
          <cell r="T55"/>
          <cell r="U55"/>
          <cell r="V55"/>
          <cell r="W55">
            <v>8.2059999999999995</v>
          </cell>
          <cell r="X55"/>
          <cell r="Y55"/>
          <cell r="Z55"/>
          <cell r="AA55"/>
          <cell r="AB55"/>
          <cell r="AC55"/>
          <cell r="AD55"/>
          <cell r="AE55"/>
          <cell r="AF55"/>
          <cell r="AG55"/>
          <cell r="AH55"/>
          <cell r="AI55"/>
          <cell r="AJ55"/>
          <cell r="AK55"/>
          <cell r="AL55"/>
          <cell r="AM55"/>
          <cell r="AN55"/>
          <cell r="AO55"/>
          <cell r="AP55"/>
          <cell r="AQ55"/>
          <cell r="AR55"/>
          <cell r="AS55"/>
          <cell r="AT55"/>
          <cell r="AU55"/>
          <cell r="AV55"/>
          <cell r="AW55"/>
          <cell r="AX55">
            <v>1.204</v>
          </cell>
          <cell r="AY55"/>
          <cell r="AZ55"/>
        </row>
        <row r="56">
          <cell r="A56">
            <v>30742</v>
          </cell>
          <cell r="B56" t="str">
            <v/>
          </cell>
          <cell r="C56" t="str">
            <v/>
          </cell>
          <cell r="D56"/>
          <cell r="E56"/>
          <cell r="F56"/>
          <cell r="G56"/>
          <cell r="H56"/>
          <cell r="I56"/>
          <cell r="J56"/>
          <cell r="K56"/>
          <cell r="L56"/>
          <cell r="M56"/>
          <cell r="N56"/>
          <cell r="O56"/>
          <cell r="P56"/>
          <cell r="Q56"/>
          <cell r="R56"/>
          <cell r="S56"/>
          <cell r="T56"/>
          <cell r="U56"/>
          <cell r="V56"/>
          <cell r="W56">
            <v>8.1180000000000003</v>
          </cell>
          <cell r="X56"/>
          <cell r="Y56"/>
          <cell r="Z56"/>
          <cell r="AA56"/>
          <cell r="AB56"/>
          <cell r="AC56"/>
          <cell r="AD56"/>
          <cell r="AE56"/>
          <cell r="AF56"/>
          <cell r="AG56"/>
          <cell r="AH56"/>
          <cell r="AI56"/>
          <cell r="AJ56"/>
          <cell r="AK56"/>
          <cell r="AL56"/>
          <cell r="AM56"/>
          <cell r="AN56"/>
          <cell r="AO56"/>
          <cell r="AP56"/>
          <cell r="AQ56"/>
          <cell r="AR56"/>
          <cell r="AS56"/>
          <cell r="AT56"/>
          <cell r="AU56"/>
          <cell r="AV56"/>
          <cell r="AW56"/>
          <cell r="AX56">
            <v>1.163</v>
          </cell>
          <cell r="AY56"/>
          <cell r="AZ56"/>
        </row>
        <row r="57">
          <cell r="A57">
            <v>30773</v>
          </cell>
          <cell r="B57" t="str">
            <v/>
          </cell>
          <cell r="C57" t="str">
            <v/>
          </cell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>
            <v>8.0809999999999995</v>
          </cell>
          <cell r="X57"/>
          <cell r="Y57"/>
          <cell r="Z57"/>
          <cell r="AA57"/>
          <cell r="AB57"/>
          <cell r="AC57"/>
          <cell r="AD57"/>
          <cell r="AE57"/>
          <cell r="AF57"/>
          <cell r="AG57"/>
          <cell r="AH57"/>
          <cell r="AI57"/>
          <cell r="AJ57"/>
          <cell r="AK57"/>
          <cell r="AL57"/>
          <cell r="AM57"/>
          <cell r="AN57"/>
          <cell r="AO57"/>
          <cell r="AP57"/>
          <cell r="AQ57"/>
          <cell r="AR57"/>
          <cell r="AS57"/>
          <cell r="AT57"/>
          <cell r="AU57"/>
          <cell r="AV57"/>
          <cell r="AW57"/>
          <cell r="AX57">
            <v>1.1830000000000001</v>
          </cell>
          <cell r="AY57"/>
          <cell r="AZ57"/>
        </row>
        <row r="58">
          <cell r="A58">
            <v>30803</v>
          </cell>
          <cell r="B58" t="str">
            <v/>
          </cell>
          <cell r="C58" t="str">
            <v/>
          </cell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>
            <v>8.2409999999999997</v>
          </cell>
          <cell r="X58"/>
          <cell r="Y58"/>
          <cell r="Z58"/>
          <cell r="AA58"/>
          <cell r="AB58"/>
          <cell r="AC58"/>
          <cell r="AD58"/>
          <cell r="AE58"/>
          <cell r="AF58"/>
          <cell r="AG58"/>
          <cell r="AH58"/>
          <cell r="AI58"/>
          <cell r="AJ58"/>
          <cell r="AK58"/>
          <cell r="AL58"/>
          <cell r="AM58"/>
          <cell r="AN58"/>
          <cell r="AO58"/>
          <cell r="AP58"/>
          <cell r="AQ58"/>
          <cell r="AR58"/>
          <cell r="AS58"/>
          <cell r="AT58"/>
          <cell r="AU58"/>
          <cell r="AV58"/>
          <cell r="AW58"/>
          <cell r="AX58">
            <v>1.2270000000000001</v>
          </cell>
          <cell r="AY58"/>
          <cell r="AZ58"/>
        </row>
        <row r="59">
          <cell r="A59">
            <v>30834</v>
          </cell>
          <cell r="B59" t="str">
            <v/>
          </cell>
          <cell r="C59" t="str">
            <v/>
          </cell>
          <cell r="D59"/>
          <cell r="E59"/>
          <cell r="F59"/>
          <cell r="G59"/>
          <cell r="H59"/>
          <cell r="I59"/>
          <cell r="J59"/>
          <cell r="K59"/>
          <cell r="L59"/>
          <cell r="M59"/>
          <cell r="N59"/>
          <cell r="O59"/>
          <cell r="P59"/>
          <cell r="Q59"/>
          <cell r="R59"/>
          <cell r="S59"/>
          <cell r="T59"/>
          <cell r="U59"/>
          <cell r="V59"/>
          <cell r="W59">
            <v>8.2420000000000009</v>
          </cell>
          <cell r="X59"/>
          <cell r="Y59"/>
          <cell r="Z59"/>
          <cell r="AA59"/>
          <cell r="AB59"/>
          <cell r="AC59"/>
          <cell r="AD59"/>
          <cell r="AE59"/>
          <cell r="AF59"/>
          <cell r="AG59"/>
          <cell r="AH59"/>
          <cell r="AI59"/>
          <cell r="AJ59"/>
          <cell r="AK59"/>
          <cell r="AL59"/>
          <cell r="AM59"/>
          <cell r="AN59"/>
          <cell r="AO59"/>
          <cell r="AP59"/>
          <cell r="AQ59"/>
          <cell r="AR59"/>
          <cell r="AS59"/>
          <cell r="AT59"/>
          <cell r="AU59"/>
          <cell r="AV59"/>
          <cell r="AW59"/>
          <cell r="AX59">
            <v>1.2250000000000001</v>
          </cell>
          <cell r="AY59"/>
          <cell r="AZ59"/>
        </row>
        <row r="60">
          <cell r="A60">
            <v>30864</v>
          </cell>
          <cell r="B60" t="str">
            <v/>
          </cell>
          <cell r="C60" t="str">
            <v/>
          </cell>
          <cell r="D60"/>
          <cell r="E60"/>
          <cell r="F60"/>
          <cell r="G60"/>
          <cell r="H60"/>
          <cell r="I60"/>
          <cell r="J60"/>
          <cell r="K60"/>
          <cell r="L60"/>
          <cell r="M60"/>
          <cell r="N60"/>
          <cell r="O60"/>
          <cell r="P60"/>
          <cell r="Q60"/>
          <cell r="R60"/>
          <cell r="S60"/>
          <cell r="T60"/>
          <cell r="U60"/>
          <cell r="V60"/>
          <cell r="W60">
            <v>8.2390000000000008</v>
          </cell>
          <cell r="X60"/>
          <cell r="Y60"/>
          <cell r="Z60"/>
          <cell r="AA60"/>
          <cell r="AB60"/>
          <cell r="AC60"/>
          <cell r="AD60"/>
          <cell r="AE60"/>
          <cell r="AF60"/>
          <cell r="AG60"/>
          <cell r="AH60"/>
          <cell r="AI60"/>
          <cell r="AJ60"/>
          <cell r="AK60"/>
          <cell r="AL60"/>
          <cell r="AM60"/>
          <cell r="AN60"/>
          <cell r="AO60"/>
          <cell r="AP60"/>
          <cell r="AQ60"/>
          <cell r="AR60"/>
          <cell r="AS60"/>
          <cell r="AT60"/>
          <cell r="AU60"/>
          <cell r="AV60"/>
          <cell r="AW60"/>
          <cell r="AX60">
            <v>1.2729999999999999</v>
          </cell>
          <cell r="AY60"/>
          <cell r="AZ60"/>
        </row>
        <row r="61">
          <cell r="A61">
            <v>30895</v>
          </cell>
          <cell r="B61" t="str">
            <v/>
          </cell>
          <cell r="C61" t="str">
            <v/>
          </cell>
          <cell r="D61"/>
          <cell r="E61"/>
          <cell r="F61"/>
          <cell r="G61"/>
          <cell r="H61"/>
          <cell r="I61"/>
          <cell r="J61"/>
          <cell r="K61"/>
          <cell r="L61"/>
          <cell r="M61"/>
          <cell r="N61"/>
          <cell r="O61"/>
          <cell r="P61"/>
          <cell r="Q61"/>
          <cell r="R61"/>
          <cell r="S61"/>
          <cell r="T61"/>
          <cell r="U61"/>
          <cell r="V61"/>
          <cell r="W61">
            <v>8.1140000000000008</v>
          </cell>
          <cell r="X61"/>
          <cell r="Y61"/>
          <cell r="Z61"/>
          <cell r="AA61"/>
          <cell r="AB61"/>
          <cell r="AC61"/>
          <cell r="AD61"/>
          <cell r="AE61"/>
          <cell r="AF61"/>
          <cell r="AG61"/>
          <cell r="AH61"/>
          <cell r="AI61"/>
          <cell r="AJ61"/>
          <cell r="AK61"/>
          <cell r="AL61"/>
          <cell r="AM61"/>
          <cell r="AN61"/>
          <cell r="AO61"/>
          <cell r="AP61"/>
          <cell r="AQ61"/>
          <cell r="AR61"/>
          <cell r="AS61"/>
          <cell r="AT61"/>
          <cell r="AU61"/>
          <cell r="AV61"/>
          <cell r="AW61"/>
          <cell r="AX61">
            <v>1.2889999999999999</v>
          </cell>
          <cell r="AY61"/>
          <cell r="AZ61"/>
        </row>
        <row r="62">
          <cell r="A62">
            <v>30926</v>
          </cell>
          <cell r="B62" t="str">
            <v/>
          </cell>
          <cell r="C62" t="str">
            <v/>
          </cell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>
            <v>7.8979999999999997</v>
          </cell>
          <cell r="X62"/>
          <cell r="Y62"/>
          <cell r="Z62"/>
          <cell r="AA62"/>
          <cell r="AB62"/>
          <cell r="AC62"/>
          <cell r="AD62"/>
          <cell r="AE62"/>
          <cell r="AF62"/>
          <cell r="AG62"/>
          <cell r="AH62"/>
          <cell r="AI62"/>
          <cell r="AJ62"/>
          <cell r="AK62"/>
          <cell r="AL62"/>
          <cell r="AM62"/>
          <cell r="AN62"/>
          <cell r="AO62"/>
          <cell r="AP62"/>
          <cell r="AQ62"/>
          <cell r="AR62"/>
          <cell r="AS62"/>
          <cell r="AT62"/>
          <cell r="AU62"/>
          <cell r="AV62"/>
          <cell r="AW62"/>
          <cell r="AX62">
            <v>1.3480000000000001</v>
          </cell>
          <cell r="AY62"/>
          <cell r="AZ62"/>
        </row>
        <row r="63">
          <cell r="A63">
            <v>30956</v>
          </cell>
          <cell r="B63" t="str">
            <v/>
          </cell>
          <cell r="C63" t="str">
            <v/>
          </cell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>
            <v>7.5709999999999997</v>
          </cell>
          <cell r="X63"/>
          <cell r="Y63"/>
          <cell r="Z63"/>
          <cell r="AA63"/>
          <cell r="AB63"/>
          <cell r="AC63"/>
          <cell r="AD63"/>
          <cell r="AE63"/>
          <cell r="AF63"/>
          <cell r="AG63"/>
          <cell r="AH63"/>
          <cell r="AI63"/>
          <cell r="AJ63"/>
          <cell r="AK63"/>
          <cell r="AL63"/>
          <cell r="AM63"/>
          <cell r="AN63"/>
          <cell r="AO63"/>
          <cell r="AP63"/>
          <cell r="AQ63"/>
          <cell r="AR63"/>
          <cell r="AS63"/>
          <cell r="AT63"/>
          <cell r="AU63"/>
          <cell r="AV63"/>
          <cell r="AW63"/>
          <cell r="AX63">
            <v>1.373</v>
          </cell>
          <cell r="AY63"/>
          <cell r="AZ63"/>
        </row>
        <row r="64">
          <cell r="A64">
            <v>30987</v>
          </cell>
          <cell r="B64" t="str">
            <v/>
          </cell>
          <cell r="C64" t="str">
            <v/>
          </cell>
          <cell r="D64"/>
          <cell r="E64"/>
          <cell r="F64"/>
          <cell r="G64"/>
          <cell r="H64"/>
          <cell r="I64"/>
          <cell r="J64"/>
          <cell r="K64"/>
          <cell r="L64"/>
          <cell r="M64"/>
          <cell r="N64"/>
          <cell r="O64"/>
          <cell r="P64"/>
          <cell r="Q64"/>
          <cell r="R64"/>
          <cell r="S64"/>
          <cell r="T64"/>
          <cell r="U64"/>
          <cell r="V64"/>
          <cell r="W64">
            <v>7.2560000000000002</v>
          </cell>
          <cell r="X64"/>
          <cell r="Y64"/>
          <cell r="Z64"/>
          <cell r="AA64"/>
          <cell r="AB64"/>
          <cell r="AC64"/>
          <cell r="AD64"/>
          <cell r="AE64"/>
          <cell r="AF64"/>
          <cell r="AG64"/>
          <cell r="AH64"/>
          <cell r="AI64"/>
          <cell r="AJ64"/>
          <cell r="AK64"/>
          <cell r="AL64"/>
          <cell r="AM64"/>
          <cell r="AN64"/>
          <cell r="AO64"/>
          <cell r="AP64"/>
          <cell r="AQ64"/>
          <cell r="AR64"/>
          <cell r="AS64"/>
          <cell r="AT64"/>
          <cell r="AU64"/>
          <cell r="AV64"/>
          <cell r="AW64"/>
          <cell r="AX64">
            <v>1.34</v>
          </cell>
          <cell r="AY64"/>
          <cell r="AZ64"/>
        </row>
        <row r="65">
          <cell r="A65">
            <v>31017</v>
          </cell>
          <cell r="B65" t="str">
            <v/>
          </cell>
          <cell r="C65" t="str">
            <v/>
          </cell>
          <cell r="D65"/>
          <cell r="E65"/>
          <cell r="F65"/>
          <cell r="G65"/>
          <cell r="H65"/>
          <cell r="I65"/>
          <cell r="J65"/>
          <cell r="K65"/>
          <cell r="L65"/>
          <cell r="M65"/>
          <cell r="N65"/>
          <cell r="O65"/>
          <cell r="P65"/>
          <cell r="Q65"/>
          <cell r="R65"/>
          <cell r="S65"/>
          <cell r="T65"/>
          <cell r="U65"/>
          <cell r="V65"/>
          <cell r="W65">
            <v>7.0430000000000001</v>
          </cell>
          <cell r="X65"/>
          <cell r="Y65"/>
          <cell r="Z65"/>
          <cell r="AA65"/>
          <cell r="AB65"/>
          <cell r="AC65"/>
          <cell r="AD65"/>
          <cell r="AE65"/>
          <cell r="AF65"/>
          <cell r="AG65"/>
          <cell r="AH65"/>
          <cell r="AI65"/>
          <cell r="AJ65"/>
          <cell r="AK65"/>
          <cell r="AL65"/>
          <cell r="AM65"/>
          <cell r="AN65"/>
          <cell r="AO65"/>
          <cell r="AP65"/>
          <cell r="AQ65"/>
          <cell r="AR65"/>
          <cell r="AS65"/>
          <cell r="AT65"/>
          <cell r="AU65"/>
          <cell r="AV65"/>
          <cell r="AW65"/>
          <cell r="AX65">
            <v>1.391</v>
          </cell>
          <cell r="AY65"/>
          <cell r="AZ65"/>
        </row>
        <row r="66">
          <cell r="A66">
            <v>31048</v>
          </cell>
          <cell r="B66" t="str">
            <v/>
          </cell>
          <cell r="C66" t="str">
            <v/>
          </cell>
          <cell r="D66"/>
          <cell r="E66"/>
          <cell r="F66"/>
          <cell r="G66"/>
          <cell r="H66"/>
          <cell r="I66"/>
          <cell r="J66"/>
          <cell r="K66"/>
          <cell r="L66"/>
          <cell r="M66"/>
          <cell r="N66"/>
          <cell r="O66"/>
          <cell r="P66"/>
          <cell r="Q66"/>
          <cell r="R66"/>
          <cell r="S66"/>
          <cell r="T66"/>
          <cell r="U66"/>
          <cell r="V66"/>
          <cell r="W66">
            <v>7.1159999999999997</v>
          </cell>
          <cell r="X66"/>
          <cell r="Y66"/>
          <cell r="Z66"/>
          <cell r="AA66"/>
          <cell r="AB66"/>
          <cell r="AC66"/>
          <cell r="AD66"/>
          <cell r="AE66"/>
          <cell r="AF66"/>
          <cell r="AG66"/>
          <cell r="AH66"/>
          <cell r="AI66"/>
          <cell r="AJ66"/>
          <cell r="AK66"/>
          <cell r="AL66"/>
          <cell r="AM66"/>
          <cell r="AN66"/>
          <cell r="AO66"/>
          <cell r="AP66"/>
          <cell r="AQ66"/>
          <cell r="AR66"/>
          <cell r="AS66"/>
          <cell r="AT66"/>
          <cell r="AU66"/>
          <cell r="AV66"/>
          <cell r="AW66"/>
          <cell r="AX66">
            <v>1.4239999999999999</v>
          </cell>
          <cell r="AY66"/>
          <cell r="AZ66"/>
        </row>
        <row r="67">
          <cell r="A67">
            <v>31079</v>
          </cell>
          <cell r="B67" t="str">
            <v/>
          </cell>
          <cell r="C67" t="str">
            <v/>
          </cell>
          <cell r="D67"/>
          <cell r="E67"/>
          <cell r="F67"/>
          <cell r="G67"/>
          <cell r="H67"/>
          <cell r="I67"/>
          <cell r="J67"/>
          <cell r="K67"/>
          <cell r="L67"/>
          <cell r="M67"/>
          <cell r="N67"/>
          <cell r="O67"/>
          <cell r="P67"/>
          <cell r="Q67"/>
          <cell r="R67"/>
          <cell r="S67"/>
          <cell r="T67"/>
          <cell r="U67"/>
          <cell r="V67"/>
          <cell r="W67">
            <v>7.5919999999999996</v>
          </cell>
          <cell r="X67"/>
          <cell r="Y67"/>
          <cell r="Z67"/>
          <cell r="AA67"/>
          <cell r="AB67"/>
          <cell r="AC67"/>
          <cell r="AD67"/>
          <cell r="AE67"/>
          <cell r="AF67"/>
          <cell r="AG67"/>
          <cell r="AH67"/>
          <cell r="AI67"/>
          <cell r="AJ67"/>
          <cell r="AK67"/>
          <cell r="AL67"/>
          <cell r="AM67"/>
          <cell r="AN67"/>
          <cell r="AO67"/>
          <cell r="AP67"/>
          <cell r="AQ67"/>
          <cell r="AR67"/>
          <cell r="AS67"/>
          <cell r="AT67"/>
          <cell r="AU67"/>
          <cell r="AV67"/>
          <cell r="AW67"/>
          <cell r="AX67">
            <v>1.48</v>
          </cell>
          <cell r="AY67"/>
          <cell r="AZ67"/>
        </row>
        <row r="68">
          <cell r="A68">
            <v>31107</v>
          </cell>
          <cell r="B68" t="str">
            <v/>
          </cell>
          <cell r="C68" t="str">
            <v/>
          </cell>
          <cell r="D68"/>
          <cell r="E68"/>
          <cell r="F68"/>
          <cell r="G68"/>
          <cell r="H68"/>
          <cell r="I68"/>
          <cell r="J68"/>
          <cell r="K68"/>
          <cell r="L68"/>
          <cell r="M68"/>
          <cell r="N68"/>
          <cell r="O68"/>
          <cell r="P68"/>
          <cell r="Q68"/>
          <cell r="R68"/>
          <cell r="S68"/>
          <cell r="T68"/>
          <cell r="U68"/>
          <cell r="V68"/>
          <cell r="W68">
            <v>7.625</v>
          </cell>
          <cell r="X68"/>
          <cell r="Y68"/>
          <cell r="Z68"/>
          <cell r="AA68"/>
          <cell r="AB68"/>
          <cell r="AC68"/>
          <cell r="AD68"/>
          <cell r="AE68"/>
          <cell r="AF68"/>
          <cell r="AG68"/>
          <cell r="AH68"/>
          <cell r="AI68"/>
          <cell r="AJ68"/>
          <cell r="AK68"/>
          <cell r="AL68"/>
          <cell r="AM68"/>
          <cell r="AN68"/>
          <cell r="AO68"/>
          <cell r="AP68"/>
          <cell r="AQ68"/>
          <cell r="AR68"/>
          <cell r="AS68"/>
          <cell r="AT68"/>
          <cell r="AU68"/>
          <cell r="AV68"/>
          <cell r="AW68"/>
          <cell r="AX68">
            <v>1.482</v>
          </cell>
          <cell r="AY68"/>
          <cell r="AZ68"/>
        </row>
        <row r="69">
          <cell r="A69">
            <v>31138</v>
          </cell>
          <cell r="B69" t="str">
            <v/>
          </cell>
          <cell r="C69" t="str">
            <v/>
          </cell>
          <cell r="D69"/>
          <cell r="E69"/>
          <cell r="F69"/>
          <cell r="G69"/>
          <cell r="H69"/>
          <cell r="I69"/>
          <cell r="J69"/>
          <cell r="K69"/>
          <cell r="L69"/>
          <cell r="M69"/>
          <cell r="N69"/>
          <cell r="O69"/>
          <cell r="P69"/>
          <cell r="Q69"/>
          <cell r="R69"/>
          <cell r="S69"/>
          <cell r="T69"/>
          <cell r="U69"/>
          <cell r="V69"/>
          <cell r="W69">
            <v>7.3070000000000004</v>
          </cell>
          <cell r="X69"/>
          <cell r="Y69"/>
          <cell r="Z69"/>
          <cell r="AA69"/>
          <cell r="AB69"/>
          <cell r="AC69"/>
          <cell r="AD69"/>
          <cell r="AE69"/>
          <cell r="AF69"/>
          <cell r="AG69"/>
          <cell r="AH69"/>
          <cell r="AI69"/>
          <cell r="AJ69"/>
          <cell r="AK69"/>
          <cell r="AL69"/>
          <cell r="AM69"/>
          <cell r="AN69"/>
          <cell r="AO69"/>
          <cell r="AP69"/>
          <cell r="AQ69"/>
          <cell r="AR69"/>
          <cell r="AS69"/>
          <cell r="AT69"/>
          <cell r="AU69"/>
          <cell r="AV69"/>
          <cell r="AW69"/>
          <cell r="AX69">
            <v>1.3819999999999999</v>
          </cell>
          <cell r="AY69"/>
          <cell r="AZ69"/>
        </row>
        <row r="70">
          <cell r="A70">
            <v>31168</v>
          </cell>
          <cell r="B70" t="str">
            <v/>
          </cell>
          <cell r="C70" t="str">
            <v/>
          </cell>
          <cell r="D70"/>
          <cell r="E70"/>
          <cell r="F70"/>
          <cell r="G70"/>
          <cell r="H70"/>
          <cell r="I70"/>
          <cell r="J70"/>
          <cell r="K70"/>
          <cell r="L70"/>
          <cell r="M70"/>
          <cell r="N70"/>
          <cell r="O70"/>
          <cell r="P70"/>
          <cell r="Q70"/>
          <cell r="R70"/>
          <cell r="S70"/>
          <cell r="T70"/>
          <cell r="U70"/>
          <cell r="V70"/>
          <cell r="W70">
            <v>7.2009999999999996</v>
          </cell>
          <cell r="X70"/>
          <cell r="Y70"/>
          <cell r="Z70"/>
          <cell r="AA70"/>
          <cell r="AB70"/>
          <cell r="AC70"/>
          <cell r="AD70"/>
          <cell r="AE70"/>
          <cell r="AF70"/>
          <cell r="AG70"/>
          <cell r="AH70"/>
          <cell r="AI70"/>
          <cell r="AJ70"/>
          <cell r="AK70"/>
          <cell r="AL70"/>
          <cell r="AM70"/>
          <cell r="AN70"/>
          <cell r="AO70"/>
          <cell r="AP70"/>
          <cell r="AQ70"/>
          <cell r="AR70"/>
          <cell r="AS70"/>
          <cell r="AT70"/>
          <cell r="AU70"/>
          <cell r="AV70"/>
          <cell r="AW70"/>
          <cell r="AX70">
            <v>1.387</v>
          </cell>
          <cell r="AY70"/>
          <cell r="AZ70"/>
        </row>
        <row r="71">
          <cell r="A71">
            <v>31199</v>
          </cell>
          <cell r="B71" t="str">
            <v/>
          </cell>
          <cell r="C71" t="str">
            <v/>
          </cell>
          <cell r="D71"/>
          <cell r="E71"/>
          <cell r="F71"/>
          <cell r="G71"/>
          <cell r="H71"/>
          <cell r="I71"/>
          <cell r="J71"/>
          <cell r="K71"/>
          <cell r="L71"/>
          <cell r="M71"/>
          <cell r="N71"/>
          <cell r="O71"/>
          <cell r="P71"/>
          <cell r="Q71"/>
          <cell r="R71"/>
          <cell r="S71"/>
          <cell r="T71"/>
          <cell r="U71"/>
          <cell r="V71"/>
          <cell r="W71">
            <v>7.0490000000000004</v>
          </cell>
          <cell r="X71"/>
          <cell r="Y71"/>
          <cell r="Z71"/>
          <cell r="AA71"/>
          <cell r="AB71"/>
          <cell r="AC71"/>
          <cell r="AD71"/>
          <cell r="AE71"/>
          <cell r="AF71"/>
          <cell r="AG71"/>
          <cell r="AH71"/>
          <cell r="AI71"/>
          <cell r="AJ71"/>
          <cell r="AK71"/>
          <cell r="AL71"/>
          <cell r="AM71"/>
          <cell r="AN71"/>
          <cell r="AO71"/>
          <cell r="AP71"/>
          <cell r="AQ71"/>
          <cell r="AR71"/>
          <cell r="AS71"/>
          <cell r="AT71"/>
          <cell r="AU71"/>
          <cell r="AV71"/>
          <cell r="AW71"/>
          <cell r="AX71">
            <v>1.3640000000000001</v>
          </cell>
          <cell r="AY71"/>
          <cell r="AZ71"/>
        </row>
        <row r="72">
          <cell r="A72">
            <v>31229</v>
          </cell>
          <cell r="B72" t="str">
            <v/>
          </cell>
          <cell r="C72" t="str">
            <v/>
          </cell>
          <cell r="D72"/>
          <cell r="E72"/>
          <cell r="F72"/>
          <cell r="G72"/>
          <cell r="H72"/>
          <cell r="I72"/>
          <cell r="J72"/>
          <cell r="K72"/>
          <cell r="L72"/>
          <cell r="M72"/>
          <cell r="N72"/>
          <cell r="O72"/>
          <cell r="P72"/>
          <cell r="Q72"/>
          <cell r="R72"/>
          <cell r="S72"/>
          <cell r="T72"/>
          <cell r="U72"/>
          <cell r="V72"/>
          <cell r="W72">
            <v>6.8639999999999999</v>
          </cell>
          <cell r="X72"/>
          <cell r="Y72"/>
          <cell r="Z72"/>
          <cell r="AA72"/>
          <cell r="AB72"/>
          <cell r="AC72"/>
          <cell r="AD72"/>
          <cell r="AE72"/>
          <cell r="AF72"/>
          <cell r="AG72"/>
          <cell r="AH72"/>
          <cell r="AI72"/>
          <cell r="AJ72"/>
          <cell r="AK72"/>
          <cell r="AL72"/>
          <cell r="AM72"/>
          <cell r="AN72"/>
          <cell r="AO72"/>
          <cell r="AP72"/>
          <cell r="AQ72"/>
          <cell r="AR72"/>
          <cell r="AS72"/>
          <cell r="AT72"/>
          <cell r="AU72"/>
          <cell r="AV72"/>
          <cell r="AW72"/>
          <cell r="AX72">
            <v>1.296</v>
          </cell>
          <cell r="AY72"/>
          <cell r="AZ72"/>
        </row>
        <row r="73">
          <cell r="A73">
            <v>31260</v>
          </cell>
          <cell r="B73" t="str">
            <v/>
          </cell>
          <cell r="C73" t="str">
            <v/>
          </cell>
          <cell r="D73"/>
          <cell r="E73"/>
          <cell r="F73"/>
          <cell r="G73"/>
          <cell r="H73"/>
          <cell r="I73"/>
          <cell r="J73"/>
          <cell r="K73"/>
          <cell r="L73"/>
          <cell r="M73"/>
          <cell r="N73"/>
          <cell r="O73"/>
          <cell r="P73"/>
          <cell r="Q73"/>
          <cell r="R73"/>
          <cell r="S73"/>
          <cell r="T73"/>
          <cell r="U73"/>
          <cell r="V73"/>
          <cell r="W73">
            <v>6.585</v>
          </cell>
          <cell r="X73"/>
          <cell r="Y73"/>
          <cell r="Z73"/>
          <cell r="AA73"/>
          <cell r="AB73"/>
          <cell r="AC73"/>
          <cell r="AD73"/>
          <cell r="AE73"/>
          <cell r="AF73"/>
          <cell r="AG73"/>
          <cell r="AH73"/>
          <cell r="AI73"/>
          <cell r="AJ73"/>
          <cell r="AK73"/>
          <cell r="AL73"/>
          <cell r="AM73"/>
          <cell r="AN73"/>
          <cell r="AO73"/>
          <cell r="AP73"/>
          <cell r="AQ73"/>
          <cell r="AR73"/>
          <cell r="AS73"/>
          <cell r="AT73"/>
          <cell r="AU73"/>
          <cell r="AV73"/>
          <cell r="AW73"/>
          <cell r="AX73">
            <v>1.2529999999999999</v>
          </cell>
          <cell r="AY73"/>
          <cell r="AZ73"/>
        </row>
        <row r="74">
          <cell r="A74">
            <v>31291</v>
          </cell>
          <cell r="B74" t="str">
            <v/>
          </cell>
          <cell r="C74" t="str">
            <v/>
          </cell>
          <cell r="D74"/>
          <cell r="E74"/>
          <cell r="F74"/>
          <cell r="G74"/>
          <cell r="H74"/>
          <cell r="I74"/>
          <cell r="J74"/>
          <cell r="K74"/>
          <cell r="L74"/>
          <cell r="M74"/>
          <cell r="N74"/>
          <cell r="O74"/>
          <cell r="P74"/>
          <cell r="Q74"/>
          <cell r="R74"/>
          <cell r="S74"/>
          <cell r="T74"/>
          <cell r="U74"/>
          <cell r="V74"/>
          <cell r="W74">
            <v>6.399</v>
          </cell>
          <cell r="X74"/>
          <cell r="Y74"/>
          <cell r="Z74"/>
          <cell r="AA74"/>
          <cell r="AB74"/>
          <cell r="AC74"/>
          <cell r="AD74"/>
          <cell r="AE74"/>
          <cell r="AF74"/>
          <cell r="AG74"/>
          <cell r="AH74"/>
          <cell r="AI74"/>
          <cell r="AJ74"/>
          <cell r="AK74"/>
          <cell r="AL74"/>
          <cell r="AM74"/>
          <cell r="AN74"/>
          <cell r="AO74"/>
          <cell r="AP74"/>
          <cell r="AQ74"/>
          <cell r="AR74"/>
          <cell r="AS74"/>
          <cell r="AT74"/>
          <cell r="AU74"/>
          <cell r="AV74"/>
          <cell r="AW74"/>
          <cell r="AX74">
            <v>1.274</v>
          </cell>
          <cell r="AY74"/>
          <cell r="AZ74"/>
        </row>
        <row r="75">
          <cell r="A75">
            <v>31321</v>
          </cell>
          <cell r="B75" t="str">
            <v/>
          </cell>
          <cell r="C75" t="str">
            <v/>
          </cell>
          <cell r="D75"/>
          <cell r="E75"/>
          <cell r="F75"/>
          <cell r="G75"/>
          <cell r="H75"/>
          <cell r="I75"/>
          <cell r="J75"/>
          <cell r="K75"/>
          <cell r="L75"/>
          <cell r="M75"/>
          <cell r="N75"/>
          <cell r="O75"/>
          <cell r="P75"/>
          <cell r="Q75"/>
          <cell r="R75"/>
          <cell r="S75"/>
          <cell r="T75"/>
          <cell r="U75"/>
          <cell r="V75"/>
          <cell r="W75">
            <v>6.5910000000000002</v>
          </cell>
          <cell r="X75"/>
          <cell r="Y75"/>
          <cell r="Z75"/>
          <cell r="AA75"/>
          <cell r="AB75"/>
          <cell r="AC75"/>
          <cell r="AD75"/>
          <cell r="AE75"/>
          <cell r="AF75"/>
          <cell r="AG75"/>
          <cell r="AH75"/>
          <cell r="AI75"/>
          <cell r="AJ75"/>
          <cell r="AK75"/>
          <cell r="AL75"/>
          <cell r="AM75"/>
          <cell r="AN75"/>
          <cell r="AO75"/>
          <cell r="AP75"/>
          <cell r="AQ75"/>
          <cell r="AR75"/>
          <cell r="AS75"/>
          <cell r="AT75"/>
          <cell r="AU75"/>
          <cell r="AV75"/>
          <cell r="AW75"/>
          <cell r="AX75">
            <v>1.1950000000000001</v>
          </cell>
          <cell r="AY75"/>
          <cell r="AZ75"/>
        </row>
        <row r="76">
          <cell r="A76">
            <v>31352</v>
          </cell>
          <cell r="B76" t="str">
            <v/>
          </cell>
          <cell r="C76" t="str">
            <v/>
          </cell>
          <cell r="D76"/>
          <cell r="E76"/>
          <cell r="F76"/>
          <cell r="G76"/>
          <cell r="H76"/>
          <cell r="I76"/>
          <cell r="J76"/>
          <cell r="K76"/>
          <cell r="L76"/>
          <cell r="M76"/>
          <cell r="N76"/>
          <cell r="O76"/>
          <cell r="P76"/>
          <cell r="Q76"/>
          <cell r="R76"/>
          <cell r="S76"/>
          <cell r="T76"/>
          <cell r="U76"/>
          <cell r="V76"/>
          <cell r="W76">
            <v>6.5759999999999996</v>
          </cell>
          <cell r="X76"/>
          <cell r="Y76"/>
          <cell r="Z76"/>
          <cell r="AA76"/>
          <cell r="AB76"/>
          <cell r="AC76"/>
          <cell r="AD76"/>
          <cell r="AE76"/>
          <cell r="AF76"/>
          <cell r="AG76"/>
          <cell r="AH76"/>
          <cell r="AI76"/>
          <cell r="AJ76"/>
          <cell r="AK76"/>
          <cell r="AL76"/>
          <cell r="AM76"/>
          <cell r="AN76"/>
          <cell r="AO76"/>
          <cell r="AP76"/>
          <cell r="AQ76"/>
          <cell r="AR76"/>
          <cell r="AS76"/>
          <cell r="AT76"/>
          <cell r="AU76"/>
          <cell r="AV76"/>
          <cell r="AW76"/>
          <cell r="AX76">
            <v>1.1739999999999999</v>
          </cell>
          <cell r="AY76"/>
          <cell r="AZ76"/>
        </row>
        <row r="77">
          <cell r="A77">
            <v>31382</v>
          </cell>
          <cell r="B77" t="str">
            <v/>
          </cell>
          <cell r="C77" t="str">
            <v/>
          </cell>
          <cell r="D77"/>
          <cell r="E77"/>
          <cell r="F77"/>
          <cell r="G77"/>
          <cell r="H77"/>
          <cell r="I77"/>
          <cell r="J77"/>
          <cell r="K77"/>
          <cell r="L77"/>
          <cell r="M77"/>
          <cell r="N77"/>
          <cell r="O77"/>
          <cell r="P77"/>
          <cell r="Q77"/>
          <cell r="R77"/>
          <cell r="S77"/>
          <cell r="T77"/>
          <cell r="U77"/>
          <cell r="V77"/>
          <cell r="W77">
            <v>6.4539999999999997</v>
          </cell>
          <cell r="X77"/>
          <cell r="Y77"/>
          <cell r="Z77"/>
          <cell r="AA77"/>
          <cell r="AB77"/>
          <cell r="AC77"/>
          <cell r="AD77"/>
          <cell r="AE77"/>
          <cell r="AF77"/>
          <cell r="AG77"/>
          <cell r="AH77"/>
          <cell r="AI77"/>
          <cell r="AJ77"/>
          <cell r="AK77"/>
          <cell r="AL77"/>
          <cell r="AM77"/>
          <cell r="AN77"/>
          <cell r="AO77"/>
          <cell r="AP77"/>
          <cell r="AQ77"/>
          <cell r="AR77"/>
          <cell r="AS77"/>
          <cell r="AT77"/>
          <cell r="AU77"/>
          <cell r="AV77"/>
          <cell r="AW77"/>
          <cell r="AX77">
            <v>1.1459999999999999</v>
          </cell>
          <cell r="AY77"/>
          <cell r="AZ77"/>
        </row>
        <row r="78">
          <cell r="A78">
            <v>31413</v>
          </cell>
          <cell r="B78" t="str">
            <v/>
          </cell>
          <cell r="C78" t="str">
            <v/>
          </cell>
          <cell r="D78"/>
          <cell r="E78"/>
          <cell r="F78"/>
          <cell r="G78"/>
          <cell r="H78"/>
          <cell r="I78"/>
          <cell r="J78"/>
          <cell r="K78"/>
          <cell r="L78"/>
          <cell r="M78"/>
          <cell r="N78"/>
          <cell r="O78"/>
          <cell r="P78"/>
          <cell r="Q78"/>
          <cell r="R78"/>
          <cell r="S78"/>
          <cell r="T78"/>
          <cell r="U78"/>
          <cell r="V78"/>
          <cell r="W78">
            <v>6.3090000000000002</v>
          </cell>
          <cell r="X78"/>
          <cell r="Y78"/>
          <cell r="Z78"/>
          <cell r="AA78"/>
          <cell r="AB78"/>
          <cell r="AC78"/>
          <cell r="AD78"/>
          <cell r="AE78"/>
          <cell r="AF78"/>
          <cell r="AG78"/>
          <cell r="AH78"/>
          <cell r="AI78"/>
          <cell r="AJ78"/>
          <cell r="AK78"/>
          <cell r="AL78"/>
          <cell r="AM78"/>
          <cell r="AN78"/>
          <cell r="AO78"/>
          <cell r="AP78"/>
          <cell r="AQ78"/>
          <cell r="AR78"/>
          <cell r="AS78"/>
          <cell r="AT78"/>
          <cell r="AU78"/>
          <cell r="AV78"/>
          <cell r="AW78"/>
          <cell r="AX78">
            <v>1.1220000000000001</v>
          </cell>
          <cell r="AY78"/>
          <cell r="AZ78"/>
        </row>
        <row r="79">
          <cell r="A79">
            <v>31444</v>
          </cell>
          <cell r="B79" t="str">
            <v/>
          </cell>
          <cell r="C79" t="str">
            <v/>
          </cell>
          <cell r="D79"/>
          <cell r="E79"/>
          <cell r="F79"/>
          <cell r="G79"/>
          <cell r="H79"/>
          <cell r="I79"/>
          <cell r="J79"/>
          <cell r="K79"/>
          <cell r="L79"/>
          <cell r="M79"/>
          <cell r="N79"/>
          <cell r="O79"/>
          <cell r="P79"/>
          <cell r="Q79"/>
          <cell r="R79"/>
          <cell r="S79"/>
          <cell r="T79"/>
          <cell r="U79"/>
          <cell r="V79"/>
          <cell r="W79">
            <v>6.226</v>
          </cell>
          <cell r="X79"/>
          <cell r="Y79"/>
          <cell r="Z79"/>
          <cell r="AA79"/>
          <cell r="AB79"/>
          <cell r="AC79"/>
          <cell r="AD79"/>
          <cell r="AE79"/>
          <cell r="AF79"/>
          <cell r="AG79"/>
          <cell r="AH79"/>
          <cell r="AI79"/>
          <cell r="AJ79"/>
          <cell r="AK79"/>
          <cell r="AL79"/>
          <cell r="AM79"/>
          <cell r="AN79"/>
          <cell r="AO79"/>
          <cell r="AP79"/>
          <cell r="AQ79"/>
          <cell r="AR79"/>
          <cell r="AS79"/>
          <cell r="AT79"/>
          <cell r="AU79"/>
          <cell r="AV79"/>
          <cell r="AW79"/>
          <cell r="AX79">
            <v>1.0780000000000001</v>
          </cell>
          <cell r="AY79"/>
          <cell r="AZ79"/>
        </row>
        <row r="80">
          <cell r="A80">
            <v>31472</v>
          </cell>
          <cell r="B80" t="str">
            <v/>
          </cell>
          <cell r="C80" t="str">
            <v/>
          </cell>
          <cell r="D80"/>
          <cell r="E80"/>
          <cell r="F80"/>
          <cell r="G80"/>
          <cell r="H80"/>
          <cell r="I80"/>
          <cell r="J80"/>
          <cell r="K80"/>
          <cell r="L80"/>
          <cell r="M80"/>
          <cell r="N80"/>
          <cell r="O80"/>
          <cell r="P80"/>
          <cell r="Q80"/>
          <cell r="R80"/>
          <cell r="S80"/>
          <cell r="T80"/>
          <cell r="U80"/>
          <cell r="V80"/>
          <cell r="W80">
            <v>5.75</v>
          </cell>
          <cell r="X80"/>
          <cell r="Y80"/>
          <cell r="Z80"/>
          <cell r="AA80"/>
          <cell r="AB80"/>
          <cell r="AC80"/>
          <cell r="AD80"/>
          <cell r="AE80"/>
          <cell r="AF80"/>
          <cell r="AG80"/>
          <cell r="AH80"/>
          <cell r="AI80"/>
          <cell r="AJ80"/>
          <cell r="AK80"/>
          <cell r="AL80"/>
          <cell r="AM80"/>
          <cell r="AN80"/>
          <cell r="AO80"/>
          <cell r="AP80"/>
          <cell r="AQ80"/>
          <cell r="AR80"/>
          <cell r="AS80"/>
          <cell r="AT80"/>
          <cell r="AU80"/>
          <cell r="AV80"/>
          <cell r="AW80"/>
          <cell r="AX80">
            <v>1.05</v>
          </cell>
          <cell r="AY80"/>
          <cell r="AZ80"/>
        </row>
        <row r="81">
          <cell r="A81">
            <v>31503</v>
          </cell>
          <cell r="B81" t="str">
            <v/>
          </cell>
          <cell r="C81" t="str">
            <v/>
          </cell>
          <cell r="D81"/>
          <cell r="E81"/>
          <cell r="F81"/>
          <cell r="G81"/>
          <cell r="H81"/>
          <cell r="I81"/>
          <cell r="J81"/>
          <cell r="K81"/>
          <cell r="L81"/>
          <cell r="M81"/>
          <cell r="N81"/>
          <cell r="O81"/>
          <cell r="P81"/>
          <cell r="Q81"/>
          <cell r="R81"/>
          <cell r="S81"/>
          <cell r="T81"/>
          <cell r="U81"/>
          <cell r="V81"/>
          <cell r="W81">
            <v>5.3630000000000004</v>
          </cell>
          <cell r="X81"/>
          <cell r="Y81"/>
          <cell r="Z81"/>
          <cell r="AA81"/>
          <cell r="AB81"/>
          <cell r="AC81"/>
          <cell r="AD81"/>
          <cell r="AE81"/>
          <cell r="AF81"/>
          <cell r="AG81"/>
          <cell r="AH81"/>
          <cell r="AI81"/>
          <cell r="AJ81"/>
          <cell r="AK81"/>
          <cell r="AL81"/>
          <cell r="AM81"/>
          <cell r="AN81"/>
          <cell r="AO81"/>
          <cell r="AP81"/>
          <cell r="AQ81"/>
          <cell r="AR81"/>
          <cell r="AS81"/>
          <cell r="AT81"/>
          <cell r="AU81"/>
          <cell r="AV81"/>
          <cell r="AW81"/>
          <cell r="AX81">
            <v>1.054</v>
          </cell>
          <cell r="AY81"/>
          <cell r="AZ81"/>
        </row>
        <row r="82">
          <cell r="A82">
            <v>31533</v>
          </cell>
          <cell r="B82" t="str">
            <v/>
          </cell>
          <cell r="C82" t="str">
            <v/>
          </cell>
          <cell r="D82"/>
          <cell r="E82"/>
          <cell r="F82"/>
          <cell r="G82"/>
          <cell r="H82"/>
          <cell r="I82"/>
          <cell r="J82"/>
          <cell r="K82"/>
          <cell r="L82"/>
          <cell r="M82"/>
          <cell r="N82"/>
          <cell r="O82"/>
          <cell r="P82"/>
          <cell r="Q82"/>
          <cell r="R82"/>
          <cell r="S82"/>
          <cell r="T82"/>
          <cell r="U82"/>
          <cell r="V82"/>
          <cell r="W82">
            <v>5.7480000000000002</v>
          </cell>
          <cell r="X82"/>
          <cell r="Y82"/>
          <cell r="Z82"/>
          <cell r="AA82"/>
          <cell r="AB82"/>
          <cell r="AC82"/>
          <cell r="AD82"/>
          <cell r="AE82"/>
          <cell r="AF82"/>
          <cell r="AG82"/>
          <cell r="AH82"/>
          <cell r="AI82"/>
          <cell r="AJ82"/>
          <cell r="AK82"/>
          <cell r="AL82"/>
          <cell r="AM82"/>
          <cell r="AN82"/>
          <cell r="AO82"/>
          <cell r="AP82"/>
          <cell r="AQ82"/>
          <cell r="AR82"/>
          <cell r="AS82"/>
          <cell r="AT82"/>
          <cell r="AU82"/>
          <cell r="AV82"/>
          <cell r="AW82"/>
          <cell r="AX82">
            <v>1.0349999999999999</v>
          </cell>
          <cell r="AY82"/>
          <cell r="AZ82"/>
        </row>
        <row r="83">
          <cell r="A83">
            <v>31564</v>
          </cell>
          <cell r="B83" t="str">
            <v/>
          </cell>
          <cell r="C83" t="str">
            <v/>
          </cell>
          <cell r="D83"/>
          <cell r="E83"/>
          <cell r="F83"/>
          <cell r="G83"/>
          <cell r="H83"/>
          <cell r="I83"/>
          <cell r="J83"/>
          <cell r="K83"/>
          <cell r="L83"/>
          <cell r="M83"/>
          <cell r="N83"/>
          <cell r="O83"/>
          <cell r="P83"/>
          <cell r="Q83"/>
          <cell r="R83"/>
          <cell r="S83"/>
          <cell r="T83"/>
          <cell r="U83"/>
          <cell r="V83"/>
          <cell r="W83">
            <v>5.867</v>
          </cell>
          <cell r="X83"/>
          <cell r="Y83"/>
          <cell r="Z83"/>
          <cell r="AA83"/>
          <cell r="AB83"/>
          <cell r="AC83"/>
          <cell r="AD83"/>
          <cell r="AE83"/>
          <cell r="AF83"/>
          <cell r="AG83"/>
          <cell r="AH83"/>
          <cell r="AI83"/>
          <cell r="AJ83"/>
          <cell r="AK83"/>
          <cell r="AL83"/>
          <cell r="AM83"/>
          <cell r="AN83"/>
          <cell r="AO83"/>
          <cell r="AP83"/>
          <cell r="AQ83"/>
          <cell r="AR83"/>
          <cell r="AS83"/>
          <cell r="AT83"/>
          <cell r="AU83"/>
          <cell r="AV83"/>
          <cell r="AW83"/>
          <cell r="AX83">
            <v>1.04</v>
          </cell>
          <cell r="AY83"/>
          <cell r="AZ83"/>
        </row>
        <row r="84">
          <cell r="A84">
            <v>31594</v>
          </cell>
          <cell r="B84" t="str">
            <v/>
          </cell>
          <cell r="C84" t="str">
            <v/>
          </cell>
          <cell r="D84"/>
          <cell r="E84"/>
          <cell r="F84"/>
          <cell r="G84"/>
          <cell r="H84"/>
          <cell r="I84"/>
          <cell r="J84"/>
          <cell r="K84"/>
          <cell r="L84"/>
          <cell r="M84"/>
          <cell r="N84"/>
          <cell r="O84"/>
          <cell r="P84"/>
          <cell r="Q84"/>
          <cell r="R84"/>
          <cell r="S84"/>
          <cell r="T84"/>
          <cell r="U84"/>
          <cell r="V84"/>
          <cell r="W84">
            <v>5.7729999999999997</v>
          </cell>
          <cell r="X84"/>
          <cell r="Y84"/>
          <cell r="Z84"/>
          <cell r="AA84"/>
          <cell r="AB84"/>
          <cell r="AC84"/>
          <cell r="AD84"/>
          <cell r="AE84"/>
          <cell r="AF84"/>
          <cell r="AG84"/>
          <cell r="AH84"/>
          <cell r="AI84"/>
          <cell r="AJ84"/>
          <cell r="AK84"/>
          <cell r="AL84"/>
          <cell r="AM84"/>
          <cell r="AN84"/>
          <cell r="AO84"/>
          <cell r="AP84"/>
          <cell r="AQ84"/>
          <cell r="AR84"/>
          <cell r="AS84"/>
          <cell r="AT84"/>
          <cell r="AU84"/>
          <cell r="AV84"/>
          <cell r="AW84"/>
          <cell r="AX84">
            <v>1.01</v>
          </cell>
          <cell r="AY84"/>
          <cell r="AZ84"/>
        </row>
        <row r="85">
          <cell r="A85">
            <v>31625</v>
          </cell>
          <cell r="B85" t="str">
            <v/>
          </cell>
          <cell r="C85" t="str">
            <v/>
          </cell>
          <cell r="D85"/>
          <cell r="E85"/>
          <cell r="F85"/>
          <cell r="G85"/>
          <cell r="H85"/>
          <cell r="I85"/>
          <cell r="J85"/>
          <cell r="K85"/>
          <cell r="L85"/>
          <cell r="M85"/>
          <cell r="N85"/>
          <cell r="O85"/>
          <cell r="P85"/>
          <cell r="Q85"/>
          <cell r="R85"/>
          <cell r="S85"/>
          <cell r="T85"/>
          <cell r="U85"/>
          <cell r="V85"/>
          <cell r="W85">
            <v>5.5990000000000002</v>
          </cell>
          <cell r="X85"/>
          <cell r="Y85"/>
          <cell r="Z85"/>
          <cell r="AA85"/>
          <cell r="AB85"/>
          <cell r="AC85"/>
          <cell r="AD85"/>
          <cell r="AE85"/>
          <cell r="AF85"/>
          <cell r="AG85"/>
          <cell r="AH85"/>
          <cell r="AI85"/>
          <cell r="AJ85"/>
          <cell r="AK85"/>
          <cell r="AL85"/>
          <cell r="AM85"/>
          <cell r="AN85"/>
          <cell r="AO85"/>
          <cell r="AP85"/>
          <cell r="AQ85"/>
          <cell r="AR85"/>
          <cell r="AS85"/>
          <cell r="AT85"/>
          <cell r="AU85"/>
          <cell r="AV85"/>
          <cell r="AW85"/>
          <cell r="AX85">
            <v>0.97899999999999998</v>
          </cell>
          <cell r="AY85"/>
          <cell r="AZ85"/>
        </row>
        <row r="86">
          <cell r="A86">
            <v>31656</v>
          </cell>
          <cell r="B86" t="str">
            <v/>
          </cell>
          <cell r="C86" t="str">
            <v/>
          </cell>
          <cell r="D86"/>
          <cell r="E86"/>
          <cell r="F86"/>
          <cell r="G86"/>
          <cell r="H86"/>
          <cell r="I86"/>
          <cell r="J86"/>
          <cell r="K86"/>
          <cell r="L86"/>
          <cell r="M86"/>
          <cell r="N86"/>
          <cell r="O86"/>
          <cell r="P86"/>
          <cell r="Q86"/>
          <cell r="R86"/>
          <cell r="S86"/>
          <cell r="T86"/>
          <cell r="U86"/>
          <cell r="V86"/>
          <cell r="W86">
            <v>5.8209999999999997</v>
          </cell>
          <cell r="X86"/>
          <cell r="Y86"/>
          <cell r="Z86"/>
          <cell r="AA86"/>
          <cell r="AB86"/>
          <cell r="AC86"/>
          <cell r="AD86"/>
          <cell r="AE86"/>
          <cell r="AF86"/>
          <cell r="AG86"/>
          <cell r="AH86"/>
          <cell r="AI86"/>
          <cell r="AJ86"/>
          <cell r="AK86"/>
          <cell r="AL86"/>
          <cell r="AM86"/>
          <cell r="AN86"/>
          <cell r="AO86"/>
          <cell r="AP86"/>
          <cell r="AQ86"/>
          <cell r="AR86"/>
          <cell r="AS86"/>
          <cell r="AT86"/>
          <cell r="AU86"/>
          <cell r="AV86"/>
          <cell r="AW86"/>
          <cell r="AX86">
            <v>0.97299999999999998</v>
          </cell>
          <cell r="AY86"/>
          <cell r="AZ86"/>
        </row>
        <row r="87">
          <cell r="A87">
            <v>31686</v>
          </cell>
          <cell r="B87" t="str">
            <v/>
          </cell>
          <cell r="C87" t="str">
            <v/>
          </cell>
          <cell r="D87"/>
          <cell r="E87"/>
          <cell r="F87"/>
          <cell r="G87"/>
          <cell r="H87"/>
          <cell r="I87"/>
          <cell r="J87"/>
          <cell r="K87"/>
          <cell r="L87"/>
          <cell r="M87"/>
          <cell r="N87"/>
          <cell r="O87"/>
          <cell r="P87"/>
          <cell r="Q87"/>
          <cell r="R87"/>
          <cell r="S87"/>
          <cell r="T87"/>
          <cell r="U87"/>
          <cell r="V87"/>
          <cell r="W87">
            <v>6.14</v>
          </cell>
          <cell r="X87"/>
          <cell r="Y87"/>
          <cell r="Z87"/>
          <cell r="AA87"/>
          <cell r="AB87"/>
          <cell r="AC87"/>
          <cell r="AD87"/>
          <cell r="AE87"/>
          <cell r="AF87"/>
          <cell r="AG87"/>
          <cell r="AH87"/>
          <cell r="AI87"/>
          <cell r="AJ87"/>
          <cell r="AK87"/>
          <cell r="AL87"/>
          <cell r="AM87"/>
          <cell r="AN87"/>
          <cell r="AO87"/>
          <cell r="AP87"/>
          <cell r="AQ87"/>
          <cell r="AR87"/>
          <cell r="AS87"/>
          <cell r="AT87"/>
          <cell r="AU87"/>
          <cell r="AV87"/>
          <cell r="AW87"/>
          <cell r="AX87">
            <v>0.96099999999999997</v>
          </cell>
          <cell r="AY87"/>
          <cell r="AZ87"/>
        </row>
        <row r="88">
          <cell r="A88">
            <v>31717</v>
          </cell>
          <cell r="B88" t="str">
            <v/>
          </cell>
          <cell r="C88" t="str">
            <v/>
          </cell>
          <cell r="D88"/>
          <cell r="E88"/>
          <cell r="F88"/>
          <cell r="G88"/>
          <cell r="H88"/>
          <cell r="I88"/>
          <cell r="J88"/>
          <cell r="K88"/>
          <cell r="L88"/>
          <cell r="M88"/>
          <cell r="N88"/>
          <cell r="O88"/>
          <cell r="P88"/>
          <cell r="Q88"/>
          <cell r="R88"/>
          <cell r="S88"/>
          <cell r="T88"/>
          <cell r="U88"/>
          <cell r="V88"/>
          <cell r="W88">
            <v>6.173</v>
          </cell>
          <cell r="X88"/>
          <cell r="Y88"/>
          <cell r="Z88"/>
          <cell r="AA88"/>
          <cell r="AB88"/>
          <cell r="AC88"/>
          <cell r="AD88"/>
          <cell r="AE88"/>
          <cell r="AF88"/>
          <cell r="AG88"/>
          <cell r="AH88"/>
          <cell r="AI88"/>
          <cell r="AJ88"/>
          <cell r="AK88"/>
          <cell r="AL88"/>
          <cell r="AM88"/>
          <cell r="AN88"/>
          <cell r="AO88"/>
          <cell r="AP88"/>
          <cell r="AQ88"/>
          <cell r="AR88"/>
          <cell r="AS88"/>
          <cell r="AT88"/>
          <cell r="AU88"/>
          <cell r="AV88"/>
          <cell r="AW88"/>
          <cell r="AX88">
            <v>0.97099999999999997</v>
          </cell>
          <cell r="AY88"/>
          <cell r="AZ88"/>
        </row>
        <row r="89">
          <cell r="A89">
            <v>31747</v>
          </cell>
          <cell r="B89" t="str">
            <v/>
          </cell>
          <cell r="C89" t="str">
            <v/>
          </cell>
          <cell r="D89"/>
          <cell r="E89"/>
          <cell r="F89"/>
          <cell r="G89"/>
          <cell r="H89"/>
          <cell r="I89"/>
          <cell r="J89"/>
          <cell r="K89"/>
          <cell r="L89"/>
          <cell r="M89"/>
          <cell r="N89"/>
          <cell r="O89"/>
          <cell r="P89"/>
          <cell r="Q89"/>
          <cell r="R89"/>
          <cell r="S89"/>
          <cell r="T89"/>
          <cell r="U89"/>
          <cell r="V89"/>
          <cell r="W89">
            <v>5.9550000000000001</v>
          </cell>
          <cell r="X89"/>
          <cell r="Y89"/>
          <cell r="Z89"/>
          <cell r="AA89"/>
          <cell r="AB89"/>
          <cell r="AC89"/>
          <cell r="AD89"/>
          <cell r="AE89"/>
          <cell r="AF89"/>
          <cell r="AG89"/>
          <cell r="AH89"/>
          <cell r="AI89"/>
          <cell r="AJ89"/>
          <cell r="AK89"/>
          <cell r="AL89"/>
          <cell r="AM89"/>
          <cell r="AN89"/>
          <cell r="AO89"/>
          <cell r="AP89"/>
          <cell r="AQ89"/>
          <cell r="AR89"/>
          <cell r="AS89"/>
          <cell r="AT89"/>
          <cell r="AU89"/>
          <cell r="AV89"/>
          <cell r="AW89"/>
          <cell r="AX89">
            <v>0.95599999999999996</v>
          </cell>
          <cell r="AY89"/>
          <cell r="AZ89"/>
        </row>
        <row r="90">
          <cell r="A90">
            <v>31778</v>
          </cell>
          <cell r="B90" t="str">
            <v/>
          </cell>
          <cell r="C90" t="str">
            <v/>
          </cell>
          <cell r="D90"/>
          <cell r="E90"/>
          <cell r="F90"/>
          <cell r="G90"/>
          <cell r="H90"/>
          <cell r="I90"/>
          <cell r="J90"/>
          <cell r="K90"/>
          <cell r="L90"/>
          <cell r="M90"/>
          <cell r="N90"/>
          <cell r="O90"/>
          <cell r="P90"/>
          <cell r="Q90"/>
          <cell r="R90"/>
          <cell r="S90"/>
          <cell r="T90"/>
          <cell r="U90"/>
          <cell r="V90"/>
          <cell r="W90">
            <v>5.9480000000000004</v>
          </cell>
          <cell r="X90"/>
          <cell r="Y90"/>
          <cell r="Z90"/>
          <cell r="AA90"/>
          <cell r="AB90"/>
          <cell r="AC90"/>
          <cell r="AD90"/>
          <cell r="AE90"/>
          <cell r="AF90"/>
          <cell r="AG90"/>
          <cell r="AH90"/>
          <cell r="AI90"/>
          <cell r="AJ90"/>
          <cell r="AK90"/>
          <cell r="AL90"/>
          <cell r="AM90"/>
          <cell r="AN90"/>
          <cell r="AO90"/>
          <cell r="AP90"/>
          <cell r="AQ90"/>
          <cell r="AR90"/>
          <cell r="AS90"/>
          <cell r="AT90"/>
          <cell r="AU90"/>
          <cell r="AV90"/>
          <cell r="AW90"/>
          <cell r="AX90">
            <v>0.90100000000000002</v>
          </cell>
          <cell r="AY90">
            <v>859</v>
          </cell>
          <cell r="AZ90"/>
        </row>
        <row r="91">
          <cell r="A91">
            <v>31809</v>
          </cell>
          <cell r="B91" t="str">
            <v/>
          </cell>
          <cell r="C91" t="str">
            <v/>
          </cell>
          <cell r="D91"/>
          <cell r="E91"/>
          <cell r="F91"/>
          <cell r="G91"/>
          <cell r="H91"/>
          <cell r="I91"/>
          <cell r="J91"/>
          <cell r="K91"/>
          <cell r="L91"/>
          <cell r="M91"/>
          <cell r="N91"/>
          <cell r="O91"/>
          <cell r="P91"/>
          <cell r="Q91"/>
          <cell r="R91"/>
          <cell r="S91"/>
          <cell r="T91"/>
          <cell r="U91"/>
          <cell r="V91"/>
          <cell r="W91">
            <v>5.9429999999999996</v>
          </cell>
          <cell r="X91"/>
          <cell r="Y91"/>
          <cell r="Z91"/>
          <cell r="AA91"/>
          <cell r="AB91"/>
          <cell r="AC91"/>
          <cell r="AD91"/>
          <cell r="AE91"/>
          <cell r="AF91"/>
          <cell r="AG91"/>
          <cell r="AH91"/>
          <cell r="AI91"/>
          <cell r="AJ91"/>
          <cell r="AK91"/>
          <cell r="AL91"/>
          <cell r="AM91"/>
          <cell r="AN91"/>
          <cell r="AO91"/>
          <cell r="AP91"/>
          <cell r="AQ91"/>
          <cell r="AR91"/>
          <cell r="AS91"/>
          <cell r="AT91"/>
          <cell r="AU91"/>
          <cell r="AV91"/>
          <cell r="AW91"/>
          <cell r="AX91">
            <v>0.88500000000000001</v>
          </cell>
          <cell r="AY91">
            <v>841</v>
          </cell>
          <cell r="AZ91"/>
        </row>
        <row r="92">
          <cell r="A92">
            <v>31837</v>
          </cell>
          <cell r="B92" t="str">
            <v/>
          </cell>
          <cell r="C92" t="str">
            <v/>
          </cell>
          <cell r="D92"/>
          <cell r="E92"/>
          <cell r="F92"/>
          <cell r="G92"/>
          <cell r="H92"/>
          <cell r="I92"/>
          <cell r="J92"/>
          <cell r="K92"/>
          <cell r="L92"/>
          <cell r="M92"/>
          <cell r="N92"/>
          <cell r="O92"/>
          <cell r="P92"/>
          <cell r="Q92"/>
          <cell r="R92"/>
          <cell r="S92"/>
          <cell r="T92"/>
          <cell r="U92"/>
          <cell r="V92"/>
          <cell r="W92">
            <v>5.8789999999999996</v>
          </cell>
          <cell r="X92"/>
          <cell r="Y92"/>
          <cell r="Z92"/>
          <cell r="AA92"/>
          <cell r="AB92"/>
          <cell r="AC92"/>
          <cell r="AD92"/>
          <cell r="AE92"/>
          <cell r="AF92"/>
          <cell r="AG92"/>
          <cell r="AH92"/>
          <cell r="AI92"/>
          <cell r="AJ92"/>
          <cell r="AK92"/>
          <cell r="AL92"/>
          <cell r="AM92"/>
          <cell r="AN92"/>
          <cell r="AO92"/>
          <cell r="AP92"/>
          <cell r="AQ92"/>
          <cell r="AR92"/>
          <cell r="AS92"/>
          <cell r="AT92"/>
          <cell r="AU92"/>
          <cell r="AV92"/>
          <cell r="AW92"/>
          <cell r="AX92">
            <v>0.88400000000000001</v>
          </cell>
          <cell r="AY92">
            <v>869</v>
          </cell>
          <cell r="AZ92"/>
        </row>
        <row r="93">
          <cell r="A93">
            <v>31868</v>
          </cell>
          <cell r="B93" t="str">
            <v/>
          </cell>
          <cell r="C93" t="str">
            <v/>
          </cell>
          <cell r="D93"/>
          <cell r="E93"/>
          <cell r="F93"/>
          <cell r="G93"/>
          <cell r="H93"/>
          <cell r="I93"/>
          <cell r="J93"/>
          <cell r="K93"/>
          <cell r="L93"/>
          <cell r="M93"/>
          <cell r="N93"/>
          <cell r="O93"/>
          <cell r="P93"/>
          <cell r="Q93"/>
          <cell r="R93"/>
          <cell r="S93"/>
          <cell r="T93"/>
          <cell r="U93"/>
          <cell r="V93"/>
          <cell r="W93">
            <v>5.6219999999999999</v>
          </cell>
          <cell r="X93"/>
          <cell r="Y93"/>
          <cell r="Z93"/>
          <cell r="AA93"/>
          <cell r="AB93"/>
          <cell r="AC93"/>
          <cell r="AD93"/>
          <cell r="AE93"/>
          <cell r="AF93"/>
          <cell r="AG93"/>
          <cell r="AH93"/>
          <cell r="AI93"/>
          <cell r="AJ93">
            <v>4.351</v>
          </cell>
          <cell r="AK93">
            <v>4.76</v>
          </cell>
          <cell r="AL93">
            <v>5.3719999999999999</v>
          </cell>
          <cell r="AM93">
            <v>6.34</v>
          </cell>
          <cell r="AN93"/>
          <cell r="AO93"/>
          <cell r="AP93"/>
          <cell r="AQ93"/>
          <cell r="AR93"/>
          <cell r="AS93"/>
          <cell r="AT93"/>
          <cell r="AU93"/>
          <cell r="AV93"/>
          <cell r="AW93"/>
          <cell r="AX93">
            <v>0.872</v>
          </cell>
          <cell r="AY93">
            <v>881</v>
          </cell>
          <cell r="AZ93"/>
        </row>
        <row r="94">
          <cell r="A94">
            <v>31898</v>
          </cell>
          <cell r="B94" t="str">
            <v/>
          </cell>
          <cell r="C94" t="str">
            <v/>
          </cell>
          <cell r="D94"/>
          <cell r="E94"/>
          <cell r="F94"/>
          <cell r="G94"/>
          <cell r="H94"/>
          <cell r="I94"/>
          <cell r="J94"/>
          <cell r="K94"/>
          <cell r="L94"/>
          <cell r="M94"/>
          <cell r="N94"/>
          <cell r="O94"/>
          <cell r="P94"/>
          <cell r="Q94"/>
          <cell r="R94"/>
          <cell r="S94"/>
          <cell r="T94"/>
          <cell r="U94"/>
          <cell r="V94"/>
          <cell r="W94">
            <v>5.5430000000000001</v>
          </cell>
          <cell r="X94"/>
          <cell r="Y94"/>
          <cell r="Z94"/>
          <cell r="AA94"/>
          <cell r="AB94"/>
          <cell r="AC94"/>
          <cell r="AD94"/>
          <cell r="AE94"/>
          <cell r="AF94"/>
          <cell r="AG94"/>
          <cell r="AH94"/>
          <cell r="AI94"/>
          <cell r="AJ94">
            <v>4.26</v>
          </cell>
          <cell r="AK94">
            <v>4.6669999999999998</v>
          </cell>
          <cell r="AL94">
            <v>5.2990000000000004</v>
          </cell>
          <cell r="AM94">
            <v>6.3029999999999999</v>
          </cell>
          <cell r="AN94"/>
          <cell r="AO94"/>
          <cell r="AP94"/>
          <cell r="AQ94"/>
          <cell r="AR94"/>
          <cell r="AS94"/>
          <cell r="AT94"/>
          <cell r="AU94"/>
          <cell r="AV94"/>
          <cell r="AW94"/>
          <cell r="AX94">
            <v>0.86099999999999999</v>
          </cell>
          <cell r="AY94">
            <v>866</v>
          </cell>
          <cell r="AZ94"/>
        </row>
        <row r="95">
          <cell r="A95">
            <v>31929</v>
          </cell>
          <cell r="B95" t="str">
            <v/>
          </cell>
          <cell r="C95" t="str">
            <v/>
          </cell>
          <cell r="D95"/>
          <cell r="E95"/>
          <cell r="F95"/>
          <cell r="G95"/>
          <cell r="H95"/>
          <cell r="I95"/>
          <cell r="J95"/>
          <cell r="K95"/>
          <cell r="L95"/>
          <cell r="M95"/>
          <cell r="N95"/>
          <cell r="O95"/>
          <cell r="P95"/>
          <cell r="Q95"/>
          <cell r="R95"/>
          <cell r="S95"/>
          <cell r="T95"/>
          <cell r="U95"/>
          <cell r="V95"/>
          <cell r="W95">
            <v>5.827</v>
          </cell>
          <cell r="X95"/>
          <cell r="Y95"/>
          <cell r="Z95"/>
          <cell r="AA95"/>
          <cell r="AB95"/>
          <cell r="AC95"/>
          <cell r="AD95"/>
          <cell r="AE95"/>
          <cell r="AF95"/>
          <cell r="AG95"/>
          <cell r="AH95"/>
          <cell r="AI95"/>
          <cell r="AJ95">
            <v>4.2859999999999996</v>
          </cell>
          <cell r="AK95">
            <v>4.718</v>
          </cell>
          <cell r="AL95">
            <v>5.4429999999999996</v>
          </cell>
          <cell r="AM95">
            <v>6.415</v>
          </cell>
          <cell r="AN95"/>
          <cell r="AO95"/>
          <cell r="AP95"/>
          <cell r="AQ95"/>
          <cell r="AR95"/>
          <cell r="AS95"/>
          <cell r="AT95"/>
          <cell r="AU95"/>
          <cell r="AV95"/>
          <cell r="AW95"/>
          <cell r="AX95">
            <v>0.876</v>
          </cell>
          <cell r="AY95">
            <v>905</v>
          </cell>
          <cell r="AZ95"/>
        </row>
        <row r="96">
          <cell r="A96">
            <v>31959</v>
          </cell>
          <cell r="B96" t="str">
            <v/>
          </cell>
          <cell r="C96" t="str">
            <v/>
          </cell>
          <cell r="D96"/>
          <cell r="E96"/>
          <cell r="F96"/>
          <cell r="G96"/>
          <cell r="H96"/>
          <cell r="I96"/>
          <cell r="J96"/>
          <cell r="K96"/>
          <cell r="L96"/>
          <cell r="M96"/>
          <cell r="N96"/>
          <cell r="O96"/>
          <cell r="P96"/>
          <cell r="Q96"/>
          <cell r="R96"/>
          <cell r="S96"/>
          <cell r="T96"/>
          <cell r="U96"/>
          <cell r="V96"/>
          <cell r="W96">
            <v>6.1829999999999998</v>
          </cell>
          <cell r="X96"/>
          <cell r="Y96"/>
          <cell r="Z96"/>
          <cell r="AA96"/>
          <cell r="AB96"/>
          <cell r="AC96"/>
          <cell r="AD96"/>
          <cell r="AE96"/>
          <cell r="AF96"/>
          <cell r="AG96"/>
          <cell r="AH96"/>
          <cell r="AI96"/>
          <cell r="AJ96">
            <v>4.5060000000000002</v>
          </cell>
          <cell r="AK96">
            <v>4.9530000000000003</v>
          </cell>
          <cell r="AL96">
            <v>5.649</v>
          </cell>
          <cell r="AM96">
            <v>6.6150000000000002</v>
          </cell>
          <cell r="AN96"/>
          <cell r="AO96"/>
          <cell r="AP96"/>
          <cell r="AQ96"/>
          <cell r="AR96"/>
          <cell r="AS96"/>
          <cell r="AT96"/>
          <cell r="AU96"/>
          <cell r="AV96"/>
          <cell r="AW96"/>
          <cell r="AX96">
            <v>0.89</v>
          </cell>
          <cell r="AY96">
            <v>956</v>
          </cell>
          <cell r="AZ96"/>
        </row>
        <row r="97">
          <cell r="A97">
            <v>31990</v>
          </cell>
          <cell r="B97" t="str">
            <v/>
          </cell>
          <cell r="C97" t="str">
            <v/>
          </cell>
          <cell r="D97"/>
          <cell r="E97"/>
          <cell r="F97"/>
          <cell r="G97"/>
          <cell r="H97"/>
          <cell r="I97"/>
          <cell r="J97"/>
          <cell r="K97"/>
          <cell r="L97"/>
          <cell r="M97"/>
          <cell r="N97"/>
          <cell r="O97"/>
          <cell r="P97"/>
          <cell r="Q97"/>
          <cell r="R97"/>
          <cell r="S97"/>
          <cell r="T97"/>
          <cell r="U97"/>
          <cell r="V97"/>
          <cell r="W97">
            <v>6.4160000000000004</v>
          </cell>
          <cell r="X97"/>
          <cell r="Y97"/>
          <cell r="Z97"/>
          <cell r="AA97"/>
          <cell r="AB97"/>
          <cell r="AC97"/>
          <cell r="AD97"/>
          <cell r="AE97"/>
          <cell r="AF97"/>
          <cell r="AG97"/>
          <cell r="AH97"/>
          <cell r="AI97"/>
          <cell r="AJ97">
            <v>4.9029999999999996</v>
          </cell>
          <cell r="AK97">
            <v>5.3049999999999997</v>
          </cell>
          <cell r="AL97">
            <v>5.8860000000000001</v>
          </cell>
          <cell r="AM97">
            <v>6.7729999999999997</v>
          </cell>
          <cell r="AN97"/>
          <cell r="AO97"/>
          <cell r="AP97"/>
          <cell r="AQ97"/>
          <cell r="AR97"/>
          <cell r="AS97"/>
          <cell r="AT97"/>
          <cell r="AU97"/>
          <cell r="AV97"/>
          <cell r="AW97"/>
          <cell r="AX97">
            <v>0.89600000000000002</v>
          </cell>
          <cell r="AY97">
            <v>951</v>
          </cell>
          <cell r="AZ97"/>
        </row>
        <row r="98">
          <cell r="A98">
            <v>32021</v>
          </cell>
          <cell r="B98" t="str">
            <v/>
          </cell>
          <cell r="C98" t="str">
            <v/>
          </cell>
          <cell r="D98"/>
          <cell r="E98"/>
          <cell r="F98"/>
          <cell r="G98"/>
          <cell r="H98"/>
          <cell r="I98"/>
          <cell r="J98"/>
          <cell r="K98"/>
          <cell r="L98"/>
          <cell r="M98"/>
          <cell r="N98"/>
          <cell r="O98"/>
          <cell r="P98"/>
          <cell r="Q98"/>
          <cell r="R98"/>
          <cell r="S98"/>
          <cell r="T98"/>
          <cell r="U98"/>
          <cell r="V98"/>
          <cell r="W98">
            <v>6.6840000000000002</v>
          </cell>
          <cell r="X98"/>
          <cell r="Y98"/>
          <cell r="Z98"/>
          <cell r="AA98"/>
          <cell r="AB98"/>
          <cell r="AC98"/>
          <cell r="AD98"/>
          <cell r="AE98"/>
          <cell r="AF98"/>
          <cell r="AG98"/>
          <cell r="AH98"/>
          <cell r="AI98"/>
          <cell r="AJ98">
            <v>5.1559999999999997</v>
          </cell>
          <cell r="AK98">
            <v>5.5350000000000001</v>
          </cell>
          <cell r="AL98">
            <v>6.0990000000000002</v>
          </cell>
          <cell r="AM98">
            <v>6.98</v>
          </cell>
          <cell r="AN98"/>
          <cell r="AO98"/>
          <cell r="AP98"/>
          <cell r="AQ98"/>
          <cell r="AR98"/>
          <cell r="AS98"/>
          <cell r="AT98"/>
          <cell r="AU98"/>
          <cell r="AV98"/>
          <cell r="AW98"/>
          <cell r="AX98">
            <v>0.874</v>
          </cell>
          <cell r="AY98">
            <v>931</v>
          </cell>
          <cell r="AZ98"/>
        </row>
        <row r="99">
          <cell r="A99">
            <v>32051</v>
          </cell>
          <cell r="B99" t="str">
            <v/>
          </cell>
          <cell r="C99" t="str">
            <v/>
          </cell>
          <cell r="D99"/>
          <cell r="E99"/>
          <cell r="F99"/>
          <cell r="G99"/>
          <cell r="H99"/>
          <cell r="I99"/>
          <cell r="J99"/>
          <cell r="K99"/>
          <cell r="L99"/>
          <cell r="M99"/>
          <cell r="N99"/>
          <cell r="O99"/>
          <cell r="P99"/>
          <cell r="Q99"/>
          <cell r="R99"/>
          <cell r="S99"/>
          <cell r="T99"/>
          <cell r="U99"/>
          <cell r="V99"/>
          <cell r="W99">
            <v>6.891</v>
          </cell>
          <cell r="X99"/>
          <cell r="Y99"/>
          <cell r="Z99"/>
          <cell r="AA99"/>
          <cell r="AB99"/>
          <cell r="AC99"/>
          <cell r="AD99"/>
          <cell r="AE99"/>
          <cell r="AF99"/>
          <cell r="AG99"/>
          <cell r="AH99"/>
          <cell r="AI99"/>
          <cell r="AJ99">
            <v>5.4960000000000004</v>
          </cell>
          <cell r="AK99">
            <v>5.85</v>
          </cell>
          <cell r="AL99">
            <v>6.3719999999999999</v>
          </cell>
          <cell r="AM99">
            <v>7.1079999999999997</v>
          </cell>
          <cell r="AN99"/>
          <cell r="AO99"/>
          <cell r="AP99"/>
          <cell r="AQ99"/>
          <cell r="AR99"/>
          <cell r="AS99"/>
          <cell r="AT99"/>
          <cell r="AU99"/>
          <cell r="AV99"/>
          <cell r="AW99"/>
          <cell r="AX99">
            <v>0.86799999999999999</v>
          </cell>
          <cell r="AY99">
            <v>731</v>
          </cell>
          <cell r="AZ99"/>
        </row>
        <row r="100">
          <cell r="A100">
            <v>32082</v>
          </cell>
          <cell r="B100" t="str">
            <v/>
          </cell>
          <cell r="C100" t="str">
            <v/>
          </cell>
          <cell r="D100"/>
          <cell r="E100"/>
          <cell r="F100"/>
          <cell r="G100"/>
          <cell r="H100"/>
          <cell r="I100"/>
          <cell r="J100"/>
          <cell r="K100"/>
          <cell r="L100"/>
          <cell r="M100"/>
          <cell r="N100"/>
          <cell r="O100"/>
          <cell r="P100"/>
          <cell r="Q100"/>
          <cell r="R100"/>
          <cell r="S100"/>
          <cell r="T100"/>
          <cell r="U100"/>
          <cell r="V100"/>
          <cell r="W100">
            <v>6.3319999999999999</v>
          </cell>
          <cell r="X100"/>
          <cell r="Y100"/>
          <cell r="Z100"/>
          <cell r="AA100"/>
          <cell r="AB100"/>
          <cell r="AC100"/>
          <cell r="AD100"/>
          <cell r="AE100"/>
          <cell r="AF100"/>
          <cell r="AG100"/>
          <cell r="AH100"/>
          <cell r="AI100"/>
          <cell r="AJ100">
            <v>4.7590000000000003</v>
          </cell>
          <cell r="AK100">
            <v>5.2549999999999999</v>
          </cell>
          <cell r="AL100">
            <v>5.8710000000000004</v>
          </cell>
          <cell r="AM100">
            <v>6.57</v>
          </cell>
          <cell r="AN100"/>
          <cell r="AO100"/>
          <cell r="AP100"/>
          <cell r="AQ100"/>
          <cell r="AR100"/>
          <cell r="AS100"/>
          <cell r="AT100"/>
          <cell r="AU100"/>
          <cell r="AV100"/>
          <cell r="AW100"/>
          <cell r="AX100">
            <v>0.81499999999999995</v>
          </cell>
          <cell r="AY100">
            <v>658</v>
          </cell>
          <cell r="AZ100"/>
        </row>
        <row r="101">
          <cell r="A101">
            <v>32112</v>
          </cell>
          <cell r="B101" t="str">
            <v/>
          </cell>
          <cell r="C101" t="str">
            <v/>
          </cell>
          <cell r="D101"/>
          <cell r="E101"/>
          <cell r="F101"/>
          <cell r="G101"/>
          <cell r="H101"/>
          <cell r="I101"/>
          <cell r="J101"/>
          <cell r="K101"/>
          <cell r="L101"/>
          <cell r="M101"/>
          <cell r="N101"/>
          <cell r="O101"/>
          <cell r="P101"/>
          <cell r="Q101"/>
          <cell r="R101"/>
          <cell r="S101"/>
          <cell r="T101"/>
          <cell r="U101"/>
          <cell r="V101"/>
          <cell r="W101">
            <v>6.4279999999999999</v>
          </cell>
          <cell r="X101"/>
          <cell r="Y101"/>
          <cell r="Z101"/>
          <cell r="AA101"/>
          <cell r="AB101"/>
          <cell r="AC101"/>
          <cell r="AD101"/>
          <cell r="AE101"/>
          <cell r="AF101"/>
          <cell r="AG101"/>
          <cell r="AH101"/>
          <cell r="AI101"/>
          <cell r="AJ101">
            <v>4.4950000000000001</v>
          </cell>
          <cell r="AK101">
            <v>4.9219999999999997</v>
          </cell>
          <cell r="AL101">
            <v>5.6890000000000001</v>
          </cell>
          <cell r="AM101">
            <v>6.4930000000000003</v>
          </cell>
          <cell r="AN101"/>
          <cell r="AO101"/>
          <cell r="AP101"/>
          <cell r="AQ101"/>
          <cell r="AR101"/>
          <cell r="AS101"/>
          <cell r="AT101"/>
          <cell r="AU101"/>
          <cell r="AV101"/>
          <cell r="AW101"/>
          <cell r="AX101">
            <v>0.79100000000000004</v>
          </cell>
          <cell r="AY101">
            <v>648</v>
          </cell>
          <cell r="AZ101"/>
        </row>
        <row r="102">
          <cell r="A102">
            <v>32143</v>
          </cell>
          <cell r="B102" t="str">
            <v/>
          </cell>
          <cell r="C102" t="str">
            <v/>
          </cell>
          <cell r="D102"/>
          <cell r="E102"/>
          <cell r="F102"/>
          <cell r="G102"/>
          <cell r="H102"/>
          <cell r="I102"/>
          <cell r="J102"/>
          <cell r="K102"/>
          <cell r="L102"/>
          <cell r="M102"/>
          <cell r="N102"/>
          <cell r="O102"/>
          <cell r="P102"/>
          <cell r="Q102"/>
          <cell r="R102"/>
          <cell r="S102"/>
          <cell r="T102"/>
          <cell r="U102"/>
          <cell r="V102"/>
          <cell r="W102">
            <v>6.4770000000000003</v>
          </cell>
          <cell r="X102"/>
          <cell r="Y102"/>
          <cell r="Z102"/>
          <cell r="AA102"/>
          <cell r="AB102"/>
          <cell r="AC102"/>
          <cell r="AD102"/>
          <cell r="AE102"/>
          <cell r="AF102"/>
          <cell r="AG102"/>
          <cell r="AH102"/>
          <cell r="AI102"/>
          <cell r="AJ102">
            <v>4.3840000000000003</v>
          </cell>
          <cell r="AK102">
            <v>4.8099999999999996</v>
          </cell>
          <cell r="AL102">
            <v>5.5940000000000003</v>
          </cell>
          <cell r="AM102">
            <v>6.5</v>
          </cell>
          <cell r="AN102"/>
          <cell r="AO102"/>
          <cell r="AP102"/>
          <cell r="AQ102"/>
          <cell r="AR102"/>
          <cell r="AS102"/>
          <cell r="AT102"/>
          <cell r="AU102"/>
          <cell r="AV102"/>
          <cell r="AW102"/>
          <cell r="AX102">
            <v>0.79800000000000004</v>
          </cell>
          <cell r="AY102">
            <v>636</v>
          </cell>
          <cell r="AZ102"/>
        </row>
        <row r="103">
          <cell r="A103">
            <v>32174</v>
          </cell>
          <cell r="B103" t="str">
            <v/>
          </cell>
          <cell r="C103" t="str">
            <v/>
          </cell>
          <cell r="D103"/>
          <cell r="E103"/>
          <cell r="F103"/>
          <cell r="G103"/>
          <cell r="H103"/>
          <cell r="I103"/>
          <cell r="J103"/>
          <cell r="K103"/>
          <cell r="L103"/>
          <cell r="M103"/>
          <cell r="N103"/>
          <cell r="O103"/>
          <cell r="P103"/>
          <cell r="Q103"/>
          <cell r="R103"/>
          <cell r="S103"/>
          <cell r="T103"/>
          <cell r="U103"/>
          <cell r="V103"/>
          <cell r="W103">
            <v>6.2720000000000002</v>
          </cell>
          <cell r="X103"/>
          <cell r="Y103"/>
          <cell r="Z103"/>
          <cell r="AA103"/>
          <cell r="AB103"/>
          <cell r="AC103"/>
          <cell r="AD103"/>
          <cell r="AE103"/>
          <cell r="AF103"/>
          <cell r="AG103"/>
          <cell r="AH103"/>
          <cell r="AI103"/>
          <cell r="AJ103">
            <v>4.2249999999999996</v>
          </cell>
          <cell r="AK103">
            <v>4.5599999999999996</v>
          </cell>
          <cell r="AL103">
            <v>5.3339999999999996</v>
          </cell>
          <cell r="AM103">
            <v>6.3150000000000004</v>
          </cell>
          <cell r="AN103"/>
          <cell r="AO103"/>
          <cell r="AP103"/>
          <cell r="AQ103"/>
          <cell r="AR103"/>
          <cell r="AS103"/>
          <cell r="AT103"/>
          <cell r="AU103"/>
          <cell r="AV103"/>
          <cell r="AW103"/>
          <cell r="AX103">
            <v>0.82199999999999995</v>
          </cell>
          <cell r="AY103">
            <v>709</v>
          </cell>
          <cell r="AZ103"/>
        </row>
        <row r="104">
          <cell r="A104">
            <v>32203</v>
          </cell>
          <cell r="B104" t="str">
            <v/>
          </cell>
          <cell r="C104" t="str">
            <v/>
          </cell>
          <cell r="D104"/>
          <cell r="E104"/>
          <cell r="F104"/>
          <cell r="G104"/>
          <cell r="H104"/>
          <cell r="I104"/>
          <cell r="J104"/>
          <cell r="K104"/>
          <cell r="L104"/>
          <cell r="M104"/>
          <cell r="N104"/>
          <cell r="O104"/>
          <cell r="P104"/>
          <cell r="Q104"/>
          <cell r="R104"/>
          <cell r="S104"/>
          <cell r="T104"/>
          <cell r="U104"/>
          <cell r="V104"/>
          <cell r="W104">
            <v>6.2080000000000002</v>
          </cell>
          <cell r="X104"/>
          <cell r="Y104"/>
          <cell r="Z104"/>
          <cell r="AA104"/>
          <cell r="AB104"/>
          <cell r="AC104"/>
          <cell r="AD104"/>
          <cell r="AE104"/>
          <cell r="AF104"/>
          <cell r="AG104"/>
          <cell r="AH104"/>
          <cell r="AI104"/>
          <cell r="AJ104">
            <v>4.1950000000000003</v>
          </cell>
          <cell r="AK104">
            <v>4.5430000000000001</v>
          </cell>
          <cell r="AL104">
            <v>5.2960000000000003</v>
          </cell>
          <cell r="AM104">
            <v>6.25</v>
          </cell>
          <cell r="AN104"/>
          <cell r="AO104"/>
          <cell r="AP104"/>
          <cell r="AQ104"/>
          <cell r="AR104"/>
          <cell r="AS104"/>
          <cell r="AT104"/>
          <cell r="AU104"/>
          <cell r="AV104"/>
          <cell r="AW104"/>
          <cell r="AX104">
            <v>0.81</v>
          </cell>
          <cell r="AY104">
            <v>702</v>
          </cell>
          <cell r="AZ104"/>
        </row>
        <row r="105">
          <cell r="A105">
            <v>32234</v>
          </cell>
          <cell r="B105" t="str">
            <v/>
          </cell>
          <cell r="C105" t="str">
            <v/>
          </cell>
          <cell r="D105"/>
          <cell r="E105"/>
          <cell r="F105"/>
          <cell r="G105"/>
          <cell r="H105"/>
          <cell r="I105"/>
          <cell r="J105"/>
          <cell r="K105"/>
          <cell r="L105"/>
          <cell r="M105"/>
          <cell r="N105"/>
          <cell r="O105"/>
          <cell r="P105"/>
          <cell r="Q105"/>
          <cell r="R105"/>
          <cell r="S105"/>
          <cell r="T105"/>
          <cell r="U105"/>
          <cell r="V105"/>
          <cell r="W105">
            <v>6.2759999999999998</v>
          </cell>
          <cell r="X105"/>
          <cell r="Y105"/>
          <cell r="Z105"/>
          <cell r="AA105"/>
          <cell r="AB105"/>
          <cell r="AC105"/>
          <cell r="AD105"/>
          <cell r="AE105"/>
          <cell r="AF105"/>
          <cell r="AG105"/>
          <cell r="AH105"/>
          <cell r="AI105"/>
          <cell r="AJ105">
            <v>4.2610000000000001</v>
          </cell>
          <cell r="AK105">
            <v>4.6100000000000003</v>
          </cell>
          <cell r="AL105">
            <v>5.3449999999999998</v>
          </cell>
          <cell r="AM105">
            <v>6.3259999999999996</v>
          </cell>
          <cell r="AN105"/>
          <cell r="AO105"/>
          <cell r="AP105"/>
          <cell r="AQ105"/>
          <cell r="AR105"/>
          <cell r="AS105"/>
          <cell r="AT105"/>
          <cell r="AU105"/>
          <cell r="AV105"/>
          <cell r="AW105"/>
          <cell r="AX105">
            <v>0.80500000000000005</v>
          </cell>
          <cell r="AY105">
            <v>711</v>
          </cell>
          <cell r="AZ105"/>
        </row>
        <row r="106">
          <cell r="A106">
            <v>32264</v>
          </cell>
          <cell r="B106" t="str">
            <v/>
          </cell>
          <cell r="C106" t="str">
            <v/>
          </cell>
          <cell r="D106"/>
          <cell r="E106"/>
          <cell r="F106"/>
          <cell r="G106"/>
          <cell r="H106"/>
          <cell r="I106"/>
          <cell r="J106"/>
          <cell r="K106"/>
          <cell r="L106"/>
          <cell r="M106"/>
          <cell r="N106"/>
          <cell r="O106"/>
          <cell r="P106"/>
          <cell r="Q106"/>
          <cell r="R106"/>
          <cell r="S106"/>
          <cell r="T106"/>
          <cell r="U106"/>
          <cell r="V106"/>
          <cell r="W106">
            <v>6.59</v>
          </cell>
          <cell r="X106"/>
          <cell r="Y106"/>
          <cell r="Z106"/>
          <cell r="AA106"/>
          <cell r="AB106"/>
          <cell r="AC106"/>
          <cell r="AD106"/>
          <cell r="AE106"/>
          <cell r="AF106"/>
          <cell r="AG106"/>
          <cell r="AH106"/>
          <cell r="AI106"/>
          <cell r="AJ106">
            <v>4.6509999999999998</v>
          </cell>
          <cell r="AK106">
            <v>5.0590000000000002</v>
          </cell>
          <cell r="AL106">
            <v>5.7489999999999997</v>
          </cell>
          <cell r="AM106">
            <v>6.6559999999999997</v>
          </cell>
          <cell r="AN106"/>
          <cell r="AO106"/>
          <cell r="AP106"/>
          <cell r="AQ106"/>
          <cell r="AR106"/>
          <cell r="AS106"/>
          <cell r="AT106"/>
          <cell r="AU106"/>
          <cell r="AV106"/>
          <cell r="AW106"/>
          <cell r="AX106">
            <v>0.81399999999999995</v>
          </cell>
          <cell r="AY106">
            <v>711</v>
          </cell>
          <cell r="AZ106"/>
        </row>
        <row r="107">
          <cell r="A107">
            <v>32295</v>
          </cell>
          <cell r="B107" t="str">
            <v/>
          </cell>
          <cell r="C107" t="str">
            <v/>
          </cell>
          <cell r="D107"/>
          <cell r="E107"/>
          <cell r="F107"/>
          <cell r="G107"/>
          <cell r="H107"/>
          <cell r="I107"/>
          <cell r="J107"/>
          <cell r="K107"/>
          <cell r="L107"/>
          <cell r="M107"/>
          <cell r="N107"/>
          <cell r="O107"/>
          <cell r="P107"/>
          <cell r="Q107"/>
          <cell r="R107"/>
          <cell r="S107"/>
          <cell r="T107"/>
          <cell r="U107"/>
          <cell r="V107"/>
          <cell r="W107">
            <v>6.6059999999999999</v>
          </cell>
          <cell r="X107"/>
          <cell r="Y107"/>
          <cell r="Z107"/>
          <cell r="AA107"/>
          <cell r="AB107"/>
          <cell r="AC107"/>
          <cell r="AD107"/>
          <cell r="AE107"/>
          <cell r="AF107"/>
          <cell r="AG107"/>
          <cell r="AH107"/>
          <cell r="AI107"/>
          <cell r="AJ107">
            <v>4.819</v>
          </cell>
          <cell r="AK107">
            <v>5.1109999999999998</v>
          </cell>
          <cell r="AL107">
            <v>5.75</v>
          </cell>
          <cell r="AM107">
            <v>6.6459999999999999</v>
          </cell>
          <cell r="AN107"/>
          <cell r="AO107"/>
          <cell r="AP107"/>
          <cell r="AQ107"/>
          <cell r="AR107"/>
          <cell r="AS107"/>
          <cell r="AT107"/>
          <cell r="AU107"/>
          <cell r="AV107"/>
          <cell r="AW107"/>
          <cell r="AX107">
            <v>0.84399999999999997</v>
          </cell>
          <cell r="AY107">
            <v>761</v>
          </cell>
          <cell r="AZ107"/>
        </row>
        <row r="108">
          <cell r="A108">
            <v>32325</v>
          </cell>
          <cell r="B108" t="str">
            <v/>
          </cell>
          <cell r="C108" t="str">
            <v/>
          </cell>
          <cell r="D108"/>
          <cell r="E108"/>
          <cell r="F108"/>
          <cell r="G108"/>
          <cell r="H108"/>
          <cell r="I108"/>
          <cell r="J108"/>
          <cell r="K108"/>
          <cell r="L108"/>
          <cell r="M108"/>
          <cell r="N108"/>
          <cell r="O108"/>
          <cell r="P108"/>
          <cell r="Q108"/>
          <cell r="R108"/>
          <cell r="S108"/>
          <cell r="T108"/>
          <cell r="U108"/>
          <cell r="V108"/>
          <cell r="W108">
            <v>6.7309999999999999</v>
          </cell>
          <cell r="X108"/>
          <cell r="Y108"/>
          <cell r="Z108"/>
          <cell r="AA108"/>
          <cell r="AB108"/>
          <cell r="AC108"/>
          <cell r="AD108"/>
          <cell r="AE108"/>
          <cell r="AF108"/>
          <cell r="AG108"/>
          <cell r="AH108"/>
          <cell r="AI108"/>
          <cell r="AJ108">
            <v>5.5129999999999999</v>
          </cell>
          <cell r="AK108">
            <v>5.7160000000000002</v>
          </cell>
          <cell r="AL108">
            <v>6.0960000000000001</v>
          </cell>
          <cell r="AM108">
            <v>6.7880000000000003</v>
          </cell>
          <cell r="AN108"/>
          <cell r="AO108"/>
          <cell r="AP108"/>
          <cell r="AQ108"/>
          <cell r="AR108"/>
          <cell r="AS108"/>
          <cell r="AT108"/>
          <cell r="AU108"/>
          <cell r="AV108"/>
          <cell r="AW108"/>
          <cell r="AX108">
            <v>0.88700000000000001</v>
          </cell>
          <cell r="AY108">
            <v>780</v>
          </cell>
          <cell r="AZ108"/>
        </row>
        <row r="109">
          <cell r="A109">
            <v>32356</v>
          </cell>
          <cell r="B109" t="str">
            <v/>
          </cell>
          <cell r="C109" t="str">
            <v/>
          </cell>
          <cell r="D109"/>
          <cell r="E109"/>
          <cell r="F109"/>
          <cell r="G109"/>
          <cell r="H109"/>
          <cell r="I109"/>
          <cell r="J109"/>
          <cell r="K109"/>
          <cell r="L109"/>
          <cell r="M109"/>
          <cell r="N109"/>
          <cell r="O109"/>
          <cell r="P109"/>
          <cell r="Q109"/>
          <cell r="R109"/>
          <cell r="S109"/>
          <cell r="T109"/>
          <cell r="U109"/>
          <cell r="V109"/>
          <cell r="W109">
            <v>6.7859999999999996</v>
          </cell>
          <cell r="X109"/>
          <cell r="Y109"/>
          <cell r="Z109"/>
          <cell r="AA109"/>
          <cell r="AB109"/>
          <cell r="AC109"/>
          <cell r="AD109"/>
          <cell r="AE109"/>
          <cell r="AF109"/>
          <cell r="AG109"/>
          <cell r="AH109"/>
          <cell r="AI109"/>
          <cell r="AJ109">
            <v>5.9160000000000004</v>
          </cell>
          <cell r="AK109">
            <v>6.0519999999999996</v>
          </cell>
          <cell r="AL109">
            <v>6.3040000000000003</v>
          </cell>
          <cell r="AM109">
            <v>6.8609999999999998</v>
          </cell>
          <cell r="AN109"/>
          <cell r="AO109"/>
          <cell r="AP109"/>
          <cell r="AQ109"/>
          <cell r="AR109"/>
          <cell r="AS109"/>
          <cell r="AT109"/>
          <cell r="AU109"/>
          <cell r="AV109"/>
          <cell r="AW109"/>
          <cell r="AX109">
            <v>0.90600000000000003</v>
          </cell>
          <cell r="AY109">
            <v>762</v>
          </cell>
          <cell r="AZ109"/>
        </row>
        <row r="110">
          <cell r="A110">
            <v>32387</v>
          </cell>
          <cell r="B110" t="str">
            <v/>
          </cell>
          <cell r="C110" t="str">
            <v/>
          </cell>
          <cell r="D110"/>
          <cell r="E110"/>
          <cell r="F110"/>
          <cell r="G110"/>
          <cell r="H110"/>
          <cell r="I110"/>
          <cell r="J110"/>
          <cell r="K110"/>
          <cell r="L110"/>
          <cell r="M110"/>
          <cell r="N110"/>
          <cell r="O110"/>
          <cell r="P110"/>
          <cell r="Q110"/>
          <cell r="R110"/>
          <cell r="S110"/>
          <cell r="T110"/>
          <cell r="U110"/>
          <cell r="V110"/>
          <cell r="W110">
            <v>6.633</v>
          </cell>
          <cell r="X110"/>
          <cell r="Y110"/>
          <cell r="Z110"/>
          <cell r="AA110"/>
          <cell r="AB110"/>
          <cell r="AC110"/>
          <cell r="AD110"/>
          <cell r="AE110"/>
          <cell r="AF110"/>
          <cell r="AG110"/>
          <cell r="AH110"/>
          <cell r="AI110"/>
          <cell r="AJ110">
            <v>5.6619999999999999</v>
          </cell>
          <cell r="AK110">
            <v>5.7919999999999998</v>
          </cell>
          <cell r="AL110">
            <v>6.0720000000000001</v>
          </cell>
          <cell r="AM110">
            <v>6.6879999999999997</v>
          </cell>
          <cell r="AN110"/>
          <cell r="AO110"/>
          <cell r="AP110"/>
          <cell r="AQ110"/>
          <cell r="AR110"/>
          <cell r="AS110"/>
          <cell r="AT110"/>
          <cell r="AU110"/>
          <cell r="AV110"/>
          <cell r="AW110"/>
          <cell r="AX110">
            <v>0.9</v>
          </cell>
          <cell r="AY110">
            <v>809</v>
          </cell>
          <cell r="AZ110"/>
        </row>
        <row r="111">
          <cell r="A111">
            <v>32417</v>
          </cell>
          <cell r="B111" t="str">
            <v/>
          </cell>
          <cell r="C111" t="str">
            <v/>
          </cell>
          <cell r="D111"/>
          <cell r="E111"/>
          <cell r="F111"/>
          <cell r="G111"/>
          <cell r="H111"/>
          <cell r="I111"/>
          <cell r="J111"/>
          <cell r="K111"/>
          <cell r="L111"/>
          <cell r="M111"/>
          <cell r="N111"/>
          <cell r="O111"/>
          <cell r="P111"/>
          <cell r="Q111"/>
          <cell r="R111"/>
          <cell r="S111"/>
          <cell r="T111"/>
          <cell r="U111"/>
          <cell r="V111"/>
          <cell r="W111">
            <v>6.4180000000000001</v>
          </cell>
          <cell r="X111"/>
          <cell r="Y111"/>
          <cell r="Z111"/>
          <cell r="AA111"/>
          <cell r="AB111"/>
          <cell r="AC111"/>
          <cell r="AD111"/>
          <cell r="AE111"/>
          <cell r="AF111"/>
          <cell r="AG111"/>
          <cell r="AH111"/>
          <cell r="AI111"/>
          <cell r="AJ111">
            <v>5.4279999999999999</v>
          </cell>
          <cell r="AK111">
            <v>5.5490000000000004</v>
          </cell>
          <cell r="AL111">
            <v>5.8819999999999997</v>
          </cell>
          <cell r="AM111">
            <v>6.5170000000000003</v>
          </cell>
          <cell r="AN111"/>
          <cell r="AO111"/>
          <cell r="AP111"/>
          <cell r="AQ111"/>
          <cell r="AR111"/>
          <cell r="AS111"/>
          <cell r="AT111"/>
          <cell r="AU111"/>
          <cell r="AV111"/>
          <cell r="AW111"/>
          <cell r="AX111">
            <v>0.877</v>
          </cell>
          <cell r="AY111">
            <v>838</v>
          </cell>
          <cell r="AZ111"/>
        </row>
        <row r="112">
          <cell r="A112">
            <v>32448</v>
          </cell>
          <cell r="B112" t="str">
            <v/>
          </cell>
          <cell r="C112" t="str">
            <v/>
          </cell>
          <cell r="D112"/>
          <cell r="E112"/>
          <cell r="F112"/>
          <cell r="G112"/>
          <cell r="H112"/>
          <cell r="I112"/>
          <cell r="J112"/>
          <cell r="K112"/>
          <cell r="L112"/>
          <cell r="M112"/>
          <cell r="N112"/>
          <cell r="O112"/>
          <cell r="P112"/>
          <cell r="Q112"/>
          <cell r="R112"/>
          <cell r="S112"/>
          <cell r="T112"/>
          <cell r="U112"/>
          <cell r="V112"/>
          <cell r="W112">
            <v>6.3520000000000003</v>
          </cell>
          <cell r="X112"/>
          <cell r="Y112"/>
          <cell r="Z112"/>
          <cell r="AA112"/>
          <cell r="AB112"/>
          <cell r="AC112"/>
          <cell r="AD112"/>
          <cell r="AE112"/>
          <cell r="AF112"/>
          <cell r="AG112"/>
          <cell r="AH112"/>
          <cell r="AI112"/>
          <cell r="AJ112">
            <v>5.3719999999999999</v>
          </cell>
          <cell r="AK112">
            <v>5.5469999999999997</v>
          </cell>
          <cell r="AL112">
            <v>5.8730000000000002</v>
          </cell>
          <cell r="AM112">
            <v>6.5259999999999998</v>
          </cell>
          <cell r="AN112"/>
          <cell r="AO112"/>
          <cell r="AP112"/>
          <cell r="AQ112"/>
          <cell r="AR112"/>
          <cell r="AS112"/>
          <cell r="AT112"/>
          <cell r="AU112"/>
          <cell r="AV112"/>
          <cell r="AW112"/>
          <cell r="AX112">
            <v>0.84399999999999997</v>
          </cell>
          <cell r="AY112">
            <v>828</v>
          </cell>
          <cell r="AZ112"/>
        </row>
        <row r="113">
          <cell r="A113">
            <v>32478</v>
          </cell>
          <cell r="B113" t="str">
            <v/>
          </cell>
          <cell r="C113" t="str">
            <v/>
          </cell>
          <cell r="D113"/>
          <cell r="E113"/>
          <cell r="F113"/>
          <cell r="G113"/>
          <cell r="H113"/>
          <cell r="I113"/>
          <cell r="J113"/>
          <cell r="K113"/>
          <cell r="L113"/>
          <cell r="M113"/>
          <cell r="N113"/>
          <cell r="O113"/>
          <cell r="P113"/>
          <cell r="Q113"/>
          <cell r="R113"/>
          <cell r="S113"/>
          <cell r="T113"/>
          <cell r="U113"/>
          <cell r="V113"/>
          <cell r="W113">
            <v>6.51</v>
          </cell>
          <cell r="X113"/>
          <cell r="Y113"/>
          <cell r="Z113"/>
          <cell r="AA113"/>
          <cell r="AB113"/>
          <cell r="AC113"/>
          <cell r="AD113"/>
          <cell r="AE113"/>
          <cell r="AF113"/>
          <cell r="AG113"/>
          <cell r="AH113"/>
          <cell r="AI113"/>
          <cell r="AJ113">
            <v>5.7649999999999997</v>
          </cell>
          <cell r="AK113">
            <v>5.8920000000000003</v>
          </cell>
          <cell r="AL113">
            <v>6.101</v>
          </cell>
          <cell r="AM113">
            <v>6.66</v>
          </cell>
          <cell r="AN113"/>
          <cell r="AO113"/>
          <cell r="AP113"/>
          <cell r="AQ113"/>
          <cell r="AR113"/>
          <cell r="AS113"/>
          <cell r="AT113"/>
          <cell r="AU113"/>
          <cell r="AV113"/>
          <cell r="AW113"/>
          <cell r="AX113">
            <v>0.84499999999999997</v>
          </cell>
          <cell r="AY113">
            <v>861</v>
          </cell>
          <cell r="AZ113"/>
        </row>
        <row r="114">
          <cell r="A114">
            <v>32509</v>
          </cell>
          <cell r="B114" t="str">
            <v/>
          </cell>
          <cell r="C114" t="str">
            <v/>
          </cell>
          <cell r="D114"/>
          <cell r="E114"/>
          <cell r="F114"/>
          <cell r="G114"/>
          <cell r="H114"/>
          <cell r="I114"/>
          <cell r="J114"/>
          <cell r="K114"/>
          <cell r="L114"/>
          <cell r="M114"/>
          <cell r="N114"/>
          <cell r="O114"/>
          <cell r="P114"/>
          <cell r="Q114"/>
          <cell r="R114"/>
          <cell r="S114"/>
          <cell r="T114"/>
          <cell r="U114"/>
          <cell r="V114"/>
          <cell r="W114">
            <v>6.6360000000000001</v>
          </cell>
          <cell r="X114"/>
          <cell r="Y114"/>
          <cell r="Z114"/>
          <cell r="AA114"/>
          <cell r="AB114"/>
          <cell r="AC114"/>
          <cell r="AD114"/>
          <cell r="AE114"/>
          <cell r="AF114"/>
          <cell r="AG114"/>
          <cell r="AH114"/>
          <cell r="AI114"/>
          <cell r="AJ114">
            <v>6.2590000000000003</v>
          </cell>
          <cell r="AK114">
            <v>6.2969999999999997</v>
          </cell>
          <cell r="AL114">
            <v>6.391</v>
          </cell>
          <cell r="AM114">
            <v>6.827</v>
          </cell>
          <cell r="AN114"/>
          <cell r="AO114"/>
          <cell r="AP114"/>
          <cell r="AQ114"/>
          <cell r="AR114"/>
          <cell r="AS114"/>
          <cell r="AT114"/>
          <cell r="AU114"/>
          <cell r="AV114"/>
          <cell r="AW114"/>
          <cell r="AX114">
            <v>0.879</v>
          </cell>
          <cell r="AY114">
            <v>881</v>
          </cell>
          <cell r="AZ114"/>
        </row>
        <row r="115">
          <cell r="A115">
            <v>32540</v>
          </cell>
          <cell r="B115" t="str">
            <v/>
          </cell>
          <cell r="C115" t="str">
            <v/>
          </cell>
          <cell r="D115"/>
          <cell r="E115"/>
          <cell r="F115"/>
          <cell r="G115"/>
          <cell r="H115"/>
          <cell r="I115"/>
          <cell r="J115"/>
          <cell r="K115"/>
          <cell r="L115"/>
          <cell r="M115"/>
          <cell r="N115"/>
          <cell r="O115"/>
          <cell r="P115"/>
          <cell r="Q115"/>
          <cell r="R115"/>
          <cell r="S115"/>
          <cell r="T115"/>
          <cell r="U115"/>
          <cell r="V115"/>
          <cell r="W115">
            <v>6.8330000000000002</v>
          </cell>
          <cell r="X115"/>
          <cell r="Y115"/>
          <cell r="Z115"/>
          <cell r="AA115"/>
          <cell r="AB115"/>
          <cell r="AC115"/>
          <cell r="AD115"/>
          <cell r="AE115"/>
          <cell r="AF115"/>
          <cell r="AG115"/>
          <cell r="AH115"/>
          <cell r="AI115"/>
          <cell r="AJ115">
            <v>6.944</v>
          </cell>
          <cell r="AK115">
            <v>6.9470000000000001</v>
          </cell>
          <cell r="AL115">
            <v>6.9580000000000002</v>
          </cell>
          <cell r="AM115">
            <v>7.0739999999999998</v>
          </cell>
          <cell r="AN115"/>
          <cell r="AO115"/>
          <cell r="AP115"/>
          <cell r="AQ115"/>
          <cell r="AR115"/>
          <cell r="AS115"/>
          <cell r="AT115"/>
          <cell r="AU115"/>
          <cell r="AV115"/>
          <cell r="AW115"/>
          <cell r="AX115">
            <v>0.88900000000000001</v>
          </cell>
          <cell r="AY115">
            <v>853</v>
          </cell>
          <cell r="AZ115"/>
        </row>
        <row r="116">
          <cell r="A116">
            <v>32568</v>
          </cell>
          <cell r="B116" t="str">
            <v/>
          </cell>
          <cell r="C116" t="str">
            <v/>
          </cell>
          <cell r="D116"/>
          <cell r="E116"/>
          <cell r="F116"/>
          <cell r="G116"/>
          <cell r="H116"/>
          <cell r="I116"/>
          <cell r="J116"/>
          <cell r="K116"/>
          <cell r="L116"/>
          <cell r="M116"/>
          <cell r="N116"/>
          <cell r="O116"/>
          <cell r="P116"/>
          <cell r="Q116"/>
          <cell r="R116"/>
          <cell r="S116"/>
          <cell r="T116"/>
          <cell r="U116"/>
          <cell r="V116"/>
          <cell r="W116">
            <v>6.9349999999999996</v>
          </cell>
          <cell r="X116"/>
          <cell r="Y116"/>
          <cell r="Z116"/>
          <cell r="AA116"/>
          <cell r="AB116"/>
          <cell r="AC116"/>
          <cell r="AD116"/>
          <cell r="AE116"/>
          <cell r="AF116"/>
          <cell r="AG116"/>
          <cell r="AH116"/>
          <cell r="AI116"/>
          <cell r="AJ116">
            <v>7.12</v>
          </cell>
          <cell r="AK116">
            <v>7.1210000000000004</v>
          </cell>
          <cell r="AL116">
            <v>7.1219999999999999</v>
          </cell>
          <cell r="AM116">
            <v>7.1669999999999998</v>
          </cell>
          <cell r="AN116"/>
          <cell r="AO116"/>
          <cell r="AP116"/>
          <cell r="AQ116"/>
          <cell r="AR116"/>
          <cell r="AS116"/>
          <cell r="AT116"/>
          <cell r="AU116"/>
          <cell r="AV116"/>
          <cell r="AW116"/>
          <cell r="AX116">
            <v>0.89700000000000002</v>
          </cell>
          <cell r="AY116">
            <v>884</v>
          </cell>
          <cell r="AZ116"/>
        </row>
        <row r="117">
          <cell r="A117">
            <v>32599</v>
          </cell>
          <cell r="B117" t="str">
            <v/>
          </cell>
          <cell r="C117" t="str">
            <v/>
          </cell>
          <cell r="D117"/>
          <cell r="E117"/>
          <cell r="F117"/>
          <cell r="G117"/>
          <cell r="H117"/>
          <cell r="I117"/>
          <cell r="J117"/>
          <cell r="K117"/>
          <cell r="L117"/>
          <cell r="M117"/>
          <cell r="N117"/>
          <cell r="O117"/>
          <cell r="P117"/>
          <cell r="Q117"/>
          <cell r="R117"/>
          <cell r="S117"/>
          <cell r="T117"/>
          <cell r="U117"/>
          <cell r="V117"/>
          <cell r="W117">
            <v>6.859</v>
          </cell>
          <cell r="X117"/>
          <cell r="Y117"/>
          <cell r="Z117"/>
          <cell r="AA117"/>
          <cell r="AB117"/>
          <cell r="AC117"/>
          <cell r="AD117"/>
          <cell r="AE117"/>
          <cell r="AF117"/>
          <cell r="AG117"/>
          <cell r="AH117"/>
          <cell r="AI117"/>
          <cell r="AJ117">
            <v>7.0419999999999998</v>
          </cell>
          <cell r="AK117">
            <v>7.0460000000000003</v>
          </cell>
          <cell r="AL117">
            <v>7.0590000000000002</v>
          </cell>
          <cell r="AM117">
            <v>7.1219999999999999</v>
          </cell>
          <cell r="AN117"/>
          <cell r="AO117"/>
          <cell r="AP117"/>
          <cell r="AQ117"/>
          <cell r="AR117"/>
          <cell r="AS117"/>
          <cell r="AT117"/>
          <cell r="AU117"/>
          <cell r="AV117"/>
          <cell r="AW117"/>
          <cell r="AX117">
            <v>0.89900000000000002</v>
          </cell>
          <cell r="AY117">
            <v>902</v>
          </cell>
          <cell r="AZ117"/>
        </row>
        <row r="118">
          <cell r="A118">
            <v>32629</v>
          </cell>
          <cell r="B118" t="str">
            <v/>
          </cell>
          <cell r="C118" t="str">
            <v/>
          </cell>
          <cell r="D118"/>
          <cell r="E118"/>
          <cell r="F118"/>
          <cell r="G118"/>
          <cell r="H118"/>
          <cell r="I118"/>
          <cell r="J118"/>
          <cell r="K118"/>
          <cell r="L118"/>
          <cell r="M118"/>
          <cell r="N118"/>
          <cell r="O118"/>
          <cell r="P118"/>
          <cell r="Q118"/>
          <cell r="R118"/>
          <cell r="S118"/>
          <cell r="T118"/>
          <cell r="U118"/>
          <cell r="V118"/>
          <cell r="W118">
            <v>6.9589999999999996</v>
          </cell>
          <cell r="X118"/>
          <cell r="Y118"/>
          <cell r="Z118"/>
          <cell r="AA118"/>
          <cell r="AB118"/>
          <cell r="AC118"/>
          <cell r="AD118"/>
          <cell r="AE118"/>
          <cell r="AF118"/>
          <cell r="AG118"/>
          <cell r="AH118"/>
          <cell r="AI118"/>
          <cell r="AJ118">
            <v>7.3449999999999998</v>
          </cell>
          <cell r="AK118">
            <v>7.3330000000000002</v>
          </cell>
          <cell r="AL118">
            <v>7.3310000000000004</v>
          </cell>
          <cell r="AM118">
            <v>7.3390000000000004</v>
          </cell>
          <cell r="AN118"/>
          <cell r="AO118"/>
          <cell r="AP118"/>
          <cell r="AQ118"/>
          <cell r="AR118"/>
          <cell r="AS118"/>
          <cell r="AT118"/>
          <cell r="AU118"/>
          <cell r="AV118"/>
          <cell r="AW118"/>
          <cell r="AX118">
            <v>0.93400000000000005</v>
          </cell>
          <cell r="AY118">
            <v>923</v>
          </cell>
          <cell r="AZ118"/>
        </row>
        <row r="119">
          <cell r="A119">
            <v>32660</v>
          </cell>
          <cell r="B119" t="str">
            <v/>
          </cell>
          <cell r="C119" t="str">
            <v/>
          </cell>
          <cell r="D119"/>
          <cell r="E119"/>
          <cell r="F119"/>
          <cell r="G119"/>
          <cell r="H119"/>
          <cell r="I119"/>
          <cell r="J119"/>
          <cell r="K119"/>
          <cell r="L119"/>
          <cell r="M119"/>
          <cell r="N119"/>
          <cell r="O119"/>
          <cell r="P119"/>
          <cell r="Q119"/>
          <cell r="R119"/>
          <cell r="S119"/>
          <cell r="T119"/>
          <cell r="U119"/>
          <cell r="V119"/>
          <cell r="W119">
            <v>6.774</v>
          </cell>
          <cell r="X119"/>
          <cell r="Y119"/>
          <cell r="Z119"/>
          <cell r="AA119"/>
          <cell r="AB119"/>
          <cell r="AC119"/>
          <cell r="AD119"/>
          <cell r="AE119"/>
          <cell r="AF119"/>
          <cell r="AG119"/>
          <cell r="AH119"/>
          <cell r="AI119"/>
          <cell r="AJ119">
            <v>7.1379999999999999</v>
          </cell>
          <cell r="AK119">
            <v>7.1319999999999997</v>
          </cell>
          <cell r="AL119">
            <v>7.133</v>
          </cell>
          <cell r="AM119">
            <v>7.1449999999999996</v>
          </cell>
          <cell r="AN119"/>
          <cell r="AO119"/>
          <cell r="AP119"/>
          <cell r="AQ119"/>
          <cell r="AR119"/>
          <cell r="AS119"/>
          <cell r="AT119"/>
          <cell r="AU119"/>
          <cell r="AV119"/>
          <cell r="AW119"/>
          <cell r="AX119">
            <v>0.95499999999999996</v>
          </cell>
          <cell r="AY119">
            <v>954</v>
          </cell>
          <cell r="AZ119"/>
        </row>
        <row r="120">
          <cell r="A120">
            <v>32690</v>
          </cell>
          <cell r="B120" t="str">
            <v/>
          </cell>
          <cell r="C120" t="str">
            <v/>
          </cell>
          <cell r="D120"/>
          <cell r="E120"/>
          <cell r="F120"/>
          <cell r="G120"/>
          <cell r="H120"/>
          <cell r="I120"/>
          <cell r="J120"/>
          <cell r="K120"/>
          <cell r="L120"/>
          <cell r="M120"/>
          <cell r="N120"/>
          <cell r="O120"/>
          <cell r="P120"/>
          <cell r="Q120"/>
          <cell r="R120"/>
          <cell r="S120"/>
          <cell r="T120"/>
          <cell r="U120"/>
          <cell r="V120"/>
          <cell r="W120">
            <v>6.6639999999999997</v>
          </cell>
          <cell r="X120"/>
          <cell r="Y120"/>
          <cell r="Z120"/>
          <cell r="AA120"/>
          <cell r="AB120"/>
          <cell r="AC120"/>
          <cell r="AD120"/>
          <cell r="AE120"/>
          <cell r="AF120"/>
          <cell r="AG120"/>
          <cell r="AH120"/>
          <cell r="AI120"/>
          <cell r="AJ120">
            <v>6.9139999999999997</v>
          </cell>
          <cell r="AK120">
            <v>6.915</v>
          </cell>
          <cell r="AL120">
            <v>6.9189999999999996</v>
          </cell>
          <cell r="AM120">
            <v>6.9640000000000004</v>
          </cell>
          <cell r="AN120"/>
          <cell r="AO120"/>
          <cell r="AP120"/>
          <cell r="AQ120"/>
          <cell r="AR120"/>
          <cell r="AS120"/>
          <cell r="AT120"/>
          <cell r="AU120"/>
          <cell r="AV120"/>
          <cell r="AW120"/>
          <cell r="AX120">
            <v>0.91400000000000003</v>
          </cell>
          <cell r="AY120">
            <v>998</v>
          </cell>
          <cell r="AZ120"/>
        </row>
        <row r="121">
          <cell r="A121">
            <v>32721</v>
          </cell>
          <cell r="B121" t="str">
            <v/>
          </cell>
          <cell r="C121" t="str">
            <v/>
          </cell>
          <cell r="D121"/>
          <cell r="E121"/>
          <cell r="F121"/>
          <cell r="G121"/>
          <cell r="H121"/>
          <cell r="I121"/>
          <cell r="J121"/>
          <cell r="K121"/>
          <cell r="L121"/>
          <cell r="M121"/>
          <cell r="N121"/>
          <cell r="O121"/>
          <cell r="P121"/>
          <cell r="Q121"/>
          <cell r="R121"/>
          <cell r="S121"/>
          <cell r="T121"/>
          <cell r="U121"/>
          <cell r="V121"/>
          <cell r="W121">
            <v>6.7009999999999996</v>
          </cell>
          <cell r="X121"/>
          <cell r="Y121"/>
          <cell r="Z121"/>
          <cell r="AA121"/>
          <cell r="AB121"/>
          <cell r="AC121"/>
          <cell r="AD121"/>
          <cell r="AE121"/>
          <cell r="AF121"/>
          <cell r="AG121"/>
          <cell r="AH121"/>
          <cell r="AI121"/>
          <cell r="AJ121">
            <v>6.9809999999999999</v>
          </cell>
          <cell r="AK121">
            <v>6.9749999999999996</v>
          </cell>
          <cell r="AL121">
            <v>6.98</v>
          </cell>
          <cell r="AM121">
            <v>7.0359999999999996</v>
          </cell>
          <cell r="AN121"/>
          <cell r="AO121"/>
          <cell r="AP121"/>
          <cell r="AQ121"/>
          <cell r="AR121"/>
          <cell r="AS121"/>
          <cell r="AT121"/>
          <cell r="AU121"/>
          <cell r="AV121"/>
          <cell r="AW121"/>
          <cell r="AX121">
            <v>0.92800000000000005</v>
          </cell>
          <cell r="AY121">
            <v>1038</v>
          </cell>
          <cell r="AZ121"/>
        </row>
        <row r="122">
          <cell r="A122">
            <v>32752</v>
          </cell>
          <cell r="B122" t="str">
            <v/>
          </cell>
          <cell r="C122" t="str">
            <v/>
          </cell>
          <cell r="D122"/>
          <cell r="E122"/>
          <cell r="F122"/>
          <cell r="G122"/>
          <cell r="H122"/>
          <cell r="I122"/>
          <cell r="J122"/>
          <cell r="K122"/>
          <cell r="L122"/>
          <cell r="M122"/>
          <cell r="N122"/>
          <cell r="O122"/>
          <cell r="P122"/>
          <cell r="Q122"/>
          <cell r="R122"/>
          <cell r="S122"/>
          <cell r="T122"/>
          <cell r="U122"/>
          <cell r="V122"/>
          <cell r="W122">
            <v>6.907</v>
          </cell>
          <cell r="X122"/>
          <cell r="Y122"/>
          <cell r="Z122"/>
          <cell r="AA122"/>
          <cell r="AB122"/>
          <cell r="AC122"/>
          <cell r="AD122"/>
          <cell r="AE122"/>
          <cell r="AF122"/>
          <cell r="AG122"/>
          <cell r="AH122"/>
          <cell r="AI122"/>
          <cell r="AJ122">
            <v>7.4569999999999999</v>
          </cell>
          <cell r="AK122">
            <v>7.3920000000000003</v>
          </cell>
          <cell r="AL122">
            <v>7.3470000000000004</v>
          </cell>
          <cell r="AM122">
            <v>7.3010000000000002</v>
          </cell>
          <cell r="AN122"/>
          <cell r="AO122"/>
          <cell r="AP122"/>
          <cell r="AQ122"/>
          <cell r="AR122"/>
          <cell r="AS122"/>
          <cell r="AT122"/>
          <cell r="AU122"/>
          <cell r="AV122"/>
          <cell r="AW122"/>
          <cell r="AX122">
            <v>0.94099999999999995</v>
          </cell>
          <cell r="AY122">
            <v>1033</v>
          </cell>
          <cell r="AZ122"/>
        </row>
        <row r="123">
          <cell r="A123">
            <v>32782</v>
          </cell>
          <cell r="B123" t="str">
            <v/>
          </cell>
          <cell r="C123" t="str">
            <v/>
          </cell>
          <cell r="D123"/>
          <cell r="E123"/>
          <cell r="F123"/>
          <cell r="G123"/>
          <cell r="H123"/>
          <cell r="I123"/>
          <cell r="J123"/>
          <cell r="K123"/>
          <cell r="L123"/>
          <cell r="M123"/>
          <cell r="N123"/>
          <cell r="O123"/>
          <cell r="P123"/>
          <cell r="Q123"/>
          <cell r="R123"/>
          <cell r="S123"/>
          <cell r="T123"/>
          <cell r="U123"/>
          <cell r="V123"/>
          <cell r="W123">
            <v>7.0039999999999996</v>
          </cell>
          <cell r="X123"/>
          <cell r="Y123"/>
          <cell r="Z123"/>
          <cell r="AA123"/>
          <cell r="AB123"/>
          <cell r="AC123"/>
          <cell r="AD123"/>
          <cell r="AE123"/>
          <cell r="AF123"/>
          <cell r="AG123"/>
          <cell r="AH123"/>
          <cell r="AI123"/>
          <cell r="AJ123">
            <v>7.8140000000000001</v>
          </cell>
          <cell r="AK123">
            <v>7.7249999999999996</v>
          </cell>
          <cell r="AL123">
            <v>7.617</v>
          </cell>
          <cell r="AM123">
            <v>7.4669999999999996</v>
          </cell>
          <cell r="AN123"/>
          <cell r="AO123"/>
          <cell r="AP123"/>
          <cell r="AQ123"/>
          <cell r="AR123"/>
          <cell r="AS123"/>
          <cell r="AT123"/>
          <cell r="AU123"/>
          <cell r="AV123"/>
          <cell r="AW123"/>
          <cell r="AX123">
            <v>0.90700000000000003</v>
          </cell>
          <cell r="AY123">
            <v>970</v>
          </cell>
          <cell r="AZ123"/>
        </row>
        <row r="124">
          <cell r="A124">
            <v>32813</v>
          </cell>
          <cell r="B124" t="str">
            <v/>
          </cell>
          <cell r="C124" t="str">
            <v/>
          </cell>
          <cell r="D124"/>
          <cell r="E124"/>
          <cell r="F124"/>
          <cell r="G124"/>
          <cell r="H124"/>
          <cell r="I124"/>
          <cell r="J124"/>
          <cell r="K124"/>
          <cell r="L124"/>
          <cell r="M124"/>
          <cell r="N124"/>
          <cell r="O124"/>
          <cell r="P124"/>
          <cell r="Q124"/>
          <cell r="R124"/>
          <cell r="S124"/>
          <cell r="T124"/>
          <cell r="U124"/>
          <cell r="V124"/>
          <cell r="W124">
            <v>7.2789999999999999</v>
          </cell>
          <cell r="X124"/>
          <cell r="Y124"/>
          <cell r="Z124"/>
          <cell r="AA124"/>
          <cell r="AB124"/>
          <cell r="AC124"/>
          <cell r="AD124"/>
          <cell r="AE124"/>
          <cell r="AF124"/>
          <cell r="AG124"/>
          <cell r="AH124"/>
          <cell r="AI124"/>
          <cell r="AJ124">
            <v>8.2309999999999999</v>
          </cell>
          <cell r="AK124">
            <v>8.2140000000000004</v>
          </cell>
          <cell r="AL124">
            <v>8.1760000000000002</v>
          </cell>
          <cell r="AM124">
            <v>7.9580000000000002</v>
          </cell>
          <cell r="AN124"/>
          <cell r="AO124"/>
          <cell r="AP124"/>
          <cell r="AQ124"/>
          <cell r="AR124"/>
          <cell r="AS124"/>
          <cell r="AT124"/>
          <cell r="AU124"/>
          <cell r="AV124"/>
          <cell r="AW124"/>
          <cell r="AX124">
            <v>0.89400000000000002</v>
          </cell>
          <cell r="AY124">
            <v>1024</v>
          </cell>
          <cell r="AZ124"/>
        </row>
        <row r="125">
          <cell r="A125">
            <v>32843</v>
          </cell>
          <cell r="B125" t="str">
            <v/>
          </cell>
          <cell r="C125" t="str">
            <v/>
          </cell>
          <cell r="D125"/>
          <cell r="E125"/>
          <cell r="F125"/>
          <cell r="G125"/>
          <cell r="H125"/>
          <cell r="I125"/>
          <cell r="J125"/>
          <cell r="K125"/>
          <cell r="L125"/>
          <cell r="M125"/>
          <cell r="N125"/>
          <cell r="O125"/>
          <cell r="P125"/>
          <cell r="Q125"/>
          <cell r="R125"/>
          <cell r="S125"/>
          <cell r="T125"/>
          <cell r="U125"/>
          <cell r="V125"/>
          <cell r="W125">
            <v>7.2309999999999999</v>
          </cell>
          <cell r="X125"/>
          <cell r="Y125"/>
          <cell r="Z125"/>
          <cell r="AA125"/>
          <cell r="AB125"/>
          <cell r="AC125"/>
          <cell r="AD125"/>
          <cell r="AE125"/>
          <cell r="AF125"/>
          <cell r="AG125"/>
          <cell r="AH125"/>
          <cell r="AI125"/>
          <cell r="AJ125">
            <v>8.1769999999999996</v>
          </cell>
          <cell r="AK125">
            <v>8.0980000000000008</v>
          </cell>
          <cell r="AL125">
            <v>8.0429999999999993</v>
          </cell>
          <cell r="AM125">
            <v>7.9420000000000002</v>
          </cell>
          <cell r="AN125"/>
          <cell r="AO125"/>
          <cell r="AP125"/>
          <cell r="AQ125"/>
          <cell r="AR125"/>
          <cell r="AS125"/>
          <cell r="AT125"/>
          <cell r="AU125"/>
          <cell r="AV125"/>
          <cell r="AW125"/>
          <cell r="AX125">
            <v>0.85599999999999998</v>
          </cell>
          <cell r="AY125">
            <v>1098</v>
          </cell>
          <cell r="AZ125"/>
        </row>
        <row r="126">
          <cell r="A126">
            <v>32874</v>
          </cell>
          <cell r="B126" t="str">
            <v/>
          </cell>
          <cell r="C126" t="str">
            <v/>
          </cell>
          <cell r="D126"/>
          <cell r="E126"/>
          <cell r="F126"/>
          <cell r="G126"/>
          <cell r="H126"/>
          <cell r="I126"/>
          <cell r="J126"/>
          <cell r="K126"/>
          <cell r="L126"/>
          <cell r="M126"/>
          <cell r="N126"/>
          <cell r="O126"/>
          <cell r="P126"/>
          <cell r="Q126"/>
          <cell r="R126"/>
          <cell r="S126"/>
          <cell r="T126"/>
          <cell r="U126"/>
          <cell r="V126"/>
          <cell r="W126">
            <v>7.569</v>
          </cell>
          <cell r="X126"/>
          <cell r="Y126"/>
          <cell r="Z126"/>
          <cell r="AA126"/>
          <cell r="AB126"/>
          <cell r="AC126"/>
          <cell r="AD126"/>
          <cell r="AE126"/>
          <cell r="AF126"/>
          <cell r="AG126"/>
          <cell r="AH126"/>
          <cell r="AI126"/>
          <cell r="AJ126">
            <v>8.5909999999999993</v>
          </cell>
          <cell r="AK126">
            <v>8.49</v>
          </cell>
          <cell r="AL126">
            <v>8.3659999999999997</v>
          </cell>
          <cell r="AM126">
            <v>8.2479999999999993</v>
          </cell>
          <cell r="AN126"/>
          <cell r="AO126"/>
          <cell r="AP126"/>
          <cell r="AQ126"/>
          <cell r="AR126"/>
          <cell r="AS126"/>
          <cell r="AT126"/>
          <cell r="AU126"/>
          <cell r="AV126"/>
          <cell r="AW126"/>
          <cell r="AX126">
            <v>0.83199999999999996</v>
          </cell>
          <cell r="AY126">
            <v>1085</v>
          </cell>
          <cell r="AZ126"/>
        </row>
        <row r="127">
          <cell r="A127">
            <v>32905</v>
          </cell>
          <cell r="B127" t="str">
            <v/>
          </cell>
          <cell r="C127" t="str">
            <v/>
          </cell>
          <cell r="D127"/>
          <cell r="E127"/>
          <cell r="F127"/>
          <cell r="G127"/>
          <cell r="H127"/>
          <cell r="I127"/>
          <cell r="J127"/>
          <cell r="K127"/>
          <cell r="L127"/>
          <cell r="M127"/>
          <cell r="N127"/>
          <cell r="O127"/>
          <cell r="P127"/>
          <cell r="Q127"/>
          <cell r="R127"/>
          <cell r="S127"/>
          <cell r="T127"/>
          <cell r="U127"/>
          <cell r="V127"/>
          <cell r="W127">
            <v>8.42</v>
          </cell>
          <cell r="X127"/>
          <cell r="Y127"/>
          <cell r="Z127"/>
          <cell r="AA127"/>
          <cell r="AB127"/>
          <cell r="AC127"/>
          <cell r="AD127"/>
          <cell r="AE127"/>
          <cell r="AF127"/>
          <cell r="AG127"/>
          <cell r="AH127"/>
          <cell r="AI127"/>
          <cell r="AJ127">
            <v>9.1989999999999998</v>
          </cell>
          <cell r="AK127">
            <v>9.1270000000000007</v>
          </cell>
          <cell r="AL127">
            <v>9.0489999999999995</v>
          </cell>
          <cell r="AM127">
            <v>8.9890000000000008</v>
          </cell>
          <cell r="AN127"/>
          <cell r="AO127"/>
          <cell r="AP127"/>
          <cell r="AQ127"/>
          <cell r="AR127"/>
          <cell r="AS127"/>
          <cell r="AT127"/>
          <cell r="AU127"/>
          <cell r="AV127"/>
          <cell r="AW127"/>
          <cell r="AX127">
            <v>0.82099999999999995</v>
          </cell>
          <cell r="AY127">
            <v>1073</v>
          </cell>
          <cell r="AZ127"/>
        </row>
        <row r="128">
          <cell r="A128">
            <v>32933</v>
          </cell>
          <cell r="B128" t="str">
            <v/>
          </cell>
          <cell r="C128" t="str">
            <v/>
          </cell>
          <cell r="D128"/>
          <cell r="E128"/>
          <cell r="F128"/>
          <cell r="G128"/>
          <cell r="H128"/>
          <cell r="I128"/>
          <cell r="J128"/>
          <cell r="K128"/>
          <cell r="L128"/>
          <cell r="M128"/>
          <cell r="N128"/>
          <cell r="O128"/>
          <cell r="P128"/>
          <cell r="Q128"/>
          <cell r="R128"/>
          <cell r="S128"/>
          <cell r="T128"/>
          <cell r="U128"/>
          <cell r="V128"/>
          <cell r="W128">
            <v>8.7370000000000001</v>
          </cell>
          <cell r="X128"/>
          <cell r="Y128"/>
          <cell r="Z128"/>
          <cell r="AA128"/>
          <cell r="AB128"/>
          <cell r="AC128"/>
          <cell r="AD128"/>
          <cell r="AE128"/>
          <cell r="AF128"/>
          <cell r="AG128"/>
          <cell r="AH128"/>
          <cell r="AI128"/>
          <cell r="AJ128">
            <v>9.4320000000000004</v>
          </cell>
          <cell r="AK128">
            <v>9.4169999999999998</v>
          </cell>
          <cell r="AL128">
            <v>9.3409999999999993</v>
          </cell>
          <cell r="AM128">
            <v>9.2070000000000007</v>
          </cell>
          <cell r="AN128"/>
          <cell r="AO128"/>
          <cell r="AP128"/>
          <cell r="AQ128"/>
          <cell r="AR128"/>
          <cell r="AS128"/>
          <cell r="AT128"/>
          <cell r="AU128"/>
          <cell r="AV128"/>
          <cell r="AW128"/>
          <cell r="AX128">
            <v>0.83499999999999996</v>
          </cell>
          <cell r="AY128">
            <v>1093</v>
          </cell>
          <cell r="AZ128"/>
        </row>
        <row r="129">
          <cell r="A129">
            <v>32964</v>
          </cell>
          <cell r="B129" t="str">
            <v/>
          </cell>
          <cell r="C129" t="str">
            <v/>
          </cell>
          <cell r="D129"/>
          <cell r="E129"/>
          <cell r="F129"/>
          <cell r="G129"/>
          <cell r="H129"/>
          <cell r="I129"/>
          <cell r="J129"/>
          <cell r="K129"/>
          <cell r="L129"/>
          <cell r="M129"/>
          <cell r="N129"/>
          <cell r="O129"/>
          <cell r="P129"/>
          <cell r="Q129"/>
          <cell r="R129"/>
          <cell r="S129"/>
          <cell r="T129"/>
          <cell r="U129"/>
          <cell r="V129"/>
          <cell r="W129">
            <v>8.6440000000000001</v>
          </cell>
          <cell r="X129"/>
          <cell r="Y129"/>
          <cell r="Z129"/>
          <cell r="AA129"/>
          <cell r="AB129"/>
          <cell r="AC129"/>
          <cell r="AD129"/>
          <cell r="AE129"/>
          <cell r="AF129"/>
          <cell r="AG129"/>
          <cell r="AH129"/>
          <cell r="AI129"/>
          <cell r="AJ129">
            <v>9.2360000000000007</v>
          </cell>
          <cell r="AK129">
            <v>9.2219999999999995</v>
          </cell>
          <cell r="AL129">
            <v>9.1850000000000005</v>
          </cell>
          <cell r="AM129">
            <v>9.0909999999999993</v>
          </cell>
          <cell r="AN129"/>
          <cell r="AO129"/>
          <cell r="AP129"/>
          <cell r="AQ129"/>
          <cell r="AR129"/>
          <cell r="AS129"/>
          <cell r="AT129"/>
          <cell r="AU129"/>
          <cell r="AV129"/>
          <cell r="AW129"/>
          <cell r="AX129">
            <v>0.82499999999999996</v>
          </cell>
          <cell r="AY129">
            <v>1116</v>
          </cell>
          <cell r="AZ129"/>
        </row>
        <row r="130">
          <cell r="A130">
            <v>32994</v>
          </cell>
          <cell r="B130" t="str">
            <v/>
          </cell>
          <cell r="C130" t="str">
            <v/>
          </cell>
          <cell r="D130"/>
          <cell r="E130"/>
          <cell r="F130"/>
          <cell r="G130"/>
          <cell r="H130"/>
          <cell r="I130"/>
          <cell r="J130"/>
          <cell r="K130"/>
          <cell r="L130"/>
          <cell r="M130"/>
          <cell r="N130"/>
          <cell r="O130"/>
          <cell r="P130"/>
          <cell r="Q130"/>
          <cell r="R130"/>
          <cell r="S130"/>
          <cell r="T130"/>
          <cell r="U130"/>
          <cell r="V130"/>
          <cell r="W130">
            <v>8.6609999999999996</v>
          </cell>
          <cell r="X130"/>
          <cell r="Y130"/>
          <cell r="Z130"/>
          <cell r="AA130"/>
          <cell r="AB130"/>
          <cell r="AC130"/>
          <cell r="AD130"/>
          <cell r="AE130"/>
          <cell r="AF130"/>
          <cell r="AG130"/>
          <cell r="AH130"/>
          <cell r="AI130"/>
          <cell r="AJ130">
            <v>9.2159999999999993</v>
          </cell>
          <cell r="AK130">
            <v>9.1959999999999997</v>
          </cell>
          <cell r="AL130">
            <v>9.1649999999999991</v>
          </cell>
          <cell r="AM130">
            <v>9.0749999999999993</v>
          </cell>
          <cell r="AN130"/>
          <cell r="AO130"/>
          <cell r="AP130"/>
          <cell r="AQ130"/>
          <cell r="AR130"/>
          <cell r="AS130"/>
          <cell r="AT130"/>
          <cell r="AU130"/>
          <cell r="AV130"/>
          <cell r="AW130"/>
          <cell r="AX130">
            <v>0.81200000000000006</v>
          </cell>
          <cell r="AY130">
            <v>1110</v>
          </cell>
          <cell r="AZ130"/>
        </row>
        <row r="131">
          <cell r="A131">
            <v>33025</v>
          </cell>
          <cell r="B131" t="str">
            <v/>
          </cell>
          <cell r="C131" t="str">
            <v/>
          </cell>
          <cell r="D131"/>
          <cell r="E131"/>
          <cell r="F131"/>
          <cell r="G131"/>
          <cell r="H131"/>
          <cell r="I131"/>
          <cell r="J131"/>
          <cell r="K131"/>
          <cell r="L131"/>
          <cell r="M131"/>
          <cell r="N131"/>
          <cell r="O131"/>
          <cell r="P131"/>
          <cell r="Q131"/>
          <cell r="R131"/>
          <cell r="S131"/>
          <cell r="T131"/>
          <cell r="U131"/>
          <cell r="V131"/>
          <cell r="W131">
            <v>8.7710000000000008</v>
          </cell>
          <cell r="X131"/>
          <cell r="Y131"/>
          <cell r="Z131"/>
          <cell r="AA131"/>
          <cell r="AB131"/>
          <cell r="AC131"/>
          <cell r="AD131"/>
          <cell r="AE131"/>
          <cell r="AF131"/>
          <cell r="AG131"/>
          <cell r="AH131"/>
          <cell r="AI131"/>
          <cell r="AJ131">
            <v>9.1470000000000002</v>
          </cell>
          <cell r="AK131">
            <v>9.1440000000000001</v>
          </cell>
          <cell r="AL131">
            <v>9.14</v>
          </cell>
          <cell r="AM131">
            <v>9.1189999999999998</v>
          </cell>
          <cell r="AN131"/>
          <cell r="AO131"/>
          <cell r="AP131"/>
          <cell r="AQ131"/>
          <cell r="AR131"/>
          <cell r="AS131"/>
          <cell r="AT131"/>
          <cell r="AU131"/>
          <cell r="AV131"/>
          <cell r="AW131"/>
          <cell r="AX131">
            <v>0.81799999999999995</v>
          </cell>
          <cell r="AY131">
            <v>1107</v>
          </cell>
          <cell r="AZ131"/>
        </row>
        <row r="132">
          <cell r="A132">
            <v>33055</v>
          </cell>
          <cell r="B132" t="str">
            <v/>
          </cell>
          <cell r="C132" t="str">
            <v/>
          </cell>
          <cell r="D132"/>
          <cell r="E132"/>
          <cell r="F132"/>
          <cell r="G132"/>
          <cell r="H132"/>
          <cell r="I132"/>
          <cell r="J132"/>
          <cell r="K132"/>
          <cell r="L132"/>
          <cell r="M132"/>
          <cell r="N132"/>
          <cell r="O132"/>
          <cell r="P132"/>
          <cell r="Q132"/>
          <cell r="R132"/>
          <cell r="S132"/>
          <cell r="T132"/>
          <cell r="U132"/>
          <cell r="V132"/>
          <cell r="W132">
            <v>8.5429999999999993</v>
          </cell>
          <cell r="X132"/>
          <cell r="Y132"/>
          <cell r="Z132"/>
          <cell r="AA132"/>
          <cell r="AB132"/>
          <cell r="AC132"/>
          <cell r="AD132"/>
          <cell r="AE132"/>
          <cell r="AF132"/>
          <cell r="AG132"/>
          <cell r="AH132"/>
          <cell r="AI132"/>
          <cell r="AJ132">
            <v>8.9369999999999994</v>
          </cell>
          <cell r="AK132">
            <v>8.9209999999999994</v>
          </cell>
          <cell r="AL132">
            <v>8.8989999999999991</v>
          </cell>
          <cell r="AM132">
            <v>8.8130000000000006</v>
          </cell>
          <cell r="AN132"/>
          <cell r="AO132"/>
          <cell r="AP132"/>
          <cell r="AQ132"/>
          <cell r="AR132"/>
          <cell r="AS132"/>
          <cell r="AT132"/>
          <cell r="AU132"/>
          <cell r="AV132"/>
          <cell r="AW132"/>
          <cell r="AX132">
            <v>0.79300000000000004</v>
          </cell>
          <cell r="AY132">
            <v>1120</v>
          </cell>
          <cell r="AZ132"/>
        </row>
        <row r="133">
          <cell r="A133">
            <v>33086</v>
          </cell>
          <cell r="B133" t="str">
            <v/>
          </cell>
          <cell r="C133" t="str">
            <v/>
          </cell>
          <cell r="D133"/>
          <cell r="E133"/>
          <cell r="F133"/>
          <cell r="G133"/>
          <cell r="H133"/>
          <cell r="I133"/>
          <cell r="J133"/>
          <cell r="K133"/>
          <cell r="L133"/>
          <cell r="M133"/>
          <cell r="N133"/>
          <cell r="O133"/>
          <cell r="P133"/>
          <cell r="Q133"/>
          <cell r="R133"/>
          <cell r="S133"/>
          <cell r="T133"/>
          <cell r="U133"/>
          <cell r="V133"/>
          <cell r="W133">
            <v>8.8460000000000001</v>
          </cell>
          <cell r="X133"/>
          <cell r="Y133"/>
          <cell r="Z133"/>
          <cell r="AA133"/>
          <cell r="AB133"/>
          <cell r="AC133"/>
          <cell r="AD133"/>
          <cell r="AE133"/>
          <cell r="AF133"/>
          <cell r="AG133"/>
          <cell r="AH133"/>
          <cell r="AI133"/>
          <cell r="AJ133">
            <v>9.2029999999999994</v>
          </cell>
          <cell r="AK133">
            <v>9.1820000000000004</v>
          </cell>
          <cell r="AL133">
            <v>9.1349999999999998</v>
          </cell>
          <cell r="AM133">
            <v>9.093</v>
          </cell>
          <cell r="AN133"/>
          <cell r="AO133"/>
          <cell r="AP133"/>
          <cell r="AQ133"/>
          <cell r="AR133"/>
          <cell r="AS133"/>
          <cell r="AT133"/>
          <cell r="AU133"/>
          <cell r="AV133"/>
          <cell r="AW133"/>
          <cell r="AX133">
            <v>0.76</v>
          </cell>
          <cell r="AY133">
            <v>993</v>
          </cell>
          <cell r="AZ133"/>
        </row>
        <row r="134">
          <cell r="A134">
            <v>33117</v>
          </cell>
          <cell r="B134" t="str">
            <v/>
          </cell>
          <cell r="C134" t="str">
            <v/>
          </cell>
          <cell r="D134"/>
          <cell r="E134"/>
          <cell r="F134"/>
          <cell r="G134"/>
          <cell r="H134"/>
          <cell r="I134"/>
          <cell r="J134"/>
          <cell r="K134"/>
          <cell r="L134"/>
          <cell r="M134"/>
          <cell r="N134"/>
          <cell r="O134"/>
          <cell r="P134"/>
          <cell r="Q134"/>
          <cell r="R134"/>
          <cell r="S134"/>
          <cell r="T134"/>
          <cell r="U134"/>
          <cell r="V134"/>
          <cell r="W134">
            <v>9.0150000000000006</v>
          </cell>
          <cell r="X134"/>
          <cell r="Y134"/>
          <cell r="Z134"/>
          <cell r="AA134"/>
          <cell r="AB134"/>
          <cell r="AC134"/>
          <cell r="AD134"/>
          <cell r="AE134"/>
          <cell r="AF134"/>
          <cell r="AG134"/>
          <cell r="AH134"/>
          <cell r="AI134"/>
          <cell r="AJ134">
            <v>9.3130000000000006</v>
          </cell>
          <cell r="AK134">
            <v>9.3040000000000003</v>
          </cell>
          <cell r="AL134">
            <v>9.24</v>
          </cell>
          <cell r="AM134">
            <v>9.2159999999999993</v>
          </cell>
          <cell r="AN134"/>
          <cell r="AO134"/>
          <cell r="AP134"/>
          <cell r="AQ134"/>
          <cell r="AR134"/>
          <cell r="AS134"/>
          <cell r="AT134"/>
          <cell r="AU134"/>
          <cell r="AV134"/>
          <cell r="AW134"/>
          <cell r="AX134">
            <v>0.76100000000000001</v>
          </cell>
          <cell r="AY134">
            <v>913</v>
          </cell>
          <cell r="AZ134"/>
        </row>
        <row r="135">
          <cell r="A135">
            <v>33147</v>
          </cell>
          <cell r="B135" t="str">
            <v/>
          </cell>
          <cell r="C135" t="str">
            <v/>
          </cell>
          <cell r="D135"/>
          <cell r="E135"/>
          <cell r="F135"/>
          <cell r="G135"/>
          <cell r="H135"/>
          <cell r="I135"/>
          <cell r="J135"/>
          <cell r="K135"/>
          <cell r="L135"/>
          <cell r="M135"/>
          <cell r="N135"/>
          <cell r="O135"/>
          <cell r="P135"/>
          <cell r="Q135"/>
          <cell r="R135"/>
          <cell r="S135"/>
          <cell r="T135"/>
          <cell r="U135"/>
          <cell r="V135"/>
          <cell r="W135">
            <v>9.0229999999999997</v>
          </cell>
          <cell r="X135"/>
          <cell r="Y135"/>
          <cell r="Z135"/>
          <cell r="AA135"/>
          <cell r="AB135"/>
          <cell r="AC135"/>
          <cell r="AD135"/>
          <cell r="AE135"/>
          <cell r="AF135"/>
          <cell r="AG135"/>
          <cell r="AH135"/>
          <cell r="AI135"/>
          <cell r="AJ135">
            <v>9.2390000000000008</v>
          </cell>
          <cell r="AK135">
            <v>9.2330000000000005</v>
          </cell>
          <cell r="AL135">
            <v>9.1820000000000004</v>
          </cell>
          <cell r="AM135">
            <v>9.1709999999999994</v>
          </cell>
          <cell r="AN135"/>
          <cell r="AO135"/>
          <cell r="AP135"/>
          <cell r="AQ135"/>
          <cell r="AR135"/>
          <cell r="AS135"/>
          <cell r="AT135"/>
          <cell r="AU135"/>
          <cell r="AV135"/>
          <cell r="AW135"/>
          <cell r="AX135">
            <v>0.74</v>
          </cell>
          <cell r="AY135">
            <v>892</v>
          </cell>
          <cell r="AZ135"/>
        </row>
        <row r="136">
          <cell r="A136">
            <v>33178</v>
          </cell>
          <cell r="B136" t="str">
            <v/>
          </cell>
          <cell r="C136" t="str">
            <v/>
          </cell>
          <cell r="D136"/>
          <cell r="E136"/>
          <cell r="F136"/>
          <cell r="G136"/>
          <cell r="H136"/>
          <cell r="I136"/>
          <cell r="J136"/>
          <cell r="K136"/>
          <cell r="L136"/>
          <cell r="M136"/>
          <cell r="N136"/>
          <cell r="O136"/>
          <cell r="P136"/>
          <cell r="Q136"/>
          <cell r="R136"/>
          <cell r="S136"/>
          <cell r="T136"/>
          <cell r="U136"/>
          <cell r="V136"/>
          <cell r="W136">
            <v>8.9250000000000007</v>
          </cell>
          <cell r="X136"/>
          <cell r="Y136"/>
          <cell r="Z136"/>
          <cell r="AA136"/>
          <cell r="AB136"/>
          <cell r="AC136"/>
          <cell r="AD136"/>
          <cell r="AE136"/>
          <cell r="AF136"/>
          <cell r="AG136"/>
          <cell r="AH136"/>
          <cell r="AI136"/>
          <cell r="AJ136">
            <v>9.3309999999999995</v>
          </cell>
          <cell r="AK136">
            <v>9.3079999999999998</v>
          </cell>
          <cell r="AL136">
            <v>9.2080000000000002</v>
          </cell>
          <cell r="AM136">
            <v>9.0960000000000001</v>
          </cell>
          <cell r="AN136"/>
          <cell r="AO136"/>
          <cell r="AP136"/>
          <cell r="AQ136"/>
          <cell r="AR136"/>
          <cell r="AS136"/>
          <cell r="AT136"/>
          <cell r="AU136"/>
          <cell r="AV136"/>
          <cell r="AW136"/>
          <cell r="AX136">
            <v>0.72399999999999998</v>
          </cell>
          <cell r="AY136">
            <v>874</v>
          </cell>
          <cell r="AZ136"/>
        </row>
        <row r="137">
          <cell r="A137">
            <v>33208</v>
          </cell>
          <cell r="B137" t="str">
            <v/>
          </cell>
          <cell r="C137" t="str">
            <v/>
          </cell>
          <cell r="D137"/>
          <cell r="E137"/>
          <cell r="F137"/>
          <cell r="G137"/>
          <cell r="H137"/>
          <cell r="I137"/>
          <cell r="J137"/>
          <cell r="K137"/>
          <cell r="L137"/>
          <cell r="M137"/>
          <cell r="N137"/>
          <cell r="O137"/>
          <cell r="P137"/>
          <cell r="Q137"/>
          <cell r="R137"/>
          <cell r="S137"/>
          <cell r="T137"/>
          <cell r="U137"/>
          <cell r="V137"/>
          <cell r="W137">
            <v>8.8170000000000002</v>
          </cell>
          <cell r="X137"/>
          <cell r="Y137"/>
          <cell r="Z137"/>
          <cell r="AA137"/>
          <cell r="AB137"/>
          <cell r="AC137"/>
          <cell r="AD137"/>
          <cell r="AE137"/>
          <cell r="AF137"/>
          <cell r="AG137"/>
          <cell r="AH137"/>
          <cell r="AI137"/>
          <cell r="AJ137">
            <v>9.4949999999999992</v>
          </cell>
          <cell r="AK137">
            <v>9.43</v>
          </cell>
          <cell r="AL137">
            <v>9.2409999999999997</v>
          </cell>
          <cell r="AM137">
            <v>9.01</v>
          </cell>
          <cell r="AN137"/>
          <cell r="AO137"/>
          <cell r="AP137"/>
          <cell r="AQ137"/>
          <cell r="AR137"/>
          <cell r="AS137"/>
          <cell r="AT137"/>
          <cell r="AU137"/>
          <cell r="AV137"/>
          <cell r="AW137"/>
          <cell r="AX137">
            <v>0.73299999999999998</v>
          </cell>
          <cell r="AY137">
            <v>887</v>
          </cell>
          <cell r="AZ137"/>
        </row>
        <row r="138">
          <cell r="A138">
            <v>33239</v>
          </cell>
          <cell r="B138" t="str">
            <v/>
          </cell>
          <cell r="C138" t="str">
            <v/>
          </cell>
          <cell r="D138"/>
          <cell r="E138"/>
          <cell r="F138"/>
          <cell r="G138"/>
          <cell r="H138"/>
          <cell r="I138"/>
          <cell r="J138"/>
          <cell r="K138"/>
          <cell r="L138"/>
          <cell r="M138"/>
          <cell r="N138"/>
          <cell r="O138"/>
          <cell r="P138"/>
          <cell r="Q138"/>
          <cell r="R138"/>
          <cell r="S138"/>
          <cell r="T138"/>
          <cell r="U138"/>
          <cell r="V138"/>
          <cell r="W138">
            <v>8.8949999999999996</v>
          </cell>
          <cell r="X138"/>
          <cell r="Y138"/>
          <cell r="Z138"/>
          <cell r="AA138"/>
          <cell r="AB138"/>
          <cell r="AC138"/>
          <cell r="AD138"/>
          <cell r="AE138"/>
          <cell r="AF138"/>
          <cell r="AG138"/>
          <cell r="AH138"/>
          <cell r="AI138"/>
          <cell r="AJ138">
            <v>9.5660000000000007</v>
          </cell>
          <cell r="AK138">
            <v>9.4550000000000001</v>
          </cell>
          <cell r="AL138">
            <v>9.2759999999999998</v>
          </cell>
          <cell r="AM138">
            <v>9.0660000000000007</v>
          </cell>
          <cell r="AN138"/>
          <cell r="AO138"/>
          <cell r="AP138"/>
          <cell r="AQ138"/>
          <cell r="AR138"/>
          <cell r="AS138"/>
          <cell r="AT138"/>
          <cell r="AU138"/>
          <cell r="AV138"/>
          <cell r="AW138"/>
          <cell r="AX138">
            <v>0.73599999999999999</v>
          </cell>
          <cell r="AY138">
            <v>850</v>
          </cell>
          <cell r="AZ138"/>
        </row>
        <row r="139">
          <cell r="A139">
            <v>33270</v>
          </cell>
          <cell r="B139" t="str">
            <v/>
          </cell>
          <cell r="C139" t="str">
            <v/>
          </cell>
          <cell r="D139"/>
          <cell r="E139"/>
          <cell r="F139"/>
          <cell r="G139"/>
          <cell r="H139"/>
          <cell r="I139"/>
          <cell r="J139"/>
          <cell r="K139"/>
          <cell r="L139"/>
          <cell r="M139"/>
          <cell r="N139"/>
          <cell r="O139"/>
          <cell r="P139"/>
          <cell r="Q139"/>
          <cell r="R139"/>
          <cell r="S139"/>
          <cell r="T139"/>
          <cell r="U139"/>
          <cell r="V139"/>
          <cell r="W139">
            <v>8.3659999999999997</v>
          </cell>
          <cell r="X139"/>
          <cell r="Y139"/>
          <cell r="Z139"/>
          <cell r="AA139"/>
          <cell r="AB139"/>
          <cell r="AC139"/>
          <cell r="AD139"/>
          <cell r="AE139"/>
          <cell r="AF139"/>
          <cell r="AG139"/>
          <cell r="AH139"/>
          <cell r="AI139"/>
          <cell r="AJ139">
            <v>9.0570000000000004</v>
          </cell>
          <cell r="AK139">
            <v>8.92</v>
          </cell>
          <cell r="AL139">
            <v>8.7420000000000009</v>
          </cell>
          <cell r="AM139">
            <v>8.5820000000000007</v>
          </cell>
          <cell r="AN139"/>
          <cell r="AO139"/>
          <cell r="AP139"/>
          <cell r="AQ139"/>
          <cell r="AR139"/>
          <cell r="AS139"/>
          <cell r="AT139"/>
          <cell r="AU139"/>
          <cell r="AV139"/>
          <cell r="AW139"/>
          <cell r="AX139">
            <v>0.72199999999999998</v>
          </cell>
          <cell r="AY139">
            <v>925</v>
          </cell>
          <cell r="AZ139"/>
        </row>
        <row r="140">
          <cell r="A140">
            <v>33298</v>
          </cell>
          <cell r="B140" t="str">
            <v/>
          </cell>
          <cell r="C140" t="str">
            <v/>
          </cell>
          <cell r="D140"/>
          <cell r="E140"/>
          <cell r="F140"/>
          <cell r="G140"/>
          <cell r="H140"/>
          <cell r="I140"/>
          <cell r="J140"/>
          <cell r="K140"/>
          <cell r="L140"/>
          <cell r="M140"/>
          <cell r="N140"/>
          <cell r="O140"/>
          <cell r="P140"/>
          <cell r="Q140"/>
          <cell r="R140"/>
          <cell r="S140"/>
          <cell r="T140"/>
          <cell r="U140"/>
          <cell r="V140"/>
          <cell r="W140">
            <v>8.4019999999999992</v>
          </cell>
          <cell r="X140"/>
          <cell r="Y140"/>
          <cell r="Z140"/>
          <cell r="AA140"/>
          <cell r="AB140"/>
          <cell r="AC140"/>
          <cell r="AD140"/>
          <cell r="AE140"/>
          <cell r="AF140"/>
          <cell r="AG140"/>
          <cell r="AH140"/>
          <cell r="AI140"/>
          <cell r="AJ140">
            <v>9.0649999999999995</v>
          </cell>
          <cell r="AK140">
            <v>8.8650000000000002</v>
          </cell>
          <cell r="AL140">
            <v>8.7539999999999996</v>
          </cell>
          <cell r="AM140">
            <v>8.6020000000000003</v>
          </cell>
          <cell r="AN140"/>
          <cell r="AO140"/>
          <cell r="AP140"/>
          <cell r="AQ140"/>
          <cell r="AR140"/>
          <cell r="AS140"/>
          <cell r="AT140"/>
          <cell r="AU140"/>
          <cell r="AV140"/>
          <cell r="AW140"/>
          <cell r="AX140">
            <v>0.78300000000000003</v>
          </cell>
          <cell r="AY140">
            <v>974</v>
          </cell>
          <cell r="AZ140"/>
        </row>
        <row r="141">
          <cell r="A141">
            <v>33329</v>
          </cell>
          <cell r="B141" t="str">
            <v/>
          </cell>
          <cell r="C141" t="str">
            <v/>
          </cell>
          <cell r="D141"/>
          <cell r="E141"/>
          <cell r="F141"/>
          <cell r="G141"/>
          <cell r="H141"/>
          <cell r="I141"/>
          <cell r="J141"/>
          <cell r="K141"/>
          <cell r="L141"/>
          <cell r="M141"/>
          <cell r="N141"/>
          <cell r="O141"/>
          <cell r="P141"/>
          <cell r="Q141"/>
          <cell r="R141"/>
          <cell r="S141"/>
          <cell r="T141"/>
          <cell r="U141"/>
          <cell r="V141"/>
          <cell r="W141">
            <v>8.3219999999999992</v>
          </cell>
          <cell r="X141"/>
          <cell r="Y141"/>
          <cell r="Z141"/>
          <cell r="AA141"/>
          <cell r="AB141"/>
          <cell r="AC141"/>
          <cell r="AD141"/>
          <cell r="AE141"/>
          <cell r="AF141"/>
          <cell r="AG141"/>
          <cell r="AH141"/>
          <cell r="AI141"/>
          <cell r="AJ141">
            <v>9.1989999999999998</v>
          </cell>
          <cell r="AK141">
            <v>9.0129999999999999</v>
          </cell>
          <cell r="AL141">
            <v>8.8010000000000002</v>
          </cell>
          <cell r="AM141">
            <v>8.5589999999999993</v>
          </cell>
          <cell r="AN141"/>
          <cell r="AO141"/>
          <cell r="AP141"/>
          <cell r="AQ141"/>
          <cell r="AR141"/>
          <cell r="AS141"/>
          <cell r="AT141"/>
          <cell r="AU141"/>
          <cell r="AV141"/>
          <cell r="AW141"/>
          <cell r="AX141">
            <v>0.82599999999999996</v>
          </cell>
          <cell r="AY141">
            <v>1001</v>
          </cell>
          <cell r="AZ141"/>
        </row>
        <row r="142">
          <cell r="A142">
            <v>33359</v>
          </cell>
          <cell r="B142" t="str">
            <v/>
          </cell>
          <cell r="C142" t="str">
            <v/>
          </cell>
          <cell r="D142"/>
          <cell r="E142"/>
          <cell r="F142"/>
          <cell r="G142"/>
          <cell r="H142"/>
          <cell r="I142"/>
          <cell r="J142"/>
          <cell r="K142"/>
          <cell r="L142"/>
          <cell r="M142"/>
          <cell r="N142"/>
          <cell r="O142"/>
          <cell r="P142"/>
          <cell r="Q142"/>
          <cell r="R142"/>
          <cell r="S142"/>
          <cell r="T142"/>
          <cell r="U142"/>
          <cell r="V142"/>
          <cell r="W142">
            <v>8.3490000000000002</v>
          </cell>
          <cell r="X142"/>
          <cell r="Y142"/>
          <cell r="Z142"/>
          <cell r="AA142"/>
          <cell r="AB142"/>
          <cell r="AC142"/>
          <cell r="AD142"/>
          <cell r="AE142"/>
          <cell r="AF142"/>
          <cell r="AG142"/>
          <cell r="AH142"/>
          <cell r="AI142"/>
          <cell r="AJ142">
            <v>9.0609999999999999</v>
          </cell>
          <cell r="AK142">
            <v>8.9250000000000007</v>
          </cell>
          <cell r="AL142">
            <v>8.7669999999999995</v>
          </cell>
          <cell r="AM142">
            <v>8.5419999999999998</v>
          </cell>
          <cell r="AN142"/>
          <cell r="AO142"/>
          <cell r="AP142"/>
          <cell r="AQ142"/>
          <cell r="AR142"/>
          <cell r="AS142"/>
          <cell r="AT142"/>
          <cell r="AU142"/>
          <cell r="AV142"/>
          <cell r="AW142"/>
          <cell r="AX142">
            <v>0.83399999999999996</v>
          </cell>
          <cell r="AY142">
            <v>1019</v>
          </cell>
          <cell r="AZ142"/>
        </row>
        <row r="143">
          <cell r="A143">
            <v>33390</v>
          </cell>
          <cell r="B143" t="str">
            <v/>
          </cell>
          <cell r="C143" t="str">
            <v/>
          </cell>
          <cell r="D143"/>
          <cell r="E143"/>
          <cell r="F143"/>
          <cell r="G143"/>
          <cell r="H143"/>
          <cell r="I143"/>
          <cell r="J143"/>
          <cell r="K143"/>
          <cell r="L143"/>
          <cell r="M143"/>
          <cell r="N143"/>
          <cell r="O143"/>
          <cell r="P143"/>
          <cell r="Q143"/>
          <cell r="R143"/>
          <cell r="S143"/>
          <cell r="T143"/>
          <cell r="U143"/>
          <cell r="V143"/>
          <cell r="W143">
            <v>8.343</v>
          </cell>
          <cell r="X143"/>
          <cell r="Y143"/>
          <cell r="Z143"/>
          <cell r="AA143"/>
          <cell r="AB143"/>
          <cell r="AC143"/>
          <cell r="AD143"/>
          <cell r="AE143"/>
          <cell r="AF143"/>
          <cell r="AG143"/>
          <cell r="AH143"/>
          <cell r="AI143"/>
          <cell r="AJ143">
            <v>9.0749999999999993</v>
          </cell>
          <cell r="AK143">
            <v>8.891</v>
          </cell>
          <cell r="AL143">
            <v>8.7170000000000005</v>
          </cell>
          <cell r="AM143">
            <v>8.51</v>
          </cell>
          <cell r="AN143"/>
          <cell r="AO143"/>
          <cell r="AP143"/>
          <cell r="AQ143"/>
          <cell r="AR143"/>
          <cell r="AS143"/>
          <cell r="AT143"/>
          <cell r="AU143"/>
          <cell r="AV143"/>
          <cell r="AW143"/>
          <cell r="AX143">
            <v>0.86899999999999999</v>
          </cell>
          <cell r="AY143">
            <v>1035</v>
          </cell>
          <cell r="AZ143"/>
        </row>
        <row r="144">
          <cell r="A144">
            <v>33420</v>
          </cell>
          <cell r="B144" t="str">
            <v/>
          </cell>
          <cell r="C144" t="str">
            <v/>
          </cell>
          <cell r="D144"/>
          <cell r="E144"/>
          <cell r="F144"/>
          <cell r="G144"/>
          <cell r="H144"/>
          <cell r="I144"/>
          <cell r="J144"/>
          <cell r="K144"/>
          <cell r="L144"/>
          <cell r="M144"/>
          <cell r="N144"/>
          <cell r="O144"/>
          <cell r="P144"/>
          <cell r="Q144"/>
          <cell r="R144"/>
          <cell r="S144"/>
          <cell r="T144"/>
          <cell r="U144"/>
          <cell r="V144"/>
          <cell r="W144">
            <v>8.5909999999999993</v>
          </cell>
          <cell r="X144"/>
          <cell r="Y144"/>
          <cell r="Z144"/>
          <cell r="AA144"/>
          <cell r="AB144"/>
          <cell r="AC144"/>
          <cell r="AD144"/>
          <cell r="AE144"/>
          <cell r="AF144"/>
          <cell r="AG144"/>
          <cell r="AH144"/>
          <cell r="AI144"/>
          <cell r="AJ144">
            <v>9.3879999999999999</v>
          </cell>
          <cell r="AK144">
            <v>9.2100000000000009</v>
          </cell>
          <cell r="AL144">
            <v>9.0030000000000001</v>
          </cell>
          <cell r="AM144">
            <v>8.7439999999999998</v>
          </cell>
          <cell r="AN144"/>
          <cell r="AO144"/>
          <cell r="AP144"/>
          <cell r="AQ144"/>
          <cell r="AR144"/>
          <cell r="AS144"/>
          <cell r="AT144"/>
          <cell r="AU144"/>
          <cell r="AV144"/>
          <cell r="AW144"/>
          <cell r="AX144">
            <v>0.87</v>
          </cell>
          <cell r="AY144">
            <v>999</v>
          </cell>
          <cell r="AZ144"/>
        </row>
        <row r="145">
          <cell r="A145">
            <v>33451</v>
          </cell>
          <cell r="B145" t="str">
            <v/>
          </cell>
          <cell r="C145" t="str">
            <v/>
          </cell>
          <cell r="D145"/>
          <cell r="E145"/>
          <cell r="F145"/>
          <cell r="G145"/>
          <cell r="H145"/>
          <cell r="I145"/>
          <cell r="J145"/>
          <cell r="K145"/>
          <cell r="L145"/>
          <cell r="M145"/>
          <cell r="N145"/>
          <cell r="O145"/>
          <cell r="P145"/>
          <cell r="Q145"/>
          <cell r="R145"/>
          <cell r="S145"/>
          <cell r="T145"/>
          <cell r="U145"/>
          <cell r="V145"/>
          <cell r="W145">
            <v>8.5419999999999998</v>
          </cell>
          <cell r="X145"/>
          <cell r="Y145"/>
          <cell r="Z145"/>
          <cell r="AA145"/>
          <cell r="AB145"/>
          <cell r="AC145"/>
          <cell r="AD145"/>
          <cell r="AE145"/>
          <cell r="AF145"/>
          <cell r="AG145"/>
          <cell r="AH145"/>
          <cell r="AI145"/>
          <cell r="AJ145">
            <v>9.4550000000000001</v>
          </cell>
          <cell r="AK145">
            <v>9.2490000000000006</v>
          </cell>
          <cell r="AL145">
            <v>9.0190000000000001</v>
          </cell>
          <cell r="AM145">
            <v>8.6980000000000004</v>
          </cell>
          <cell r="AN145"/>
          <cell r="AO145"/>
          <cell r="AP145"/>
          <cell r="AQ145"/>
          <cell r="AR145"/>
          <cell r="AS145"/>
          <cell r="AT145"/>
          <cell r="AU145"/>
          <cell r="AV145"/>
          <cell r="AW145"/>
          <cell r="AX145">
            <v>0.85</v>
          </cell>
          <cell r="AY145">
            <v>1002</v>
          </cell>
          <cell r="AZ145"/>
        </row>
        <row r="146">
          <cell r="A146">
            <v>33482</v>
          </cell>
          <cell r="B146" t="str">
            <v/>
          </cell>
          <cell r="C146" t="str">
            <v/>
          </cell>
          <cell r="D146"/>
          <cell r="E146"/>
          <cell r="F146"/>
          <cell r="G146"/>
          <cell r="H146"/>
          <cell r="I146"/>
          <cell r="J146"/>
          <cell r="K146"/>
          <cell r="L146"/>
          <cell r="M146"/>
          <cell r="N146"/>
          <cell r="O146"/>
          <cell r="P146"/>
          <cell r="Q146"/>
          <cell r="R146"/>
          <cell r="S146"/>
          <cell r="T146"/>
          <cell r="U146"/>
          <cell r="V146"/>
          <cell r="W146">
            <v>8.4130000000000003</v>
          </cell>
          <cell r="X146"/>
          <cell r="Y146"/>
          <cell r="Z146"/>
          <cell r="AA146"/>
          <cell r="AB146"/>
          <cell r="AC146"/>
          <cell r="AD146"/>
          <cell r="AE146"/>
          <cell r="AF146"/>
          <cell r="AG146"/>
          <cell r="AH146"/>
          <cell r="AI146"/>
          <cell r="AJ146">
            <v>9.327</v>
          </cell>
          <cell r="AK146">
            <v>9.1449999999999996</v>
          </cell>
          <cell r="AL146">
            <v>8.8949999999999996</v>
          </cell>
          <cell r="AM146">
            <v>8.5950000000000006</v>
          </cell>
          <cell r="AN146"/>
          <cell r="AO146"/>
          <cell r="AP146"/>
          <cell r="AQ146"/>
          <cell r="AR146"/>
          <cell r="AS146"/>
          <cell r="AT146"/>
          <cell r="AU146"/>
          <cell r="AV146"/>
          <cell r="AW146"/>
          <cell r="AX146">
            <v>0.82799999999999996</v>
          </cell>
          <cell r="AY146">
            <v>1011</v>
          </cell>
          <cell r="AZ146"/>
        </row>
        <row r="147">
          <cell r="A147">
            <v>33512</v>
          </cell>
          <cell r="B147" t="str">
            <v/>
          </cell>
          <cell r="C147" t="str">
            <v/>
          </cell>
          <cell r="D147"/>
          <cell r="E147"/>
          <cell r="F147"/>
          <cell r="G147"/>
          <cell r="H147"/>
          <cell r="I147"/>
          <cell r="J147"/>
          <cell r="K147"/>
          <cell r="L147"/>
          <cell r="M147"/>
          <cell r="N147"/>
          <cell r="O147"/>
          <cell r="P147"/>
          <cell r="Q147"/>
          <cell r="R147"/>
          <cell r="S147"/>
          <cell r="T147"/>
          <cell r="U147"/>
          <cell r="V147"/>
          <cell r="W147">
            <v>8.3070000000000004</v>
          </cell>
          <cell r="X147"/>
          <cell r="Y147"/>
          <cell r="Z147"/>
          <cell r="AA147"/>
          <cell r="AB147"/>
          <cell r="AC147"/>
          <cell r="AD147"/>
          <cell r="AE147"/>
          <cell r="AF147"/>
          <cell r="AG147"/>
          <cell r="AH147"/>
          <cell r="AI147"/>
          <cell r="AJ147">
            <v>9.2769999999999992</v>
          </cell>
          <cell r="AK147">
            <v>9.0739999999999998</v>
          </cell>
          <cell r="AL147">
            <v>8.8510000000000009</v>
          </cell>
          <cell r="AM147">
            <v>8.5069999999999997</v>
          </cell>
          <cell r="AN147"/>
          <cell r="AO147"/>
          <cell r="AP147"/>
          <cell r="AQ147"/>
          <cell r="AR147"/>
          <cell r="AS147"/>
          <cell r="AT147"/>
          <cell r="AU147"/>
          <cell r="AV147"/>
          <cell r="AW147"/>
          <cell r="AX147">
            <v>0.82499999999999996</v>
          </cell>
          <cell r="AY147">
            <v>998</v>
          </cell>
          <cell r="AZ147"/>
        </row>
        <row r="148">
          <cell r="A148">
            <v>33543</v>
          </cell>
          <cell r="B148" t="str">
            <v/>
          </cell>
          <cell r="C148" t="str">
            <v/>
          </cell>
          <cell r="D148"/>
          <cell r="E148"/>
          <cell r="F148"/>
          <cell r="G148"/>
          <cell r="H148"/>
          <cell r="I148"/>
          <cell r="J148"/>
          <cell r="K148"/>
          <cell r="L148"/>
          <cell r="M148"/>
          <cell r="N148"/>
          <cell r="O148"/>
          <cell r="P148"/>
          <cell r="Q148"/>
          <cell r="R148"/>
          <cell r="S148"/>
          <cell r="T148"/>
          <cell r="U148"/>
          <cell r="V148"/>
          <cell r="W148">
            <v>8.2759999999999998</v>
          </cell>
          <cell r="X148"/>
          <cell r="Y148"/>
          <cell r="Z148"/>
          <cell r="AA148"/>
          <cell r="AB148"/>
          <cell r="AC148"/>
          <cell r="AD148"/>
          <cell r="AE148"/>
          <cell r="AF148"/>
          <cell r="AG148"/>
          <cell r="AH148"/>
          <cell r="AI148"/>
          <cell r="AJ148">
            <v>9.25</v>
          </cell>
          <cell r="AK148">
            <v>9.0860000000000003</v>
          </cell>
          <cell r="AL148">
            <v>8.8819999999999997</v>
          </cell>
          <cell r="AM148">
            <v>8.5280000000000005</v>
          </cell>
          <cell r="AN148"/>
          <cell r="AO148"/>
          <cell r="AP148"/>
          <cell r="AQ148"/>
          <cell r="AR148"/>
          <cell r="AS148"/>
          <cell r="AT148"/>
          <cell r="AU148"/>
          <cell r="AV148"/>
          <cell r="AW148"/>
          <cell r="AX148">
            <v>0.79500000000000004</v>
          </cell>
          <cell r="AY148">
            <v>1000</v>
          </cell>
          <cell r="AZ148"/>
        </row>
        <row r="149">
          <cell r="A149">
            <v>33573</v>
          </cell>
          <cell r="B149" t="str">
            <v/>
          </cell>
          <cell r="C149" t="str">
            <v/>
          </cell>
          <cell r="D149"/>
          <cell r="E149"/>
          <cell r="F149"/>
          <cell r="G149"/>
          <cell r="H149"/>
          <cell r="I149"/>
          <cell r="J149"/>
          <cell r="K149"/>
          <cell r="L149"/>
          <cell r="M149"/>
          <cell r="N149"/>
          <cell r="O149"/>
          <cell r="P149"/>
          <cell r="Q149"/>
          <cell r="R149"/>
          <cell r="S149"/>
          <cell r="T149"/>
          <cell r="U149"/>
          <cell r="V149"/>
          <cell r="W149">
            <v>8.1959999999999997</v>
          </cell>
          <cell r="X149"/>
          <cell r="Y149"/>
          <cell r="Z149"/>
          <cell r="AA149"/>
          <cell r="AB149"/>
          <cell r="AC149"/>
          <cell r="AD149"/>
          <cell r="AE149"/>
          <cell r="AF149"/>
          <cell r="AG149"/>
          <cell r="AH149"/>
          <cell r="AI149"/>
          <cell r="AJ149">
            <v>9.2840000000000007</v>
          </cell>
          <cell r="AK149">
            <v>9.0739999999999998</v>
          </cell>
          <cell r="AL149">
            <v>8.8520000000000003</v>
          </cell>
          <cell r="AM149">
            <v>8.4529999999999994</v>
          </cell>
          <cell r="AN149"/>
          <cell r="AO149"/>
          <cell r="AP149"/>
          <cell r="AQ149"/>
          <cell r="AR149"/>
          <cell r="AS149"/>
          <cell r="AT149"/>
          <cell r="AU149"/>
          <cell r="AV149"/>
          <cell r="AW149"/>
          <cell r="AX149">
            <v>0.76700000000000002</v>
          </cell>
          <cell r="AY149">
            <v>977</v>
          </cell>
          <cell r="AZ149"/>
        </row>
        <row r="150">
          <cell r="A150">
            <v>33604</v>
          </cell>
          <cell r="B150" t="str">
            <v/>
          </cell>
          <cell r="C150" t="str">
            <v/>
          </cell>
          <cell r="D150"/>
          <cell r="E150"/>
          <cell r="F150"/>
          <cell r="G150"/>
          <cell r="H150"/>
          <cell r="I150"/>
          <cell r="J150"/>
          <cell r="K150"/>
          <cell r="L150"/>
          <cell r="M150"/>
          <cell r="N150"/>
          <cell r="O150"/>
          <cell r="P150"/>
          <cell r="Q150"/>
          <cell r="R150"/>
          <cell r="S150"/>
          <cell r="T150"/>
          <cell r="U150"/>
          <cell r="V150"/>
          <cell r="W150">
            <v>7.9349999999999996</v>
          </cell>
          <cell r="X150"/>
          <cell r="Y150"/>
          <cell r="Z150"/>
          <cell r="AA150"/>
          <cell r="AB150"/>
          <cell r="AC150"/>
          <cell r="AD150"/>
          <cell r="AE150"/>
          <cell r="AF150"/>
          <cell r="AG150"/>
          <cell r="AH150"/>
          <cell r="AI150"/>
          <cell r="AJ150">
            <v>8.9529999999999994</v>
          </cell>
          <cell r="AK150">
            <v>8.7170000000000005</v>
          </cell>
          <cell r="AL150">
            <v>8.4339999999999993</v>
          </cell>
          <cell r="AM150">
            <v>8.1940000000000008</v>
          </cell>
          <cell r="AN150"/>
          <cell r="AO150"/>
          <cell r="AP150"/>
          <cell r="AQ150"/>
          <cell r="AR150"/>
          <cell r="AS150"/>
          <cell r="AT150"/>
          <cell r="AU150"/>
          <cell r="AV150"/>
          <cell r="AW150"/>
          <cell r="AX150">
            <v>0.77100000000000002</v>
          </cell>
          <cell r="AY150">
            <v>1033</v>
          </cell>
          <cell r="AZ150"/>
        </row>
        <row r="151">
          <cell r="A151">
            <v>33635</v>
          </cell>
          <cell r="B151" t="str">
            <v/>
          </cell>
          <cell r="C151" t="str">
            <v/>
          </cell>
          <cell r="D151"/>
          <cell r="E151"/>
          <cell r="F151"/>
          <cell r="G151"/>
          <cell r="H151"/>
          <cell r="I151"/>
          <cell r="J151"/>
          <cell r="K151"/>
          <cell r="L151"/>
          <cell r="M151"/>
          <cell r="N151"/>
          <cell r="O151"/>
          <cell r="P151"/>
          <cell r="Q151"/>
          <cell r="R151"/>
          <cell r="S151"/>
          <cell r="T151"/>
          <cell r="U151"/>
          <cell r="V151"/>
          <cell r="W151">
            <v>7.8849999999999998</v>
          </cell>
          <cell r="X151"/>
          <cell r="Y151"/>
          <cell r="Z151"/>
          <cell r="AA151"/>
          <cell r="AB151"/>
          <cell r="AC151"/>
          <cell r="AD151"/>
          <cell r="AE151"/>
          <cell r="AF151"/>
          <cell r="AG151"/>
          <cell r="AH151"/>
          <cell r="AI151"/>
          <cell r="AJ151">
            <v>8.9640000000000004</v>
          </cell>
          <cell r="AK151">
            <v>8.6170000000000009</v>
          </cell>
          <cell r="AL151">
            <v>8.3109999999999999</v>
          </cell>
          <cell r="AM151">
            <v>8.1050000000000004</v>
          </cell>
          <cell r="AN151"/>
          <cell r="AO151"/>
          <cell r="AP151"/>
          <cell r="AQ151"/>
          <cell r="AR151"/>
          <cell r="AS151"/>
          <cell r="AT151"/>
          <cell r="AU151"/>
          <cell r="AV151"/>
          <cell r="AW151"/>
          <cell r="AX151">
            <v>0.79200000000000004</v>
          </cell>
          <cell r="AY151">
            <v>1060</v>
          </cell>
          <cell r="AZ151"/>
        </row>
        <row r="152">
          <cell r="A152">
            <v>33664</v>
          </cell>
          <cell r="B152" t="str">
            <v/>
          </cell>
          <cell r="C152" t="str">
            <v/>
          </cell>
          <cell r="D152"/>
          <cell r="E152"/>
          <cell r="F152"/>
          <cell r="G152"/>
          <cell r="H152"/>
          <cell r="I152"/>
          <cell r="J152"/>
          <cell r="K152"/>
          <cell r="L152"/>
          <cell r="M152"/>
          <cell r="N152"/>
          <cell r="O152"/>
          <cell r="P152"/>
          <cell r="Q152"/>
          <cell r="R152"/>
          <cell r="S152"/>
          <cell r="T152"/>
          <cell r="U152"/>
          <cell r="V152"/>
          <cell r="W152">
            <v>7.9409999999999998</v>
          </cell>
          <cell r="X152"/>
          <cell r="Y152"/>
          <cell r="Z152"/>
          <cell r="AA152"/>
          <cell r="AB152"/>
          <cell r="AC152"/>
          <cell r="AD152"/>
          <cell r="AE152"/>
          <cell r="AF152"/>
          <cell r="AG152"/>
          <cell r="AH152"/>
          <cell r="AI152"/>
          <cell r="AJ152">
            <v>9.2070000000000007</v>
          </cell>
          <cell r="AK152">
            <v>8.8059999999999992</v>
          </cell>
          <cell r="AL152">
            <v>8.4610000000000003</v>
          </cell>
          <cell r="AM152">
            <v>8.1470000000000002</v>
          </cell>
          <cell r="AN152"/>
          <cell r="AO152"/>
          <cell r="AP152"/>
          <cell r="AQ152"/>
          <cell r="AR152"/>
          <cell r="AS152"/>
          <cell r="AT152"/>
          <cell r="AU152"/>
          <cell r="AV152"/>
          <cell r="AW152"/>
          <cell r="AX152">
            <v>0.81299999999999994</v>
          </cell>
          <cell r="AY152">
            <v>1071</v>
          </cell>
          <cell r="AZ152"/>
        </row>
        <row r="153">
          <cell r="A153">
            <v>33695</v>
          </cell>
          <cell r="B153" t="str">
            <v/>
          </cell>
          <cell r="C153" t="str">
            <v/>
          </cell>
          <cell r="D153"/>
          <cell r="E153"/>
          <cell r="F153"/>
          <cell r="G153"/>
          <cell r="H153"/>
          <cell r="I153"/>
          <cell r="J153"/>
          <cell r="K153"/>
          <cell r="L153"/>
          <cell r="M153"/>
          <cell r="N153"/>
          <cell r="O153"/>
          <cell r="P153"/>
          <cell r="Q153"/>
          <cell r="R153"/>
          <cell r="S153"/>
          <cell r="T153"/>
          <cell r="U153"/>
          <cell r="V153"/>
          <cell r="W153">
            <v>7.9420000000000002</v>
          </cell>
          <cell r="X153"/>
          <cell r="Y153"/>
          <cell r="Z153"/>
          <cell r="AA153"/>
          <cell r="AB153"/>
          <cell r="AC153"/>
          <cell r="AD153"/>
          <cell r="AE153"/>
          <cell r="AF153"/>
          <cell r="AG153"/>
          <cell r="AH153"/>
          <cell r="AI153"/>
          <cell r="AJ153">
            <v>9.2590000000000003</v>
          </cell>
          <cell r="AK153">
            <v>8.9540000000000006</v>
          </cell>
          <cell r="AL153">
            <v>8.56</v>
          </cell>
          <cell r="AM153">
            <v>8.2029999999999994</v>
          </cell>
          <cell r="AN153"/>
          <cell r="AO153"/>
          <cell r="AP153"/>
          <cell r="AQ153"/>
          <cell r="AR153"/>
          <cell r="AS153"/>
          <cell r="AT153"/>
          <cell r="AU153"/>
          <cell r="AV153"/>
          <cell r="AW153"/>
          <cell r="AX153">
            <v>0.80500000000000005</v>
          </cell>
          <cell r="AY153">
            <v>1072</v>
          </cell>
          <cell r="AZ153"/>
        </row>
        <row r="154">
          <cell r="A154">
            <v>33725</v>
          </cell>
          <cell r="B154" t="str">
            <v/>
          </cell>
          <cell r="C154" t="str">
            <v/>
          </cell>
          <cell r="D154"/>
          <cell r="E154"/>
          <cell r="F154"/>
          <cell r="G154"/>
          <cell r="H154"/>
          <cell r="I154"/>
          <cell r="J154"/>
          <cell r="K154"/>
          <cell r="L154"/>
          <cell r="M154"/>
          <cell r="N154"/>
          <cell r="O154"/>
          <cell r="P154"/>
          <cell r="Q154"/>
          <cell r="R154"/>
          <cell r="S154"/>
          <cell r="T154"/>
          <cell r="U154"/>
          <cell r="V154"/>
          <cell r="W154">
            <v>7.9610000000000003</v>
          </cell>
          <cell r="X154"/>
          <cell r="Y154"/>
          <cell r="Z154"/>
          <cell r="AA154"/>
          <cell r="AB154"/>
          <cell r="AC154"/>
          <cell r="AD154"/>
          <cell r="AE154"/>
          <cell r="AF154"/>
          <cell r="AG154"/>
          <cell r="AH154"/>
          <cell r="AI154"/>
          <cell r="AJ154">
            <v>9.3469999999999995</v>
          </cell>
          <cell r="AK154">
            <v>9.0679999999999996</v>
          </cell>
          <cell r="AL154">
            <v>8.6519999999999992</v>
          </cell>
          <cell r="AM154">
            <v>8.27</v>
          </cell>
          <cell r="AN154"/>
          <cell r="AO154"/>
          <cell r="AP154"/>
          <cell r="AQ154"/>
          <cell r="AR154"/>
          <cell r="AS154"/>
          <cell r="AT154"/>
          <cell r="AU154"/>
          <cell r="AV154"/>
          <cell r="AW154"/>
          <cell r="AX154">
            <v>0.79</v>
          </cell>
          <cell r="AY154">
            <v>1093</v>
          </cell>
          <cell r="AZ154"/>
        </row>
        <row r="155">
          <cell r="A155">
            <v>33756</v>
          </cell>
          <cell r="B155" t="str">
            <v/>
          </cell>
          <cell r="C155" t="str">
            <v/>
          </cell>
          <cell r="D155"/>
          <cell r="E155"/>
          <cell r="F155"/>
          <cell r="G155"/>
          <cell r="H155"/>
          <cell r="I155"/>
          <cell r="J155"/>
          <cell r="K155"/>
          <cell r="L155"/>
          <cell r="M155"/>
          <cell r="N155"/>
          <cell r="O155"/>
          <cell r="P155"/>
          <cell r="Q155"/>
          <cell r="R155"/>
          <cell r="S155"/>
          <cell r="T155"/>
          <cell r="U155"/>
          <cell r="V155"/>
          <cell r="W155">
            <v>8.1210000000000004</v>
          </cell>
          <cell r="X155"/>
          <cell r="Y155"/>
          <cell r="Z155"/>
          <cell r="AA155"/>
          <cell r="AB155"/>
          <cell r="AC155"/>
          <cell r="AD155"/>
          <cell r="AE155"/>
          <cell r="AF155"/>
          <cell r="AG155"/>
          <cell r="AH155"/>
          <cell r="AI155"/>
          <cell r="AJ155">
            <v>9.3140000000000001</v>
          </cell>
          <cell r="AK155">
            <v>9.0670000000000002</v>
          </cell>
          <cell r="AL155">
            <v>8.6989999999999998</v>
          </cell>
          <cell r="AM155">
            <v>8.3059999999999992</v>
          </cell>
          <cell r="AN155"/>
          <cell r="AO155"/>
          <cell r="AP155"/>
          <cell r="AQ155"/>
          <cell r="AR155"/>
          <cell r="AS155"/>
          <cell r="AT155"/>
          <cell r="AU155"/>
          <cell r="AV155"/>
          <cell r="AW155"/>
          <cell r="AX155">
            <v>0.76800000000000002</v>
          </cell>
          <cell r="AY155">
            <v>1077</v>
          </cell>
          <cell r="AZ155"/>
        </row>
        <row r="156">
          <cell r="A156">
            <v>33786</v>
          </cell>
          <cell r="B156" t="str">
            <v/>
          </cell>
          <cell r="C156" t="str">
            <v/>
          </cell>
          <cell r="D156"/>
          <cell r="E156"/>
          <cell r="F156"/>
          <cell r="G156"/>
          <cell r="H156"/>
          <cell r="I156"/>
          <cell r="J156"/>
          <cell r="K156"/>
          <cell r="L156"/>
          <cell r="M156"/>
          <cell r="N156"/>
          <cell r="O156"/>
          <cell r="P156"/>
          <cell r="Q156"/>
          <cell r="R156"/>
          <cell r="S156"/>
          <cell r="T156"/>
          <cell r="U156"/>
          <cell r="V156"/>
          <cell r="W156">
            <v>8.1379999999999999</v>
          </cell>
          <cell r="X156"/>
          <cell r="Y156"/>
          <cell r="Z156"/>
          <cell r="AA156"/>
          <cell r="AB156"/>
          <cell r="AC156"/>
          <cell r="AD156"/>
          <cell r="AE156"/>
          <cell r="AF156"/>
          <cell r="AG156"/>
          <cell r="AH156"/>
          <cell r="AI156"/>
          <cell r="AJ156">
            <v>9.4009999999999998</v>
          </cell>
          <cell r="AK156">
            <v>9.1080000000000005</v>
          </cell>
          <cell r="AL156">
            <v>8.7059999999999995</v>
          </cell>
          <cell r="AM156">
            <v>8.3059999999999992</v>
          </cell>
          <cell r="AN156"/>
          <cell r="AO156"/>
          <cell r="AP156"/>
          <cell r="AQ156"/>
          <cell r="AR156"/>
          <cell r="AS156"/>
          <cell r="AT156"/>
          <cell r="AU156"/>
          <cell r="AV156"/>
          <cell r="AW156"/>
          <cell r="AX156">
            <v>0.73</v>
          </cell>
          <cell r="AY156">
            <v>1023</v>
          </cell>
          <cell r="AZ156"/>
        </row>
        <row r="157">
          <cell r="A157">
            <v>33817</v>
          </cell>
          <cell r="B157" t="str">
            <v/>
          </cell>
          <cell r="C157" t="str">
            <v/>
          </cell>
          <cell r="D157"/>
          <cell r="E157"/>
          <cell r="F157"/>
          <cell r="G157"/>
          <cell r="H157"/>
          <cell r="I157"/>
          <cell r="J157"/>
          <cell r="K157"/>
          <cell r="L157"/>
          <cell r="M157"/>
          <cell r="N157"/>
          <cell r="O157"/>
          <cell r="P157"/>
          <cell r="Q157"/>
          <cell r="R157"/>
          <cell r="S157"/>
          <cell r="T157"/>
          <cell r="U157"/>
          <cell r="V157"/>
          <cell r="W157">
            <v>7.9870000000000001</v>
          </cell>
          <cell r="X157"/>
          <cell r="Y157"/>
          <cell r="Z157"/>
          <cell r="AA157"/>
          <cell r="AB157"/>
          <cell r="AC157"/>
          <cell r="AD157"/>
          <cell r="AE157"/>
          <cell r="AF157"/>
          <cell r="AG157"/>
          <cell r="AH157"/>
          <cell r="AI157"/>
          <cell r="AJ157">
            <v>9.4890000000000008</v>
          </cell>
          <cell r="AK157">
            <v>9.173</v>
          </cell>
          <cell r="AL157">
            <v>8.7520000000000007</v>
          </cell>
          <cell r="AM157">
            <v>8.3279999999999994</v>
          </cell>
          <cell r="AN157"/>
          <cell r="AO157"/>
          <cell r="AP157"/>
          <cell r="AQ157"/>
          <cell r="AR157"/>
          <cell r="AS157"/>
          <cell r="AT157"/>
          <cell r="AU157"/>
          <cell r="AV157"/>
          <cell r="AW157"/>
          <cell r="AX157">
            <v>0.71299999999999997</v>
          </cell>
          <cell r="AY157">
            <v>963</v>
          </cell>
          <cell r="AZ157"/>
        </row>
        <row r="158">
          <cell r="A158">
            <v>33848</v>
          </cell>
          <cell r="B158" t="str">
            <v/>
          </cell>
          <cell r="C158" t="str">
            <v/>
          </cell>
          <cell r="D158"/>
          <cell r="E158"/>
          <cell r="F158"/>
          <cell r="G158"/>
          <cell r="H158"/>
          <cell r="I158"/>
          <cell r="J158"/>
          <cell r="K158"/>
          <cell r="L158"/>
          <cell r="M158"/>
          <cell r="N158"/>
          <cell r="O158"/>
          <cell r="P158"/>
          <cell r="Q158"/>
          <cell r="R158"/>
          <cell r="S158"/>
          <cell r="T158"/>
          <cell r="U158"/>
          <cell r="V158"/>
          <cell r="W158">
            <v>7.6470000000000002</v>
          </cell>
          <cell r="X158"/>
          <cell r="Y158"/>
          <cell r="Z158"/>
          <cell r="AA158"/>
          <cell r="AB158"/>
          <cell r="AC158"/>
          <cell r="AD158"/>
          <cell r="AE158"/>
          <cell r="AF158"/>
          <cell r="AG158"/>
          <cell r="AH158"/>
          <cell r="AI158"/>
          <cell r="AJ158">
            <v>8.6549999999999994</v>
          </cell>
          <cell r="AK158">
            <v>8.4529999999999994</v>
          </cell>
          <cell r="AL158">
            <v>8.2449999999999992</v>
          </cell>
          <cell r="AM158">
            <v>8.0340000000000007</v>
          </cell>
          <cell r="AN158"/>
          <cell r="AO158"/>
          <cell r="AP158"/>
          <cell r="AQ158"/>
          <cell r="AR158"/>
          <cell r="AS158"/>
          <cell r="AT158"/>
          <cell r="AU158"/>
          <cell r="AV158"/>
          <cell r="AW158"/>
          <cell r="AX158">
            <v>0.72099999999999997</v>
          </cell>
          <cell r="AY158">
            <v>984</v>
          </cell>
          <cell r="AZ158"/>
        </row>
        <row r="159">
          <cell r="A159">
            <v>33878</v>
          </cell>
          <cell r="B159" t="str">
            <v/>
          </cell>
          <cell r="C159" t="str">
            <v/>
          </cell>
          <cell r="D159"/>
          <cell r="E159"/>
          <cell r="F159"/>
          <cell r="G159"/>
          <cell r="H159"/>
          <cell r="I159"/>
          <cell r="J159"/>
          <cell r="K159"/>
          <cell r="L159"/>
          <cell r="M159"/>
          <cell r="N159"/>
          <cell r="O159"/>
          <cell r="P159"/>
          <cell r="Q159"/>
          <cell r="R159"/>
          <cell r="S159"/>
          <cell r="T159"/>
          <cell r="U159"/>
          <cell r="V159"/>
          <cell r="W159">
            <v>7.383</v>
          </cell>
          <cell r="X159"/>
          <cell r="Y159"/>
          <cell r="Z159"/>
          <cell r="AA159"/>
          <cell r="AB159"/>
          <cell r="AC159"/>
          <cell r="AD159"/>
          <cell r="AE159"/>
          <cell r="AF159"/>
          <cell r="AG159"/>
          <cell r="AH159"/>
          <cell r="AI159"/>
          <cell r="AJ159">
            <v>7.625</v>
          </cell>
          <cell r="AK159">
            <v>7.5419999999999998</v>
          </cell>
          <cell r="AL159">
            <v>7.5369999999999999</v>
          </cell>
          <cell r="AM159">
            <v>7.6630000000000003</v>
          </cell>
          <cell r="AN159"/>
          <cell r="AO159"/>
          <cell r="AP159"/>
          <cell r="AQ159"/>
          <cell r="AR159"/>
          <cell r="AS159"/>
          <cell r="AT159"/>
          <cell r="AU159"/>
          <cell r="AV159"/>
          <cell r="AW159"/>
          <cell r="AX159">
            <v>0.755</v>
          </cell>
          <cell r="AY159">
            <v>962</v>
          </cell>
          <cell r="AZ159"/>
        </row>
        <row r="160">
          <cell r="A160">
            <v>33909</v>
          </cell>
          <cell r="B160" t="str">
            <v/>
          </cell>
          <cell r="C160" t="str">
            <v/>
          </cell>
          <cell r="D160"/>
          <cell r="E160"/>
          <cell r="F160"/>
          <cell r="G160"/>
          <cell r="H160"/>
          <cell r="I160"/>
          <cell r="J160"/>
          <cell r="K160"/>
          <cell r="L160"/>
          <cell r="M160"/>
          <cell r="N160"/>
          <cell r="O160"/>
          <cell r="P160"/>
          <cell r="Q160"/>
          <cell r="R160"/>
          <cell r="S160"/>
          <cell r="T160"/>
          <cell r="U160"/>
          <cell r="V160"/>
          <cell r="W160">
            <v>7.3129999999999997</v>
          </cell>
          <cell r="X160"/>
          <cell r="Y160"/>
          <cell r="Z160"/>
          <cell r="AA160"/>
          <cell r="AB160"/>
          <cell r="AC160"/>
          <cell r="AD160"/>
          <cell r="AE160"/>
          <cell r="AF160"/>
          <cell r="AG160"/>
          <cell r="AH160"/>
          <cell r="AI160"/>
          <cell r="AJ160">
            <v>7.4119999999999999</v>
          </cell>
          <cell r="AK160">
            <v>7.2949999999999999</v>
          </cell>
          <cell r="AL160">
            <v>7.3120000000000003</v>
          </cell>
          <cell r="AM160">
            <v>7.5220000000000002</v>
          </cell>
          <cell r="AN160"/>
          <cell r="AO160"/>
          <cell r="AP160"/>
          <cell r="AQ160"/>
          <cell r="AR160"/>
          <cell r="AS160"/>
          <cell r="AT160"/>
          <cell r="AU160"/>
          <cell r="AV160"/>
          <cell r="AW160"/>
          <cell r="AX160">
            <v>0.80700000000000005</v>
          </cell>
          <cell r="AY160">
            <v>998</v>
          </cell>
          <cell r="AZ160"/>
        </row>
        <row r="161">
          <cell r="A161">
            <v>33939</v>
          </cell>
          <cell r="B161" t="str">
            <v/>
          </cell>
          <cell r="C161" t="str">
            <v/>
          </cell>
          <cell r="D161"/>
          <cell r="E161"/>
          <cell r="F161"/>
          <cell r="G161"/>
          <cell r="H161"/>
          <cell r="I161"/>
          <cell r="J161"/>
          <cell r="K161"/>
          <cell r="L161"/>
          <cell r="M161"/>
          <cell r="N161"/>
          <cell r="O161"/>
          <cell r="P161"/>
          <cell r="Q161"/>
          <cell r="R161"/>
          <cell r="S161"/>
          <cell r="T161"/>
          <cell r="U161"/>
          <cell r="V161"/>
          <cell r="W161">
            <v>7.2930000000000001</v>
          </cell>
          <cell r="X161"/>
          <cell r="Y161"/>
          <cell r="Z161"/>
          <cell r="AA161"/>
          <cell r="AB161"/>
          <cell r="AC161"/>
          <cell r="AD161"/>
          <cell r="AE161"/>
          <cell r="AF161"/>
          <cell r="AG161"/>
          <cell r="AH161"/>
          <cell r="AI161"/>
          <cell r="AJ161">
            <v>7.4119999999999999</v>
          </cell>
          <cell r="AK161">
            <v>7.2709999999999999</v>
          </cell>
          <cell r="AL161">
            <v>7.2649999999999997</v>
          </cell>
          <cell r="AM161">
            <v>7.4779999999999998</v>
          </cell>
          <cell r="AN161"/>
          <cell r="AO161"/>
          <cell r="AP161"/>
          <cell r="AQ161"/>
          <cell r="AR161"/>
          <cell r="AS161"/>
          <cell r="AT161"/>
          <cell r="AU161"/>
          <cell r="AV161"/>
          <cell r="AW161"/>
          <cell r="AX161">
            <v>0.80700000000000005</v>
          </cell>
          <cell r="AY161">
            <v>1010</v>
          </cell>
          <cell r="AZ161"/>
        </row>
        <row r="162">
          <cell r="A162">
            <v>33970</v>
          </cell>
          <cell r="B162" t="str">
            <v/>
          </cell>
          <cell r="C162" t="str">
            <v/>
          </cell>
          <cell r="D162"/>
          <cell r="E162"/>
          <cell r="F162"/>
          <cell r="G162"/>
          <cell r="H162"/>
          <cell r="I162"/>
          <cell r="J162"/>
          <cell r="K162"/>
          <cell r="L162"/>
          <cell r="M162"/>
          <cell r="N162"/>
          <cell r="O162"/>
          <cell r="P162"/>
          <cell r="Q162"/>
          <cell r="R162"/>
          <cell r="S162"/>
          <cell r="T162"/>
          <cell r="U162"/>
          <cell r="V162"/>
          <cell r="W162">
            <v>7.1609999999999996</v>
          </cell>
          <cell r="X162"/>
          <cell r="Y162"/>
          <cell r="Z162"/>
          <cell r="AA162"/>
          <cell r="AB162"/>
          <cell r="AC162"/>
          <cell r="AD162"/>
          <cell r="AE162"/>
          <cell r="AF162"/>
          <cell r="AG162"/>
          <cell r="AH162"/>
          <cell r="AI162"/>
          <cell r="AJ162">
            <v>7.07</v>
          </cell>
          <cell r="AK162">
            <v>6.9530000000000003</v>
          </cell>
          <cell r="AL162">
            <v>6.96</v>
          </cell>
          <cell r="AM162">
            <v>7.2</v>
          </cell>
          <cell r="AN162"/>
          <cell r="AO162"/>
          <cell r="AP162"/>
          <cell r="AQ162"/>
          <cell r="AR162"/>
          <cell r="AS162"/>
          <cell r="AT162"/>
          <cell r="AU162"/>
          <cell r="AV162"/>
          <cell r="AW162"/>
          <cell r="AX162">
            <v>0.82499999999999996</v>
          </cell>
          <cell r="AY162">
            <v>1036</v>
          </cell>
          <cell r="AZ162"/>
        </row>
        <row r="163">
          <cell r="A163">
            <v>34001</v>
          </cell>
          <cell r="B163" t="str">
            <v/>
          </cell>
          <cell r="C163" t="str">
            <v/>
          </cell>
          <cell r="D163"/>
          <cell r="E163"/>
          <cell r="F163"/>
          <cell r="G163"/>
          <cell r="H163"/>
          <cell r="I163"/>
          <cell r="J163"/>
          <cell r="K163"/>
          <cell r="L163"/>
          <cell r="M163"/>
          <cell r="N163"/>
          <cell r="O163"/>
          <cell r="P163"/>
          <cell r="Q163"/>
          <cell r="R163"/>
          <cell r="S163"/>
          <cell r="T163"/>
          <cell r="U163"/>
          <cell r="V163"/>
          <cell r="W163">
            <v>6.9320000000000004</v>
          </cell>
          <cell r="X163"/>
          <cell r="Y163"/>
          <cell r="Z163"/>
          <cell r="AA163"/>
          <cell r="AB163"/>
          <cell r="AC163"/>
          <cell r="AD163"/>
          <cell r="AE163"/>
          <cell r="AF163"/>
          <cell r="AG163"/>
          <cell r="AH163"/>
          <cell r="AI163"/>
          <cell r="AJ163">
            <v>6.8230000000000004</v>
          </cell>
          <cell r="AK163">
            <v>6.6829999999999998</v>
          </cell>
          <cell r="AL163">
            <v>6.6970000000000001</v>
          </cell>
          <cell r="AM163">
            <v>7.0179999999999998</v>
          </cell>
          <cell r="AN163"/>
          <cell r="AO163"/>
          <cell r="AP163"/>
          <cell r="AQ163"/>
          <cell r="AR163"/>
          <cell r="AS163"/>
          <cell r="AT163"/>
          <cell r="AU163"/>
          <cell r="AV163"/>
          <cell r="AW163"/>
          <cell r="AX163">
            <v>0.84599999999999997</v>
          </cell>
          <cell r="AY163">
            <v>1098</v>
          </cell>
          <cell r="AZ163"/>
        </row>
        <row r="164">
          <cell r="A164">
            <v>34029</v>
          </cell>
          <cell r="B164" t="str">
            <v/>
          </cell>
          <cell r="C164" t="str">
            <v/>
          </cell>
          <cell r="D164"/>
          <cell r="E164"/>
          <cell r="F164"/>
          <cell r="G164"/>
          <cell r="H164"/>
          <cell r="I164"/>
          <cell r="J164"/>
          <cell r="K164"/>
          <cell r="L164"/>
          <cell r="M164"/>
          <cell r="N164"/>
          <cell r="O164"/>
          <cell r="P164"/>
          <cell r="Q164"/>
          <cell r="R164"/>
          <cell r="S164"/>
          <cell r="T164"/>
          <cell r="U164"/>
          <cell r="V164"/>
          <cell r="W164">
            <v>6.6310000000000002</v>
          </cell>
          <cell r="X164"/>
          <cell r="Y164"/>
          <cell r="Z164"/>
          <cell r="AA164"/>
          <cell r="AB164"/>
          <cell r="AC164"/>
          <cell r="AD164"/>
          <cell r="AE164"/>
          <cell r="AF164"/>
          <cell r="AG164"/>
          <cell r="AH164"/>
          <cell r="AI164"/>
          <cell r="AJ164">
            <v>6.34</v>
          </cell>
          <cell r="AK164">
            <v>6.2670000000000003</v>
          </cell>
          <cell r="AL164">
            <v>6.3920000000000003</v>
          </cell>
          <cell r="AM164">
            <v>6.7409999999999997</v>
          </cell>
          <cell r="AN164"/>
          <cell r="AO164"/>
          <cell r="AP164"/>
          <cell r="AQ164"/>
          <cell r="AR164"/>
          <cell r="AS164"/>
          <cell r="AT164"/>
          <cell r="AU164"/>
          <cell r="AV164"/>
          <cell r="AW164"/>
          <cell r="AX164">
            <v>0.84799999999999998</v>
          </cell>
          <cell r="AY164">
            <v>1136</v>
          </cell>
          <cell r="AZ164"/>
        </row>
        <row r="165">
          <cell r="A165">
            <v>34060</v>
          </cell>
          <cell r="B165" t="str">
            <v/>
          </cell>
          <cell r="C165" t="str">
            <v/>
          </cell>
          <cell r="D165"/>
          <cell r="E165"/>
          <cell r="F165"/>
          <cell r="G165"/>
          <cell r="H165"/>
          <cell r="I165"/>
          <cell r="J165"/>
          <cell r="K165"/>
          <cell r="L165"/>
          <cell r="M165"/>
          <cell r="N165"/>
          <cell r="O165"/>
          <cell r="P165"/>
          <cell r="Q165"/>
          <cell r="R165"/>
          <cell r="S165"/>
          <cell r="T165"/>
          <cell r="U165"/>
          <cell r="V165"/>
          <cell r="W165">
            <v>6.66</v>
          </cell>
          <cell r="X165"/>
          <cell r="Y165"/>
          <cell r="Z165"/>
          <cell r="AA165"/>
          <cell r="AB165"/>
          <cell r="AC165"/>
          <cell r="AD165"/>
          <cell r="AE165"/>
          <cell r="AF165"/>
          <cell r="AG165"/>
          <cell r="AH165"/>
          <cell r="AI165"/>
          <cell r="AJ165">
            <v>6.3810000000000002</v>
          </cell>
          <cell r="AK165">
            <v>6.3689999999999998</v>
          </cell>
          <cell r="AL165">
            <v>6.5049999999999999</v>
          </cell>
          <cell r="AM165">
            <v>6.8319999999999999</v>
          </cell>
          <cell r="AN165"/>
          <cell r="AO165"/>
          <cell r="AP165"/>
          <cell r="AQ165"/>
          <cell r="AR165"/>
          <cell r="AS165"/>
          <cell r="AT165"/>
          <cell r="AU165"/>
          <cell r="AV165"/>
          <cell r="AW165"/>
          <cell r="AX165">
            <v>0.82</v>
          </cell>
          <cell r="AY165">
            <v>1128</v>
          </cell>
          <cell r="AZ165"/>
        </row>
        <row r="166">
          <cell r="A166">
            <v>34090</v>
          </cell>
          <cell r="B166" t="str">
            <v/>
          </cell>
          <cell r="C166" t="str">
            <v/>
          </cell>
          <cell r="D166"/>
          <cell r="E166"/>
          <cell r="F166"/>
          <cell r="G166"/>
          <cell r="H166"/>
          <cell r="I166"/>
          <cell r="J166"/>
          <cell r="K166"/>
          <cell r="L166"/>
          <cell r="M166"/>
          <cell r="N166"/>
          <cell r="O166"/>
          <cell r="P166"/>
          <cell r="Q166"/>
          <cell r="R166"/>
          <cell r="S166"/>
          <cell r="T166"/>
          <cell r="U166"/>
          <cell r="V166"/>
          <cell r="W166">
            <v>6.8019999999999996</v>
          </cell>
          <cell r="X166"/>
          <cell r="Y166"/>
          <cell r="Z166"/>
          <cell r="AA166"/>
          <cell r="AB166"/>
          <cell r="AC166"/>
          <cell r="AD166"/>
          <cell r="AE166"/>
          <cell r="AF166"/>
          <cell r="AG166"/>
          <cell r="AH166"/>
          <cell r="AI166"/>
          <cell r="AJ166">
            <v>6.3289999999999997</v>
          </cell>
          <cell r="AK166">
            <v>6.3330000000000002</v>
          </cell>
          <cell r="AL166">
            <v>6.5410000000000004</v>
          </cell>
          <cell r="AM166">
            <v>6.95</v>
          </cell>
          <cell r="AN166"/>
          <cell r="AO166"/>
          <cell r="AP166"/>
          <cell r="AQ166"/>
          <cell r="AR166"/>
          <cell r="AS166"/>
          <cell r="AT166"/>
          <cell r="AU166"/>
          <cell r="AV166"/>
          <cell r="AW166"/>
          <cell r="AX166">
            <v>0.82199999999999995</v>
          </cell>
          <cell r="AY166">
            <v>1111</v>
          </cell>
          <cell r="AZ166"/>
        </row>
        <row r="167">
          <cell r="A167">
            <v>34121</v>
          </cell>
          <cell r="B167" t="str">
            <v/>
          </cell>
          <cell r="C167" t="str">
            <v/>
          </cell>
          <cell r="D167"/>
          <cell r="E167"/>
          <cell r="F167"/>
          <cell r="G167"/>
          <cell r="H167"/>
          <cell r="I167"/>
          <cell r="J167"/>
          <cell r="K167"/>
          <cell r="L167"/>
          <cell r="M167"/>
          <cell r="N167"/>
          <cell r="O167"/>
          <cell r="P167"/>
          <cell r="Q167"/>
          <cell r="R167"/>
          <cell r="S167"/>
          <cell r="T167"/>
          <cell r="U167"/>
          <cell r="V167"/>
          <cell r="W167">
            <v>6.7880000000000003</v>
          </cell>
          <cell r="X167"/>
          <cell r="Y167"/>
          <cell r="Z167"/>
          <cell r="AA167"/>
          <cell r="AB167"/>
          <cell r="AC167"/>
          <cell r="AD167"/>
          <cell r="AE167"/>
          <cell r="AF167"/>
          <cell r="AG167"/>
          <cell r="AH167"/>
          <cell r="AI167"/>
          <cell r="AJ167">
            <v>6.3659999999999997</v>
          </cell>
          <cell r="AK167">
            <v>6.3739999999999997</v>
          </cell>
          <cell r="AL167">
            <v>6.5629999999999997</v>
          </cell>
          <cell r="AM167">
            <v>6.9240000000000004</v>
          </cell>
          <cell r="AN167"/>
          <cell r="AO167"/>
          <cell r="AP167"/>
          <cell r="AQ167"/>
          <cell r="AR167"/>
          <cell r="AS167"/>
          <cell r="AT167"/>
          <cell r="AU167"/>
          <cell r="AV167"/>
          <cell r="AW167"/>
          <cell r="AX167">
            <v>0.84399999999999997</v>
          </cell>
          <cell r="AY167">
            <v>1136</v>
          </cell>
          <cell r="AZ167"/>
        </row>
        <row r="168">
          <cell r="A168">
            <v>34151</v>
          </cell>
          <cell r="B168" t="str">
            <v/>
          </cell>
          <cell r="C168" t="str">
            <v/>
          </cell>
          <cell r="D168"/>
          <cell r="E168"/>
          <cell r="F168"/>
          <cell r="G168"/>
          <cell r="H168"/>
          <cell r="I168"/>
          <cell r="J168"/>
          <cell r="K168"/>
          <cell r="L168"/>
          <cell r="M168"/>
          <cell r="N168"/>
          <cell r="O168"/>
          <cell r="P168"/>
          <cell r="Q168"/>
          <cell r="R168"/>
          <cell r="S168"/>
          <cell r="T168"/>
          <cell r="U168"/>
          <cell r="V168"/>
          <cell r="W168">
            <v>6.609</v>
          </cell>
          <cell r="X168"/>
          <cell r="Y168"/>
          <cell r="Z168"/>
          <cell r="AA168"/>
          <cell r="AB168"/>
          <cell r="AC168"/>
          <cell r="AD168"/>
          <cell r="AE168"/>
          <cell r="AF168"/>
          <cell r="AG168"/>
          <cell r="AH168"/>
          <cell r="AI168"/>
          <cell r="AJ168">
            <v>6.1239999999999997</v>
          </cell>
          <cell r="AK168">
            <v>6.1340000000000003</v>
          </cell>
          <cell r="AL168">
            <v>6.3520000000000003</v>
          </cell>
          <cell r="AM168">
            <v>6.7610000000000001</v>
          </cell>
          <cell r="AN168"/>
          <cell r="AO168"/>
          <cell r="AP168"/>
          <cell r="AQ168"/>
          <cell r="AR168"/>
          <cell r="AS168"/>
          <cell r="AT168"/>
          <cell r="AU168"/>
          <cell r="AV168"/>
          <cell r="AW168"/>
          <cell r="AX168">
            <v>0.878</v>
          </cell>
          <cell r="AY168">
            <v>1185</v>
          </cell>
          <cell r="AZ168"/>
        </row>
        <row r="169">
          <cell r="A169">
            <v>34182</v>
          </cell>
          <cell r="B169" t="str">
            <v/>
          </cell>
          <cell r="C169" t="str">
            <v/>
          </cell>
          <cell r="D169"/>
          <cell r="E169"/>
          <cell r="F169"/>
          <cell r="G169"/>
          <cell r="H169"/>
          <cell r="I169"/>
          <cell r="J169"/>
          <cell r="K169"/>
          <cell r="L169"/>
          <cell r="M169"/>
          <cell r="N169"/>
          <cell r="O169"/>
          <cell r="P169"/>
          <cell r="Q169"/>
          <cell r="R169"/>
          <cell r="S169"/>
          <cell r="T169"/>
          <cell r="U169"/>
          <cell r="V169"/>
          <cell r="W169">
            <v>6.3920000000000003</v>
          </cell>
          <cell r="X169"/>
          <cell r="Y169"/>
          <cell r="Z169"/>
          <cell r="AA169"/>
          <cell r="AB169"/>
          <cell r="AC169"/>
          <cell r="AD169"/>
          <cell r="AE169"/>
          <cell r="AF169"/>
          <cell r="AG169"/>
          <cell r="AH169"/>
          <cell r="AI169"/>
          <cell r="AJ169">
            <v>5.8419999999999996</v>
          </cell>
          <cell r="AK169">
            <v>5.88</v>
          </cell>
          <cell r="AL169">
            <v>6.0990000000000002</v>
          </cell>
          <cell r="AM169">
            <v>6.5259999999999998</v>
          </cell>
          <cell r="AN169"/>
          <cell r="AO169"/>
          <cell r="AP169"/>
          <cell r="AQ169"/>
          <cell r="AR169"/>
          <cell r="AS169"/>
          <cell r="AT169"/>
          <cell r="AU169"/>
          <cell r="AV169"/>
          <cell r="AW169"/>
          <cell r="AX169">
            <v>0.88200000000000001</v>
          </cell>
          <cell r="AY169">
            <v>1277</v>
          </cell>
          <cell r="AZ169"/>
        </row>
        <row r="170">
          <cell r="A170">
            <v>34213</v>
          </cell>
          <cell r="B170" t="str">
            <v/>
          </cell>
          <cell r="C170" t="str">
            <v/>
          </cell>
          <cell r="D170"/>
          <cell r="E170"/>
          <cell r="F170"/>
          <cell r="G170"/>
          <cell r="H170"/>
          <cell r="I170"/>
          <cell r="J170"/>
          <cell r="K170"/>
          <cell r="L170"/>
          <cell r="M170"/>
          <cell r="N170"/>
          <cell r="O170"/>
          <cell r="P170"/>
          <cell r="Q170"/>
          <cell r="R170"/>
          <cell r="S170"/>
          <cell r="T170"/>
          <cell r="U170"/>
          <cell r="V170"/>
          <cell r="W170">
            <v>6.1210000000000004</v>
          </cell>
          <cell r="X170"/>
          <cell r="Y170"/>
          <cell r="Z170"/>
          <cell r="AA170"/>
          <cell r="AB170"/>
          <cell r="AC170"/>
          <cell r="AD170"/>
          <cell r="AE170"/>
          <cell r="AF170"/>
          <cell r="AG170"/>
          <cell r="AH170"/>
          <cell r="AI170"/>
          <cell r="AJ170">
            <v>5.6989999999999998</v>
          </cell>
          <cell r="AK170">
            <v>5.6970000000000001</v>
          </cell>
          <cell r="AL170">
            <v>5.87</v>
          </cell>
          <cell r="AM170">
            <v>6.3170000000000002</v>
          </cell>
          <cell r="AN170"/>
          <cell r="AO170"/>
          <cell r="AP170"/>
          <cell r="AQ170"/>
          <cell r="AR170"/>
          <cell r="AS170"/>
          <cell r="AT170"/>
          <cell r="AU170"/>
          <cell r="AV170"/>
          <cell r="AW170"/>
          <cell r="AX170">
            <v>0.84799999999999998</v>
          </cell>
          <cell r="AY170">
            <v>1280</v>
          </cell>
          <cell r="AZ170"/>
        </row>
        <row r="171">
          <cell r="A171">
            <v>34243</v>
          </cell>
          <cell r="B171" t="str">
            <v/>
          </cell>
          <cell r="C171" t="str">
            <v/>
          </cell>
          <cell r="D171"/>
          <cell r="E171"/>
          <cell r="F171"/>
          <cell r="G171"/>
          <cell r="H171"/>
          <cell r="I171"/>
          <cell r="J171"/>
          <cell r="K171"/>
          <cell r="L171"/>
          <cell r="M171"/>
          <cell r="N171"/>
          <cell r="O171"/>
          <cell r="P171"/>
          <cell r="Q171"/>
          <cell r="R171"/>
          <cell r="S171"/>
          <cell r="T171"/>
          <cell r="U171"/>
          <cell r="V171"/>
          <cell r="W171">
            <v>5.9390000000000001</v>
          </cell>
          <cell r="X171"/>
          <cell r="Y171"/>
          <cell r="Z171"/>
          <cell r="AA171"/>
          <cell r="AB171"/>
          <cell r="AC171"/>
          <cell r="AD171"/>
          <cell r="AE171"/>
          <cell r="AF171"/>
          <cell r="AG171"/>
          <cell r="AH171"/>
          <cell r="AI171"/>
          <cell r="AJ171">
            <v>5.5149999999999997</v>
          </cell>
          <cell r="AK171">
            <v>5.4569999999999999</v>
          </cell>
          <cell r="AL171">
            <v>5.6040000000000001</v>
          </cell>
          <cell r="AM171">
            <v>6.1820000000000004</v>
          </cell>
          <cell r="AN171"/>
          <cell r="AO171"/>
          <cell r="AP171"/>
          <cell r="AQ171"/>
          <cell r="AR171"/>
          <cell r="AS171"/>
          <cell r="AT171"/>
          <cell r="AU171"/>
          <cell r="AV171"/>
          <cell r="AW171"/>
          <cell r="AX171">
            <v>0.85899999999999999</v>
          </cell>
          <cell r="AY171">
            <v>1333</v>
          </cell>
          <cell r="AZ171"/>
        </row>
        <row r="172">
          <cell r="A172">
            <v>34274</v>
          </cell>
          <cell r="B172" t="str">
            <v/>
          </cell>
          <cell r="C172" t="str">
            <v/>
          </cell>
          <cell r="D172"/>
          <cell r="E172"/>
          <cell r="F172"/>
          <cell r="G172"/>
          <cell r="H172"/>
          <cell r="I172"/>
          <cell r="J172"/>
          <cell r="K172"/>
          <cell r="L172"/>
          <cell r="M172"/>
          <cell r="N172"/>
          <cell r="O172"/>
          <cell r="P172"/>
          <cell r="Q172"/>
          <cell r="R172"/>
          <cell r="S172"/>
          <cell r="T172"/>
          <cell r="U172"/>
          <cell r="V172"/>
          <cell r="W172">
            <v>5.859</v>
          </cell>
          <cell r="X172"/>
          <cell r="Y172"/>
          <cell r="Z172"/>
          <cell r="AA172"/>
          <cell r="AB172"/>
          <cell r="AC172"/>
          <cell r="AD172"/>
          <cell r="AE172"/>
          <cell r="AF172"/>
          <cell r="AG172"/>
          <cell r="AH172"/>
          <cell r="AI172"/>
          <cell r="AJ172">
            <v>5.1859999999999999</v>
          </cell>
          <cell r="AK172">
            <v>5.1319999999999997</v>
          </cell>
          <cell r="AL172">
            <v>5.3659999999999997</v>
          </cell>
          <cell r="AM172">
            <v>6.1909999999999998</v>
          </cell>
          <cell r="AN172"/>
          <cell r="AO172"/>
          <cell r="AP172"/>
          <cell r="AQ172"/>
          <cell r="AR172"/>
          <cell r="AS172"/>
          <cell r="AT172"/>
          <cell r="AU172"/>
          <cell r="AV172"/>
          <cell r="AW172"/>
          <cell r="AX172">
            <v>0.88600000000000001</v>
          </cell>
          <cell r="AY172">
            <v>1331</v>
          </cell>
          <cell r="AZ172"/>
        </row>
        <row r="173">
          <cell r="A173">
            <v>34304</v>
          </cell>
          <cell r="B173" t="str">
            <v/>
          </cell>
          <cell r="C173" t="str">
            <v/>
          </cell>
          <cell r="D173"/>
          <cell r="E173"/>
          <cell r="F173"/>
          <cell r="G173"/>
          <cell r="H173"/>
          <cell r="I173"/>
          <cell r="J173"/>
          <cell r="K173"/>
          <cell r="L173"/>
          <cell r="M173"/>
          <cell r="N173"/>
          <cell r="O173"/>
          <cell r="P173"/>
          <cell r="Q173"/>
          <cell r="R173"/>
          <cell r="S173"/>
          <cell r="T173"/>
          <cell r="U173"/>
          <cell r="V173"/>
          <cell r="W173">
            <v>5.8339999999999996</v>
          </cell>
          <cell r="X173"/>
          <cell r="Y173"/>
          <cell r="Z173"/>
          <cell r="AA173"/>
          <cell r="AB173"/>
          <cell r="AC173"/>
          <cell r="AD173"/>
          <cell r="AE173"/>
          <cell r="AF173"/>
          <cell r="AG173"/>
          <cell r="AH173"/>
          <cell r="AI173"/>
          <cell r="AJ173">
            <v>4.9820000000000002</v>
          </cell>
          <cell r="AK173">
            <v>4.976</v>
          </cell>
          <cell r="AL173">
            <v>5.2140000000000004</v>
          </cell>
          <cell r="AM173">
            <v>6.1</v>
          </cell>
          <cell r="AN173"/>
          <cell r="AO173"/>
          <cell r="AP173"/>
          <cell r="AQ173"/>
          <cell r="AR173"/>
          <cell r="AS173"/>
          <cell r="AT173"/>
          <cell r="AU173"/>
          <cell r="AV173"/>
          <cell r="AW173"/>
          <cell r="AX173">
            <v>0.88600000000000001</v>
          </cell>
          <cell r="AY173">
            <v>1394</v>
          </cell>
          <cell r="AZ173"/>
        </row>
        <row r="174">
          <cell r="A174">
            <v>34335</v>
          </cell>
          <cell r="B174" t="str">
            <v/>
          </cell>
          <cell r="C174" t="str">
            <v/>
          </cell>
          <cell r="D174"/>
          <cell r="E174"/>
          <cell r="F174"/>
          <cell r="G174"/>
          <cell r="H174"/>
          <cell r="I174"/>
          <cell r="J174"/>
          <cell r="K174"/>
          <cell r="L174"/>
          <cell r="M174"/>
          <cell r="N174"/>
          <cell r="O174"/>
          <cell r="P174"/>
          <cell r="Q174"/>
          <cell r="R174"/>
          <cell r="S174"/>
          <cell r="T174"/>
          <cell r="U174"/>
          <cell r="V174"/>
          <cell r="W174">
            <v>5.77</v>
          </cell>
          <cell r="X174"/>
          <cell r="Y174"/>
          <cell r="Z174"/>
          <cell r="AA174"/>
          <cell r="AB174"/>
          <cell r="AC174"/>
          <cell r="AD174"/>
          <cell r="AE174"/>
          <cell r="AF174"/>
          <cell r="AG174"/>
          <cell r="AH174"/>
          <cell r="AI174"/>
          <cell r="AJ174">
            <v>4.9690000000000003</v>
          </cell>
          <cell r="AK174">
            <v>4.9390000000000001</v>
          </cell>
          <cell r="AL174">
            <v>5.226</v>
          </cell>
          <cell r="AM174">
            <v>6.0910000000000002</v>
          </cell>
          <cell r="AN174"/>
          <cell r="AO174"/>
          <cell r="AP174"/>
          <cell r="AQ174"/>
          <cell r="AR174"/>
          <cell r="AS174"/>
          <cell r="AT174"/>
          <cell r="AU174"/>
          <cell r="AV174"/>
          <cell r="AW174"/>
          <cell r="AX174">
            <v>0.89800000000000002</v>
          </cell>
          <cell r="AY174">
            <v>1423</v>
          </cell>
          <cell r="AZ174"/>
        </row>
        <row r="175">
          <cell r="A175">
            <v>34366</v>
          </cell>
          <cell r="B175" t="str">
            <v/>
          </cell>
          <cell r="C175" t="str">
            <v/>
          </cell>
          <cell r="D175"/>
          <cell r="E175"/>
          <cell r="F175"/>
          <cell r="G175"/>
          <cell r="H175"/>
          <cell r="I175"/>
          <cell r="J175"/>
          <cell r="K175"/>
          <cell r="L175"/>
          <cell r="M175"/>
          <cell r="N175"/>
          <cell r="O175"/>
          <cell r="P175"/>
          <cell r="Q175"/>
          <cell r="R175"/>
          <cell r="S175"/>
          <cell r="T175"/>
          <cell r="U175"/>
          <cell r="V175"/>
          <cell r="W175">
            <v>5.9740000000000002</v>
          </cell>
          <cell r="X175"/>
          <cell r="Y175"/>
          <cell r="Z175"/>
          <cell r="AA175"/>
          <cell r="AB175"/>
          <cell r="AC175"/>
          <cell r="AD175"/>
          <cell r="AE175"/>
          <cell r="AF175"/>
          <cell r="AG175"/>
          <cell r="AH175"/>
          <cell r="AI175"/>
          <cell r="AJ175">
            <v>5.2530000000000001</v>
          </cell>
          <cell r="AK175">
            <v>5.2949999999999999</v>
          </cell>
          <cell r="AL175">
            <v>5.5620000000000003</v>
          </cell>
          <cell r="AM175">
            <v>6.3730000000000002</v>
          </cell>
          <cell r="AN175"/>
          <cell r="AO175"/>
          <cell r="AP175"/>
          <cell r="AQ175"/>
          <cell r="AR175"/>
          <cell r="AS175"/>
          <cell r="AT175"/>
          <cell r="AU175"/>
          <cell r="AV175"/>
          <cell r="AW175"/>
          <cell r="AX175">
            <v>0.89500000000000002</v>
          </cell>
          <cell r="AY175">
            <v>1424</v>
          </cell>
          <cell r="AZ175"/>
        </row>
        <row r="176">
          <cell r="A176">
            <v>34394</v>
          </cell>
          <cell r="B176" t="str">
            <v/>
          </cell>
          <cell r="C176" t="str">
            <v/>
          </cell>
          <cell r="D176"/>
          <cell r="E176"/>
          <cell r="F176"/>
          <cell r="G176"/>
          <cell r="H176"/>
          <cell r="I176"/>
          <cell r="J176"/>
          <cell r="K176"/>
          <cell r="L176"/>
          <cell r="M176"/>
          <cell r="N176"/>
          <cell r="O176"/>
          <cell r="P176"/>
          <cell r="Q176"/>
          <cell r="R176"/>
          <cell r="S176"/>
          <cell r="T176"/>
          <cell r="U176"/>
          <cell r="V176"/>
          <cell r="W176">
            <v>6.2919999999999998</v>
          </cell>
          <cell r="X176"/>
          <cell r="Y176"/>
          <cell r="Z176"/>
          <cell r="AA176"/>
          <cell r="AB176"/>
          <cell r="AC176"/>
          <cell r="AD176"/>
          <cell r="AE176"/>
          <cell r="AF176"/>
          <cell r="AG176"/>
          <cell r="AH176"/>
          <cell r="AI176"/>
          <cell r="AJ176">
            <v>5.5119999999999996</v>
          </cell>
          <cell r="AK176">
            <v>5.6779999999999999</v>
          </cell>
          <cell r="AL176">
            <v>6.0449999999999999</v>
          </cell>
          <cell r="AM176">
            <v>6.7370000000000001</v>
          </cell>
          <cell r="AN176"/>
          <cell r="AO176"/>
          <cell r="AP176"/>
          <cell r="AQ176"/>
          <cell r="AR176"/>
          <cell r="AS176"/>
          <cell r="AT176"/>
          <cell r="AU176"/>
          <cell r="AV176"/>
          <cell r="AW176"/>
          <cell r="AX176">
            <v>0.876</v>
          </cell>
          <cell r="AY176">
            <v>1387</v>
          </cell>
          <cell r="AZ176"/>
        </row>
        <row r="177">
          <cell r="A177">
            <v>34425</v>
          </cell>
          <cell r="B177" t="str">
            <v/>
          </cell>
          <cell r="C177" t="str">
            <v/>
          </cell>
          <cell r="D177"/>
          <cell r="E177"/>
          <cell r="F177"/>
          <cell r="G177"/>
          <cell r="H177"/>
          <cell r="I177"/>
          <cell r="J177"/>
          <cell r="K177"/>
          <cell r="L177"/>
          <cell r="M177"/>
          <cell r="N177"/>
          <cell r="O177"/>
          <cell r="P177"/>
          <cell r="Q177"/>
          <cell r="R177"/>
          <cell r="S177"/>
          <cell r="T177"/>
          <cell r="U177"/>
          <cell r="V177"/>
          <cell r="W177">
            <v>6.4290000000000003</v>
          </cell>
          <cell r="X177"/>
          <cell r="Y177"/>
          <cell r="Z177"/>
          <cell r="AA177"/>
          <cell r="AB177"/>
          <cell r="AC177"/>
          <cell r="AD177"/>
          <cell r="AE177"/>
          <cell r="AF177"/>
          <cell r="AG177"/>
          <cell r="AH177"/>
          <cell r="AI177"/>
          <cell r="AJ177">
            <v>5.5129999999999999</v>
          </cell>
          <cell r="AK177">
            <v>5.74</v>
          </cell>
          <cell r="AL177">
            <v>6.1449999999999996</v>
          </cell>
          <cell r="AM177">
            <v>6.8840000000000003</v>
          </cell>
          <cell r="AN177"/>
          <cell r="AO177"/>
          <cell r="AP177"/>
          <cell r="AQ177"/>
          <cell r="AR177"/>
          <cell r="AS177"/>
          <cell r="AT177"/>
          <cell r="AU177"/>
          <cell r="AV177"/>
          <cell r="AW177"/>
          <cell r="AX177">
            <v>0.877</v>
          </cell>
          <cell r="AY177">
            <v>1409</v>
          </cell>
          <cell r="AZ177"/>
        </row>
        <row r="178">
          <cell r="A178">
            <v>34455</v>
          </cell>
          <cell r="B178" t="str">
            <v/>
          </cell>
          <cell r="C178" t="str">
            <v/>
          </cell>
          <cell r="D178"/>
          <cell r="E178"/>
          <cell r="F178"/>
          <cell r="G178"/>
          <cell r="H178"/>
          <cell r="I178"/>
          <cell r="J178"/>
          <cell r="K178"/>
          <cell r="L178"/>
          <cell r="M178"/>
          <cell r="N178"/>
          <cell r="O178"/>
          <cell r="P178"/>
          <cell r="Q178"/>
          <cell r="R178"/>
          <cell r="S178"/>
          <cell r="T178"/>
          <cell r="U178"/>
          <cell r="V178"/>
          <cell r="W178">
            <v>6.6319999999999997</v>
          </cell>
          <cell r="X178"/>
          <cell r="Y178"/>
          <cell r="Z178"/>
          <cell r="AA178"/>
          <cell r="AB178"/>
          <cell r="AC178"/>
          <cell r="AD178"/>
          <cell r="AE178"/>
          <cell r="AF178"/>
          <cell r="AG178"/>
          <cell r="AH178"/>
          <cell r="AI178"/>
          <cell r="AJ178">
            <v>5.48</v>
          </cell>
          <cell r="AK178">
            <v>5.798</v>
          </cell>
          <cell r="AL178">
            <v>6.3230000000000004</v>
          </cell>
          <cell r="AM178">
            <v>7.0640000000000001</v>
          </cell>
          <cell r="AN178"/>
          <cell r="AO178"/>
          <cell r="AP178"/>
          <cell r="AQ178"/>
          <cell r="AR178"/>
          <cell r="AS178"/>
          <cell r="AT178"/>
          <cell r="AU178"/>
          <cell r="AV178"/>
          <cell r="AW178"/>
          <cell r="AX178">
            <v>0.85899999999999999</v>
          </cell>
          <cell r="AY178">
            <v>1414</v>
          </cell>
          <cell r="AZ178"/>
        </row>
        <row r="179">
          <cell r="A179">
            <v>34486</v>
          </cell>
          <cell r="B179" t="str">
            <v/>
          </cell>
          <cell r="C179" t="str">
            <v/>
          </cell>
          <cell r="D179"/>
          <cell r="E179"/>
          <cell r="F179"/>
          <cell r="G179"/>
          <cell r="H179"/>
          <cell r="I179"/>
          <cell r="J179"/>
          <cell r="K179"/>
          <cell r="L179"/>
          <cell r="M179"/>
          <cell r="N179"/>
          <cell r="O179"/>
          <cell r="P179"/>
          <cell r="Q179"/>
          <cell r="R179"/>
          <cell r="S179"/>
          <cell r="T179"/>
          <cell r="U179"/>
          <cell r="V179"/>
          <cell r="W179">
            <v>7.0529999999999999</v>
          </cell>
          <cell r="X179"/>
          <cell r="Y179"/>
          <cell r="Z179"/>
          <cell r="AA179"/>
          <cell r="AB179"/>
          <cell r="AC179"/>
          <cell r="AD179"/>
          <cell r="AE179"/>
          <cell r="AF179"/>
          <cell r="AG179"/>
          <cell r="AH179"/>
          <cell r="AI179"/>
          <cell r="AJ179">
            <v>5.8579999999999997</v>
          </cell>
          <cell r="AK179">
            <v>6.2949999999999999</v>
          </cell>
          <cell r="AL179">
            <v>6.8179999999999996</v>
          </cell>
          <cell r="AM179">
            <v>7.4020000000000001</v>
          </cell>
          <cell r="AN179"/>
          <cell r="AO179"/>
          <cell r="AP179"/>
          <cell r="AQ179"/>
          <cell r="AR179"/>
          <cell r="AS179"/>
          <cell r="AT179"/>
          <cell r="AU179"/>
          <cell r="AV179"/>
          <cell r="AW179"/>
          <cell r="AX179">
            <v>0.84499999999999997</v>
          </cell>
          <cell r="AY179">
            <v>1325</v>
          </cell>
          <cell r="AZ179"/>
        </row>
        <row r="180">
          <cell r="A180">
            <v>34516</v>
          </cell>
          <cell r="B180" t="str">
            <v/>
          </cell>
          <cell r="C180" t="str">
            <v/>
          </cell>
          <cell r="D180"/>
          <cell r="E180"/>
          <cell r="F180"/>
          <cell r="G180"/>
          <cell r="H180"/>
          <cell r="I180"/>
          <cell r="J180"/>
          <cell r="K180"/>
          <cell r="L180"/>
          <cell r="M180"/>
          <cell r="N180"/>
          <cell r="O180"/>
          <cell r="P180"/>
          <cell r="Q180"/>
          <cell r="R180"/>
          <cell r="S180"/>
          <cell r="T180"/>
          <cell r="U180"/>
          <cell r="V180"/>
          <cell r="W180">
            <v>6.899</v>
          </cell>
          <cell r="X180"/>
          <cell r="Y180"/>
          <cell r="Z180"/>
          <cell r="AA180"/>
          <cell r="AB180"/>
          <cell r="AC180"/>
          <cell r="AD180"/>
          <cell r="AE180"/>
          <cell r="AF180"/>
          <cell r="AG180"/>
          <cell r="AH180"/>
          <cell r="AI180"/>
          <cell r="AJ180">
            <v>5.6660000000000004</v>
          </cell>
          <cell r="AK180">
            <v>6.0919999999999996</v>
          </cell>
          <cell r="AL180">
            <v>6.6210000000000004</v>
          </cell>
          <cell r="AM180">
            <v>7.2240000000000002</v>
          </cell>
          <cell r="AN180"/>
          <cell r="AO180"/>
          <cell r="AP180"/>
          <cell r="AQ180"/>
          <cell r="AR180"/>
          <cell r="AS180"/>
          <cell r="AT180"/>
          <cell r="AU180"/>
          <cell r="AV180"/>
          <cell r="AW180"/>
          <cell r="AX180">
            <v>0.81799999999999995</v>
          </cell>
          <cell r="AY180">
            <v>1328</v>
          </cell>
          <cell r="AZ180"/>
        </row>
        <row r="181">
          <cell r="A181">
            <v>34547</v>
          </cell>
          <cell r="B181" t="str">
            <v/>
          </cell>
          <cell r="C181" t="str">
            <v/>
          </cell>
          <cell r="D181"/>
          <cell r="E181"/>
          <cell r="F181"/>
          <cell r="G181"/>
          <cell r="H181"/>
          <cell r="I181"/>
          <cell r="J181"/>
          <cell r="K181"/>
          <cell r="L181"/>
          <cell r="M181"/>
          <cell r="N181"/>
          <cell r="O181"/>
          <cell r="P181"/>
          <cell r="Q181"/>
          <cell r="R181"/>
          <cell r="S181"/>
          <cell r="T181"/>
          <cell r="U181"/>
          <cell r="V181"/>
          <cell r="W181">
            <v>7.0960000000000001</v>
          </cell>
          <cell r="X181"/>
          <cell r="Y181"/>
          <cell r="Z181"/>
          <cell r="AA181"/>
          <cell r="AB181"/>
          <cell r="AC181"/>
          <cell r="AD181"/>
          <cell r="AE181"/>
          <cell r="AF181"/>
          <cell r="AG181"/>
          <cell r="AH181"/>
          <cell r="AI181"/>
          <cell r="AJ181">
            <v>5.9530000000000003</v>
          </cell>
          <cell r="AK181">
            <v>6.3860000000000001</v>
          </cell>
          <cell r="AL181">
            <v>6.8970000000000002</v>
          </cell>
          <cell r="AM181">
            <v>7.4379999999999997</v>
          </cell>
          <cell r="AN181"/>
          <cell r="AO181"/>
          <cell r="AP181"/>
          <cell r="AQ181"/>
          <cell r="AR181"/>
          <cell r="AS181"/>
          <cell r="AT181"/>
          <cell r="AU181"/>
          <cell r="AV181"/>
          <cell r="AW181"/>
          <cell r="AX181">
            <v>0.81799999999999995</v>
          </cell>
          <cell r="AY181">
            <v>1374</v>
          </cell>
          <cell r="AZ181"/>
        </row>
        <row r="182">
          <cell r="A182">
            <v>34578</v>
          </cell>
          <cell r="B182" t="str">
            <v/>
          </cell>
          <cell r="C182" t="str">
            <v/>
          </cell>
          <cell r="D182"/>
          <cell r="E182"/>
          <cell r="F182"/>
          <cell r="G182"/>
          <cell r="H182"/>
          <cell r="I182"/>
          <cell r="J182"/>
          <cell r="K182"/>
          <cell r="L182"/>
          <cell r="M182"/>
          <cell r="N182"/>
          <cell r="O182"/>
          <cell r="P182"/>
          <cell r="Q182"/>
          <cell r="R182"/>
          <cell r="S182"/>
          <cell r="T182"/>
          <cell r="U182"/>
          <cell r="V182"/>
          <cell r="W182">
            <v>7.53</v>
          </cell>
          <cell r="X182"/>
          <cell r="Y182"/>
          <cell r="Z182"/>
          <cell r="AA182"/>
          <cell r="AB182"/>
          <cell r="AC182"/>
          <cell r="AD182"/>
          <cell r="AE182"/>
          <cell r="AF182"/>
          <cell r="AG182"/>
          <cell r="AH182"/>
          <cell r="AI182"/>
          <cell r="AJ182">
            <v>6.3470000000000004</v>
          </cell>
          <cell r="AK182">
            <v>6.8079999999999998</v>
          </cell>
          <cell r="AL182">
            <v>7.3209999999999997</v>
          </cell>
          <cell r="AM182">
            <v>7.8339999999999996</v>
          </cell>
          <cell r="AN182"/>
          <cell r="AO182"/>
          <cell r="AP182"/>
          <cell r="AQ182"/>
          <cell r="AR182"/>
          <cell r="AS182"/>
          <cell r="AT182"/>
          <cell r="AU182"/>
          <cell r="AV182"/>
          <cell r="AW182"/>
          <cell r="AX182">
            <v>0.80900000000000005</v>
          </cell>
          <cell r="AY182">
            <v>1342</v>
          </cell>
          <cell r="AZ182"/>
        </row>
        <row r="183">
          <cell r="A183">
            <v>34608</v>
          </cell>
          <cell r="B183" t="str">
            <v/>
          </cell>
          <cell r="C183" t="str">
            <v/>
          </cell>
          <cell r="D183"/>
          <cell r="E183"/>
          <cell r="F183"/>
          <cell r="G183"/>
          <cell r="H183"/>
          <cell r="I183"/>
          <cell r="J183"/>
          <cell r="K183"/>
          <cell r="L183"/>
          <cell r="M183"/>
          <cell r="N183"/>
          <cell r="O183"/>
          <cell r="P183"/>
          <cell r="Q183"/>
          <cell r="R183"/>
          <cell r="S183"/>
          <cell r="T183"/>
          <cell r="U183"/>
          <cell r="V183"/>
          <cell r="W183">
            <v>7.5730000000000004</v>
          </cell>
          <cell r="X183"/>
          <cell r="Y183"/>
          <cell r="Z183"/>
          <cell r="AA183"/>
          <cell r="AB183"/>
          <cell r="AC183"/>
          <cell r="AD183"/>
          <cell r="AE183"/>
          <cell r="AF183"/>
          <cell r="AG183"/>
          <cell r="AH183"/>
          <cell r="AI183"/>
          <cell r="AJ183">
            <v>6.4459999999999997</v>
          </cell>
          <cell r="AK183">
            <v>6.9109999999999996</v>
          </cell>
          <cell r="AL183">
            <v>7.391</v>
          </cell>
          <cell r="AM183">
            <v>7.8029999999999999</v>
          </cell>
          <cell r="AN183"/>
          <cell r="AO183"/>
          <cell r="AP183"/>
          <cell r="AQ183"/>
          <cell r="AR183"/>
          <cell r="AS183"/>
          <cell r="AT183"/>
          <cell r="AU183"/>
          <cell r="AV183"/>
          <cell r="AW183"/>
          <cell r="AX183">
            <v>0.79300000000000004</v>
          </cell>
          <cell r="AY183">
            <v>1301</v>
          </cell>
          <cell r="AZ183"/>
        </row>
        <row r="184">
          <cell r="A184">
            <v>34639</v>
          </cell>
          <cell r="B184" t="str">
            <v/>
          </cell>
          <cell r="C184" t="str">
            <v/>
          </cell>
          <cell r="D184"/>
          <cell r="E184"/>
          <cell r="F184"/>
          <cell r="G184"/>
          <cell r="H184"/>
          <cell r="I184"/>
          <cell r="J184"/>
          <cell r="K184"/>
          <cell r="L184"/>
          <cell r="M184"/>
          <cell r="N184"/>
          <cell r="O184"/>
          <cell r="P184"/>
          <cell r="Q184"/>
          <cell r="R184"/>
          <cell r="S184"/>
          <cell r="T184"/>
          <cell r="U184"/>
          <cell r="V184"/>
          <cell r="W184">
            <v>7.5030000000000001</v>
          </cell>
          <cell r="X184"/>
          <cell r="Y184"/>
          <cell r="Z184"/>
          <cell r="AA184"/>
          <cell r="AB184"/>
          <cell r="AC184"/>
          <cell r="AD184"/>
          <cell r="AE184"/>
          <cell r="AF184"/>
          <cell r="AG184"/>
          <cell r="AH184"/>
          <cell r="AI184">
            <v>5.6959999999999997</v>
          </cell>
          <cell r="AJ184">
            <v>6.3719999999999999</v>
          </cell>
          <cell r="AK184">
            <v>6.8620000000000001</v>
          </cell>
          <cell r="AL184">
            <v>7.3280000000000003</v>
          </cell>
          <cell r="AM184">
            <v>7.7709999999999999</v>
          </cell>
          <cell r="AN184"/>
          <cell r="AO184"/>
          <cell r="AP184"/>
          <cell r="AQ184"/>
          <cell r="AR184"/>
          <cell r="AS184"/>
          <cell r="AT184"/>
          <cell r="AU184"/>
          <cell r="AV184"/>
          <cell r="AW184"/>
          <cell r="AX184">
            <v>0.80400000000000005</v>
          </cell>
          <cell r="AY184">
            <v>1321</v>
          </cell>
          <cell r="AZ184"/>
        </row>
        <row r="185">
          <cell r="A185">
            <v>34669</v>
          </cell>
          <cell r="B185" t="str">
            <v/>
          </cell>
          <cell r="C185" t="str">
            <v/>
          </cell>
          <cell r="D185"/>
          <cell r="E185"/>
          <cell r="F185"/>
          <cell r="G185"/>
          <cell r="H185"/>
          <cell r="I185"/>
          <cell r="J185"/>
          <cell r="K185"/>
          <cell r="L185"/>
          <cell r="M185"/>
          <cell r="N185"/>
          <cell r="O185"/>
          <cell r="P185"/>
          <cell r="Q185"/>
          <cell r="R185"/>
          <cell r="S185"/>
          <cell r="T185"/>
          <cell r="U185"/>
          <cell r="V185"/>
          <cell r="W185">
            <v>7.4450000000000003</v>
          </cell>
          <cell r="X185"/>
          <cell r="Y185"/>
          <cell r="Z185"/>
          <cell r="AA185"/>
          <cell r="AB185"/>
          <cell r="AC185"/>
          <cell r="AD185"/>
          <cell r="AE185"/>
          <cell r="AF185"/>
          <cell r="AG185"/>
          <cell r="AH185"/>
          <cell r="AI185">
            <v>5.9909999999999997</v>
          </cell>
          <cell r="AJ185">
            <v>6.6050000000000004</v>
          </cell>
          <cell r="AK185">
            <v>7.0279999999999996</v>
          </cell>
          <cell r="AL185">
            <v>7.4189999999999996</v>
          </cell>
          <cell r="AM185">
            <v>7.7629999999999999</v>
          </cell>
          <cell r="AN185"/>
          <cell r="AO185"/>
          <cell r="AP185"/>
          <cell r="AQ185"/>
          <cell r="AR185"/>
          <cell r="AS185"/>
          <cell r="AT185"/>
          <cell r="AU185"/>
          <cell r="AV185"/>
          <cell r="AW185"/>
          <cell r="AX185">
            <v>0.82299999999999995</v>
          </cell>
          <cell r="AY185">
            <v>1319</v>
          </cell>
          <cell r="AZ185"/>
        </row>
        <row r="186">
          <cell r="A186">
            <v>34700</v>
          </cell>
          <cell r="B186" t="str">
            <v/>
          </cell>
          <cell r="C186" t="str">
            <v/>
          </cell>
          <cell r="D186"/>
          <cell r="E186"/>
          <cell r="F186"/>
          <cell r="G186"/>
          <cell r="H186"/>
          <cell r="I186"/>
          <cell r="J186"/>
          <cell r="K186"/>
          <cell r="L186"/>
          <cell r="M186"/>
          <cell r="N186"/>
          <cell r="O186"/>
          <cell r="P186"/>
          <cell r="Q186"/>
          <cell r="R186"/>
          <cell r="S186">
            <v>5.7759999999999998</v>
          </cell>
          <cell r="T186"/>
          <cell r="U186"/>
          <cell r="V186"/>
          <cell r="W186">
            <v>7.5759999999999996</v>
          </cell>
          <cell r="X186"/>
          <cell r="Y186"/>
          <cell r="Z186"/>
          <cell r="AA186"/>
          <cell r="AB186"/>
          <cell r="AC186"/>
          <cell r="AD186"/>
          <cell r="AE186"/>
          <cell r="AF186"/>
          <cell r="AG186"/>
          <cell r="AH186"/>
          <cell r="AI186">
            <v>5.9160000000000004</v>
          </cell>
          <cell r="AJ186">
            <v>6.6360000000000001</v>
          </cell>
          <cell r="AK186">
            <v>7.0650000000000004</v>
          </cell>
          <cell r="AL186">
            <v>7.4530000000000003</v>
          </cell>
          <cell r="AM186">
            <v>7.8129999999999997</v>
          </cell>
          <cell r="AN186"/>
          <cell r="AO186"/>
          <cell r="AP186"/>
          <cell r="AQ186"/>
          <cell r="AR186"/>
          <cell r="AS186"/>
          <cell r="AT186"/>
          <cell r="AU186"/>
          <cell r="AV186"/>
          <cell r="AW186"/>
          <cell r="AX186">
            <v>0.80600000000000005</v>
          </cell>
          <cell r="AY186">
            <v>1307</v>
          </cell>
          <cell r="AZ186"/>
        </row>
        <row r="187">
          <cell r="A187">
            <v>34731</v>
          </cell>
          <cell r="B187" t="str">
            <v/>
          </cell>
          <cell r="C187" t="str">
            <v/>
          </cell>
          <cell r="D187"/>
          <cell r="E187"/>
          <cell r="F187"/>
          <cell r="G187"/>
          <cell r="H187"/>
          <cell r="I187"/>
          <cell r="J187"/>
          <cell r="K187"/>
          <cell r="L187"/>
          <cell r="M187"/>
          <cell r="N187"/>
          <cell r="O187"/>
          <cell r="P187"/>
          <cell r="Q187"/>
          <cell r="R187"/>
          <cell r="S187">
            <v>5.6360000000000001</v>
          </cell>
          <cell r="T187"/>
          <cell r="U187"/>
          <cell r="V187"/>
          <cell r="W187">
            <v>7.399</v>
          </cell>
          <cell r="X187"/>
          <cell r="Y187"/>
          <cell r="Z187"/>
          <cell r="AA187"/>
          <cell r="AB187"/>
          <cell r="AC187"/>
          <cell r="AD187"/>
          <cell r="AE187"/>
          <cell r="AF187"/>
          <cell r="AG187"/>
          <cell r="AH187"/>
          <cell r="AI187">
            <v>5.8070000000000004</v>
          </cell>
          <cell r="AJ187">
            <v>6.476</v>
          </cell>
          <cell r="AK187">
            <v>6.8579999999999997</v>
          </cell>
          <cell r="AL187">
            <v>7.2329999999999997</v>
          </cell>
          <cell r="AM187">
            <v>7.6360000000000001</v>
          </cell>
          <cell r="AN187"/>
          <cell r="AO187"/>
          <cell r="AP187"/>
          <cell r="AQ187"/>
          <cell r="AR187"/>
          <cell r="AS187"/>
          <cell r="AT187"/>
          <cell r="AU187"/>
          <cell r="AV187"/>
          <cell r="AW187"/>
          <cell r="AX187">
            <v>0.79400000000000004</v>
          </cell>
          <cell r="AY187">
            <v>1329</v>
          </cell>
          <cell r="AZ187"/>
        </row>
        <row r="188">
          <cell r="A188">
            <v>34759</v>
          </cell>
          <cell r="B188" t="str">
            <v/>
          </cell>
          <cell r="C188" t="str">
            <v/>
          </cell>
          <cell r="D188"/>
          <cell r="E188"/>
          <cell r="F188"/>
          <cell r="G188"/>
          <cell r="H188"/>
          <cell r="I188"/>
          <cell r="J188"/>
          <cell r="K188"/>
          <cell r="L188"/>
          <cell r="M188"/>
          <cell r="N188"/>
          <cell r="O188"/>
          <cell r="P188"/>
          <cell r="Q188"/>
          <cell r="R188"/>
          <cell r="S188">
            <v>5.3869999999999996</v>
          </cell>
          <cell r="T188"/>
          <cell r="U188"/>
          <cell r="V188"/>
          <cell r="W188">
            <v>7.2549999999999999</v>
          </cell>
          <cell r="X188"/>
          <cell r="Y188"/>
          <cell r="Z188"/>
          <cell r="AA188"/>
          <cell r="AB188"/>
          <cell r="AC188"/>
          <cell r="AD188"/>
          <cell r="AE188"/>
          <cell r="AF188"/>
          <cell r="AG188"/>
          <cell r="AH188"/>
          <cell r="AI188">
            <v>5.5510000000000002</v>
          </cell>
          <cell r="AJ188">
            <v>6.12</v>
          </cell>
          <cell r="AK188">
            <v>6.5069999999999997</v>
          </cell>
          <cell r="AL188">
            <v>6.9829999999999997</v>
          </cell>
          <cell r="AM188">
            <v>7.5019999999999998</v>
          </cell>
          <cell r="AN188"/>
          <cell r="AO188"/>
          <cell r="AP188"/>
          <cell r="AQ188"/>
          <cell r="AR188"/>
          <cell r="AS188"/>
          <cell r="AT188"/>
          <cell r="AU188"/>
          <cell r="AV188"/>
          <cell r="AW188"/>
          <cell r="AX188">
            <v>0.75900000000000001</v>
          </cell>
          <cell r="AY188">
            <v>1295</v>
          </cell>
          <cell r="AZ188"/>
        </row>
        <row r="189">
          <cell r="A189">
            <v>34790</v>
          </cell>
          <cell r="B189" t="str">
            <v/>
          </cell>
          <cell r="C189" t="str">
            <v/>
          </cell>
          <cell r="D189"/>
          <cell r="E189"/>
          <cell r="F189"/>
          <cell r="G189"/>
          <cell r="H189"/>
          <cell r="I189"/>
          <cell r="J189"/>
          <cell r="K189"/>
          <cell r="L189"/>
          <cell r="M189"/>
          <cell r="N189"/>
          <cell r="O189"/>
          <cell r="P189"/>
          <cell r="Q189"/>
          <cell r="R189"/>
          <cell r="S189">
            <v>4.9039999999999999</v>
          </cell>
          <cell r="T189"/>
          <cell r="U189"/>
          <cell r="V189"/>
          <cell r="W189">
            <v>7.0659999999999998</v>
          </cell>
          <cell r="X189"/>
          <cell r="Y189"/>
          <cell r="Z189"/>
          <cell r="AA189"/>
          <cell r="AB189"/>
          <cell r="AC189"/>
          <cell r="AD189"/>
          <cell r="AE189"/>
          <cell r="AF189"/>
          <cell r="AG189"/>
          <cell r="AH189"/>
          <cell r="AI189">
            <v>5.0620000000000003</v>
          </cell>
          <cell r="AJ189">
            <v>5.6040000000000001</v>
          </cell>
          <cell r="AK189">
            <v>6.077</v>
          </cell>
          <cell r="AL189">
            <v>6.665</v>
          </cell>
          <cell r="AM189">
            <v>7.3239999999999998</v>
          </cell>
          <cell r="AN189"/>
          <cell r="AO189"/>
          <cell r="AP189"/>
          <cell r="AQ189"/>
          <cell r="AR189"/>
          <cell r="AS189"/>
          <cell r="AT189"/>
          <cell r="AU189"/>
          <cell r="AV189"/>
          <cell r="AW189"/>
          <cell r="AX189">
            <v>0.746</v>
          </cell>
          <cell r="AY189">
            <v>1324</v>
          </cell>
          <cell r="AZ189"/>
        </row>
        <row r="190">
          <cell r="A190">
            <v>34820</v>
          </cell>
          <cell r="B190" t="str">
            <v/>
          </cell>
          <cell r="C190" t="str">
            <v/>
          </cell>
          <cell r="D190"/>
          <cell r="E190"/>
          <cell r="F190"/>
          <cell r="G190"/>
          <cell r="H190"/>
          <cell r="I190"/>
          <cell r="J190"/>
          <cell r="K190"/>
          <cell r="L190"/>
          <cell r="M190"/>
          <cell r="N190"/>
          <cell r="O190"/>
          <cell r="P190"/>
          <cell r="Q190"/>
          <cell r="R190"/>
          <cell r="S190">
            <v>4.6689999999999996</v>
          </cell>
          <cell r="T190"/>
          <cell r="U190"/>
          <cell r="V190"/>
          <cell r="W190">
            <v>6.85</v>
          </cell>
          <cell r="X190"/>
          <cell r="Y190"/>
          <cell r="Z190"/>
          <cell r="AA190"/>
          <cell r="AB190"/>
          <cell r="AC190"/>
          <cell r="AD190"/>
          <cell r="AE190"/>
          <cell r="AF190"/>
          <cell r="AG190"/>
          <cell r="AH190"/>
          <cell r="AI190">
            <v>4.8310000000000004</v>
          </cell>
          <cell r="AJ190">
            <v>5.2770000000000001</v>
          </cell>
          <cell r="AK190">
            <v>5.7590000000000003</v>
          </cell>
          <cell r="AL190">
            <v>6.3789999999999996</v>
          </cell>
          <cell r="AM190">
            <v>7.0990000000000002</v>
          </cell>
          <cell r="AN190"/>
          <cell r="AO190"/>
          <cell r="AP190"/>
          <cell r="AQ190"/>
          <cell r="AR190"/>
          <cell r="AS190"/>
          <cell r="AT190"/>
          <cell r="AU190"/>
          <cell r="AV190"/>
          <cell r="AW190"/>
          <cell r="AX190">
            <v>0.75700000000000001</v>
          </cell>
          <cell r="AY190">
            <v>1379</v>
          </cell>
          <cell r="AZ190"/>
        </row>
        <row r="191">
          <cell r="A191">
            <v>34851</v>
          </cell>
          <cell r="B191" t="str">
            <v/>
          </cell>
          <cell r="C191" t="str">
            <v/>
          </cell>
          <cell r="D191"/>
          <cell r="E191"/>
          <cell r="F191"/>
          <cell r="G191"/>
          <cell r="H191"/>
          <cell r="I191"/>
          <cell r="J191"/>
          <cell r="K191"/>
          <cell r="L191"/>
          <cell r="M191"/>
          <cell r="N191"/>
          <cell r="O191"/>
          <cell r="P191"/>
          <cell r="Q191"/>
          <cell r="R191"/>
          <cell r="S191">
            <v>4.4939999999999998</v>
          </cell>
          <cell r="T191"/>
          <cell r="U191"/>
          <cell r="V191"/>
          <cell r="W191">
            <v>6.7</v>
          </cell>
          <cell r="X191"/>
          <cell r="Y191"/>
          <cell r="Z191"/>
          <cell r="AA191"/>
          <cell r="AB191"/>
          <cell r="AC191"/>
          <cell r="AD191"/>
          <cell r="AE191"/>
          <cell r="AF191"/>
          <cell r="AG191"/>
          <cell r="AH191"/>
          <cell r="AI191">
            <v>4.6680000000000001</v>
          </cell>
          <cell r="AJ191">
            <v>5.1139999999999999</v>
          </cell>
          <cell r="AK191">
            <v>5.6</v>
          </cell>
          <cell r="AL191">
            <v>6.282</v>
          </cell>
          <cell r="AM191">
            <v>7.056</v>
          </cell>
          <cell r="AN191"/>
          <cell r="AO191"/>
          <cell r="AP191"/>
          <cell r="AQ191"/>
          <cell r="AR191"/>
          <cell r="AS191"/>
          <cell r="AT191"/>
          <cell r="AU191"/>
          <cell r="AV191"/>
          <cell r="AW191"/>
          <cell r="AX191">
            <v>0.751</v>
          </cell>
          <cell r="AY191">
            <v>1384</v>
          </cell>
          <cell r="AZ191"/>
        </row>
        <row r="192">
          <cell r="A192">
            <v>34881</v>
          </cell>
          <cell r="B192" t="str">
            <v/>
          </cell>
          <cell r="C192" t="str">
            <v/>
          </cell>
          <cell r="D192"/>
          <cell r="E192"/>
          <cell r="F192"/>
          <cell r="G192"/>
          <cell r="H192"/>
          <cell r="I192"/>
          <cell r="J192"/>
          <cell r="K192"/>
          <cell r="L192"/>
          <cell r="M192"/>
          <cell r="N192"/>
          <cell r="O192"/>
          <cell r="P192"/>
          <cell r="Q192"/>
          <cell r="R192"/>
          <cell r="S192">
            <v>4.57</v>
          </cell>
          <cell r="T192"/>
          <cell r="U192"/>
          <cell r="V192"/>
          <cell r="W192">
            <v>6.7869999999999999</v>
          </cell>
          <cell r="X192"/>
          <cell r="Y192"/>
          <cell r="Z192"/>
          <cell r="AA192"/>
          <cell r="AB192"/>
          <cell r="AC192"/>
          <cell r="AD192"/>
          <cell r="AE192"/>
          <cell r="AF192"/>
          <cell r="AG192"/>
          <cell r="AH192"/>
          <cell r="AI192">
            <v>4.7450000000000001</v>
          </cell>
          <cell r="AJ192">
            <v>5.2169999999999996</v>
          </cell>
          <cell r="AK192">
            <v>5.6840000000000002</v>
          </cell>
          <cell r="AL192">
            <v>6.3680000000000003</v>
          </cell>
          <cell r="AM192">
            <v>7.1189999999999998</v>
          </cell>
          <cell r="AN192"/>
          <cell r="AO192"/>
          <cell r="AP192"/>
          <cell r="AQ192"/>
          <cell r="AR192"/>
          <cell r="AS192"/>
          <cell r="AT192"/>
          <cell r="AU192"/>
          <cell r="AV192"/>
          <cell r="AW192"/>
          <cell r="AX192">
            <v>0.74399999999999999</v>
          </cell>
          <cell r="AY192">
            <v>1421</v>
          </cell>
          <cell r="AZ192"/>
        </row>
        <row r="193">
          <cell r="A193">
            <v>34912</v>
          </cell>
          <cell r="B193" t="str">
            <v/>
          </cell>
          <cell r="C193" t="str">
            <v/>
          </cell>
          <cell r="D193"/>
          <cell r="E193"/>
          <cell r="F193"/>
          <cell r="G193"/>
          <cell r="H193"/>
          <cell r="I193"/>
          <cell r="J193"/>
          <cell r="K193"/>
          <cell r="L193"/>
          <cell r="M193"/>
          <cell r="N193"/>
          <cell r="O193"/>
          <cell r="P193"/>
          <cell r="Q193"/>
          <cell r="R193"/>
          <cell r="S193">
            <v>4.3849999999999998</v>
          </cell>
          <cell r="T193"/>
          <cell r="U193"/>
          <cell r="V193"/>
          <cell r="W193">
            <v>6.7060000000000004</v>
          </cell>
          <cell r="X193"/>
          <cell r="Y193"/>
          <cell r="Z193"/>
          <cell r="AA193"/>
          <cell r="AB193"/>
          <cell r="AC193"/>
          <cell r="AD193"/>
          <cell r="AE193"/>
          <cell r="AF193"/>
          <cell r="AG193"/>
          <cell r="AH193"/>
          <cell r="AI193">
            <v>4.5590000000000002</v>
          </cell>
          <cell r="AJ193">
            <v>5.0330000000000004</v>
          </cell>
          <cell r="AK193">
            <v>5.5250000000000004</v>
          </cell>
          <cell r="AL193">
            <v>6.2229999999999999</v>
          </cell>
          <cell r="AM193">
            <v>7.0359999999999996</v>
          </cell>
          <cell r="AN193"/>
          <cell r="AO193"/>
          <cell r="AP193"/>
          <cell r="AQ193"/>
          <cell r="AR193"/>
          <cell r="AS193"/>
          <cell r="AT193"/>
          <cell r="AU193"/>
          <cell r="AV193"/>
          <cell r="AW193"/>
          <cell r="AX193">
            <v>0.76700000000000002</v>
          </cell>
          <cell r="AY193">
            <v>1449</v>
          </cell>
          <cell r="AZ193"/>
        </row>
        <row r="194">
          <cell r="A194">
            <v>34943</v>
          </cell>
          <cell r="B194" t="str">
            <v/>
          </cell>
          <cell r="C194" t="str">
            <v/>
          </cell>
          <cell r="D194"/>
          <cell r="E194"/>
          <cell r="F194"/>
          <cell r="G194"/>
          <cell r="H194"/>
          <cell r="I194"/>
          <cell r="J194"/>
          <cell r="K194"/>
          <cell r="L194"/>
          <cell r="M194"/>
          <cell r="N194"/>
          <cell r="O194"/>
          <cell r="P194"/>
          <cell r="Q194"/>
          <cell r="R194"/>
          <cell r="S194">
            <v>4.117</v>
          </cell>
          <cell r="T194"/>
          <cell r="U194"/>
          <cell r="V194"/>
          <cell r="W194">
            <v>6.5579999999999998</v>
          </cell>
          <cell r="X194"/>
          <cell r="Y194"/>
          <cell r="Z194"/>
          <cell r="AA194"/>
          <cell r="AB194"/>
          <cell r="AC194"/>
          <cell r="AD194"/>
          <cell r="AE194"/>
          <cell r="AF194"/>
          <cell r="AG194"/>
          <cell r="AH194"/>
          <cell r="AI194">
            <v>4.2489999999999997</v>
          </cell>
          <cell r="AJ194">
            <v>4.6429999999999998</v>
          </cell>
          <cell r="AK194">
            <v>5.1559999999999997</v>
          </cell>
          <cell r="AL194">
            <v>5.9660000000000002</v>
          </cell>
          <cell r="AM194">
            <v>6.8929999999999998</v>
          </cell>
          <cell r="AN194"/>
          <cell r="AO194"/>
          <cell r="AP194"/>
          <cell r="AQ194"/>
          <cell r="AR194"/>
          <cell r="AS194"/>
          <cell r="AT194"/>
          <cell r="AU194"/>
          <cell r="AV194"/>
          <cell r="AW194"/>
          <cell r="AX194">
            <v>0.77600000000000002</v>
          </cell>
          <cell r="AY194">
            <v>1446</v>
          </cell>
          <cell r="AZ194"/>
        </row>
        <row r="195">
          <cell r="A195">
            <v>34973</v>
          </cell>
          <cell r="B195" t="str">
            <v/>
          </cell>
          <cell r="C195" t="str">
            <v/>
          </cell>
          <cell r="D195"/>
          <cell r="E195"/>
          <cell r="F195"/>
          <cell r="G195"/>
          <cell r="H195"/>
          <cell r="I195"/>
          <cell r="J195"/>
          <cell r="K195"/>
          <cell r="L195"/>
          <cell r="M195"/>
          <cell r="N195"/>
          <cell r="O195"/>
          <cell r="P195"/>
          <cell r="Q195"/>
          <cell r="R195"/>
          <cell r="S195">
            <v>3.992</v>
          </cell>
          <cell r="T195"/>
          <cell r="U195"/>
          <cell r="V195"/>
          <cell r="W195">
            <v>6.5449999999999999</v>
          </cell>
          <cell r="X195"/>
          <cell r="Y195"/>
          <cell r="Z195"/>
          <cell r="AA195"/>
          <cell r="AB195"/>
          <cell r="AC195"/>
          <cell r="AD195"/>
          <cell r="AE195"/>
          <cell r="AF195"/>
          <cell r="AG195"/>
          <cell r="AH195"/>
          <cell r="AI195">
            <v>4.1159999999999997</v>
          </cell>
          <cell r="AJ195">
            <v>4.5199999999999996</v>
          </cell>
          <cell r="AK195">
            <v>5.0590000000000002</v>
          </cell>
          <cell r="AL195">
            <v>5.9119999999999999</v>
          </cell>
          <cell r="AM195">
            <v>6.87</v>
          </cell>
          <cell r="AN195"/>
          <cell r="AO195"/>
          <cell r="AP195"/>
          <cell r="AQ195"/>
          <cell r="AR195"/>
          <cell r="AS195"/>
          <cell r="AT195"/>
          <cell r="AU195"/>
          <cell r="AV195"/>
          <cell r="AW195"/>
          <cell r="AX195">
            <v>0.75600000000000001</v>
          </cell>
          <cell r="AY195">
            <v>1404</v>
          </cell>
          <cell r="AZ195"/>
        </row>
        <row r="196">
          <cell r="A196">
            <v>35004</v>
          </cell>
          <cell r="B196" t="str">
            <v/>
          </cell>
          <cell r="C196" t="str">
            <v/>
          </cell>
          <cell r="D196"/>
          <cell r="E196"/>
          <cell r="F196"/>
          <cell r="G196"/>
          <cell r="H196"/>
          <cell r="I196"/>
          <cell r="J196"/>
          <cell r="K196"/>
          <cell r="L196"/>
          <cell r="M196"/>
          <cell r="N196"/>
          <cell r="O196"/>
          <cell r="P196"/>
          <cell r="Q196"/>
          <cell r="R196"/>
          <cell r="S196">
            <v>3.86</v>
          </cell>
          <cell r="T196"/>
          <cell r="U196"/>
          <cell r="V196"/>
          <cell r="W196">
            <v>6.32</v>
          </cell>
          <cell r="X196"/>
          <cell r="Y196"/>
          <cell r="Z196"/>
          <cell r="AA196"/>
          <cell r="AB196"/>
          <cell r="AC196"/>
          <cell r="AD196"/>
          <cell r="AE196"/>
          <cell r="AF196"/>
          <cell r="AG196"/>
          <cell r="AH196"/>
          <cell r="AI196">
            <v>3.9470000000000001</v>
          </cell>
          <cell r="AJ196">
            <v>4.2359999999999998</v>
          </cell>
          <cell r="AK196">
            <v>4.7210000000000001</v>
          </cell>
          <cell r="AL196">
            <v>5.5789999999999997</v>
          </cell>
          <cell r="AM196">
            <v>6.6360000000000001</v>
          </cell>
          <cell r="AN196"/>
          <cell r="AO196"/>
          <cell r="AP196"/>
          <cell r="AQ196"/>
          <cell r="AR196"/>
          <cell r="AS196"/>
          <cell r="AT196"/>
          <cell r="AU196"/>
          <cell r="AV196"/>
          <cell r="AW196"/>
          <cell r="AX196">
            <v>0.755</v>
          </cell>
          <cell r="AY196">
            <v>1433</v>
          </cell>
          <cell r="AZ196"/>
        </row>
        <row r="197">
          <cell r="A197">
            <v>35034</v>
          </cell>
          <cell r="B197" t="str">
            <v/>
          </cell>
          <cell r="C197" t="str">
            <v/>
          </cell>
          <cell r="D197"/>
          <cell r="E197"/>
          <cell r="F197"/>
          <cell r="G197"/>
          <cell r="H197"/>
          <cell r="I197"/>
          <cell r="J197"/>
          <cell r="K197"/>
          <cell r="L197"/>
          <cell r="M197"/>
          <cell r="N197"/>
          <cell r="O197"/>
          <cell r="P197"/>
          <cell r="Q197"/>
          <cell r="R197"/>
          <cell r="S197">
            <v>3.7029999999999998</v>
          </cell>
          <cell r="T197"/>
          <cell r="U197"/>
          <cell r="V197"/>
          <cell r="W197">
            <v>6.0709999999999997</v>
          </cell>
          <cell r="X197"/>
          <cell r="Y197"/>
          <cell r="Z197"/>
          <cell r="AA197"/>
          <cell r="AB197"/>
          <cell r="AC197"/>
          <cell r="AD197"/>
          <cell r="AE197"/>
          <cell r="AF197"/>
          <cell r="AG197"/>
          <cell r="AH197"/>
          <cell r="AI197">
            <v>3.7679999999999998</v>
          </cell>
          <cell r="AJ197">
            <v>3.9980000000000002</v>
          </cell>
          <cell r="AK197">
            <v>4.484</v>
          </cell>
          <cell r="AL197">
            <v>5.3710000000000004</v>
          </cell>
          <cell r="AM197">
            <v>6.4180000000000001</v>
          </cell>
          <cell r="AN197"/>
          <cell r="AO197"/>
          <cell r="AP197"/>
          <cell r="AQ197"/>
          <cell r="AR197"/>
          <cell r="AS197"/>
          <cell r="AT197"/>
          <cell r="AU197"/>
          <cell r="AV197"/>
          <cell r="AW197"/>
          <cell r="AX197">
            <v>0.76700000000000002</v>
          </cell>
          <cell r="AY197">
            <v>1486</v>
          </cell>
          <cell r="AZ197"/>
        </row>
        <row r="198">
          <cell r="A198">
            <v>35065</v>
          </cell>
          <cell r="B198" t="str">
            <v/>
          </cell>
          <cell r="C198" t="str">
            <v/>
          </cell>
          <cell r="D198"/>
          <cell r="E198"/>
          <cell r="F198"/>
          <cell r="G198"/>
          <cell r="H198"/>
          <cell r="I198"/>
          <cell r="J198"/>
          <cell r="K198"/>
          <cell r="L198"/>
          <cell r="M198"/>
          <cell r="N198"/>
          <cell r="O198"/>
          <cell r="P198"/>
          <cell r="Q198"/>
          <cell r="R198"/>
          <cell r="S198">
            <v>3.391</v>
          </cell>
          <cell r="T198">
            <v>3.649</v>
          </cell>
          <cell r="U198">
            <v>4.0199999999999996</v>
          </cell>
          <cell r="V198">
            <v>4.9119999999999999</v>
          </cell>
          <cell r="W198">
            <v>5.9020000000000001</v>
          </cell>
          <cell r="X198">
            <v>6.6870000000000003</v>
          </cell>
          <cell r="Y198"/>
          <cell r="Z198"/>
          <cell r="AA198"/>
          <cell r="AB198"/>
          <cell r="AC198"/>
          <cell r="AD198"/>
          <cell r="AE198"/>
          <cell r="AF198"/>
          <cell r="AG198"/>
          <cell r="AH198"/>
          <cell r="AI198">
            <v>3.4889999999999999</v>
          </cell>
          <cell r="AJ198">
            <v>3.7309999999999999</v>
          </cell>
          <cell r="AK198">
            <v>4.2069999999999999</v>
          </cell>
          <cell r="AL198">
            <v>5.1360000000000001</v>
          </cell>
          <cell r="AM198">
            <v>6.2460000000000004</v>
          </cell>
          <cell r="AN198"/>
          <cell r="AO198"/>
          <cell r="AP198"/>
          <cell r="AQ198"/>
          <cell r="AR198"/>
          <cell r="AS198"/>
          <cell r="AT198"/>
          <cell r="AU198"/>
          <cell r="AV198"/>
          <cell r="AW198"/>
          <cell r="AX198">
            <v>0.77400000000000002</v>
          </cell>
          <cell r="AY198">
            <v>1556</v>
          </cell>
          <cell r="AZ198"/>
        </row>
        <row r="199">
          <cell r="A199">
            <v>35096</v>
          </cell>
          <cell r="B199" t="str">
            <v/>
          </cell>
          <cell r="C199" t="str">
            <v/>
          </cell>
          <cell r="D199"/>
          <cell r="E199"/>
          <cell r="F199"/>
          <cell r="G199"/>
          <cell r="H199"/>
          <cell r="I199"/>
          <cell r="J199"/>
          <cell r="K199"/>
          <cell r="L199"/>
          <cell r="M199"/>
          <cell r="N199"/>
          <cell r="O199"/>
          <cell r="P199"/>
          <cell r="Q199"/>
          <cell r="R199"/>
          <cell r="S199">
            <v>3.31</v>
          </cell>
          <cell r="T199">
            <v>3.9039999999999999</v>
          </cell>
          <cell r="U199">
            <v>4.4029999999999996</v>
          </cell>
          <cell r="V199">
            <v>5.3159999999999998</v>
          </cell>
          <cell r="W199">
            <v>6.1840000000000002</v>
          </cell>
          <cell r="X199">
            <v>7.0330000000000004</v>
          </cell>
          <cell r="Y199"/>
          <cell r="Z199"/>
          <cell r="AA199"/>
          <cell r="AB199"/>
          <cell r="AC199"/>
          <cell r="AD199"/>
          <cell r="AE199"/>
          <cell r="AF199"/>
          <cell r="AG199"/>
          <cell r="AH199"/>
          <cell r="AI199">
            <v>3.468</v>
          </cell>
          <cell r="AJ199">
            <v>3.9860000000000002</v>
          </cell>
          <cell r="AK199">
            <v>4.5739999999999998</v>
          </cell>
          <cell r="AL199">
            <v>5.5119999999999996</v>
          </cell>
          <cell r="AM199">
            <v>6.5819999999999999</v>
          </cell>
          <cell r="AN199"/>
          <cell r="AO199"/>
          <cell r="AP199"/>
          <cell r="AQ199"/>
          <cell r="AR199"/>
          <cell r="AS199"/>
          <cell r="AT199"/>
          <cell r="AU199"/>
          <cell r="AV199"/>
          <cell r="AW199"/>
          <cell r="AX199">
            <v>0.77600000000000002</v>
          </cell>
          <cell r="AY199">
            <v>1588</v>
          </cell>
          <cell r="AZ199"/>
        </row>
        <row r="200">
          <cell r="A200">
            <v>35125</v>
          </cell>
          <cell r="B200" t="str">
            <v/>
          </cell>
          <cell r="C200" t="str">
            <v/>
          </cell>
          <cell r="D200"/>
          <cell r="E200"/>
          <cell r="F200"/>
          <cell r="G200"/>
          <cell r="H200"/>
          <cell r="I200"/>
          <cell r="J200"/>
          <cell r="K200"/>
          <cell r="L200"/>
          <cell r="M200"/>
          <cell r="N200"/>
          <cell r="O200"/>
          <cell r="P200"/>
          <cell r="Q200"/>
          <cell r="R200"/>
          <cell r="S200">
            <v>3.3140000000000001</v>
          </cell>
          <cell r="T200">
            <v>3.9049999999999998</v>
          </cell>
          <cell r="U200">
            <v>4.484</v>
          </cell>
          <cell r="V200">
            <v>5.46</v>
          </cell>
          <cell r="W200">
            <v>6.4420000000000002</v>
          </cell>
          <cell r="X200">
            <v>7.2169999999999996</v>
          </cell>
          <cell r="Y200"/>
          <cell r="Z200"/>
          <cell r="AA200"/>
          <cell r="AB200"/>
          <cell r="AC200"/>
          <cell r="AD200"/>
          <cell r="AE200"/>
          <cell r="AF200"/>
          <cell r="AG200"/>
          <cell r="AH200"/>
          <cell r="AI200">
            <v>3.4980000000000002</v>
          </cell>
          <cell r="AJ200">
            <v>4.0830000000000002</v>
          </cell>
          <cell r="AK200">
            <v>4.7089999999999996</v>
          </cell>
          <cell r="AL200">
            <v>5.6859999999999999</v>
          </cell>
          <cell r="AM200">
            <v>6.7130000000000001</v>
          </cell>
          <cell r="AN200"/>
          <cell r="AO200"/>
          <cell r="AP200"/>
          <cell r="AQ200"/>
          <cell r="AR200"/>
          <cell r="AS200"/>
          <cell r="AT200"/>
          <cell r="AU200"/>
          <cell r="AV200"/>
          <cell r="AW200"/>
          <cell r="AX200">
            <v>0.78</v>
          </cell>
          <cell r="AY200">
            <v>1594</v>
          </cell>
          <cell r="AZ200"/>
        </row>
        <row r="201">
          <cell r="A201">
            <v>35156</v>
          </cell>
          <cell r="B201" t="str">
            <v/>
          </cell>
          <cell r="C201" t="str">
            <v/>
          </cell>
          <cell r="D201"/>
          <cell r="E201"/>
          <cell r="F201"/>
          <cell r="G201"/>
          <cell r="H201"/>
          <cell r="I201"/>
          <cell r="J201"/>
          <cell r="K201"/>
          <cell r="L201"/>
          <cell r="M201"/>
          <cell r="N201"/>
          <cell r="O201"/>
          <cell r="P201"/>
          <cell r="Q201"/>
          <cell r="R201"/>
          <cell r="S201">
            <v>3.24</v>
          </cell>
          <cell r="T201">
            <v>3.84</v>
          </cell>
          <cell r="U201">
            <v>4.4610000000000003</v>
          </cell>
          <cell r="V201">
            <v>5.3559999999999999</v>
          </cell>
          <cell r="W201">
            <v>6.3890000000000002</v>
          </cell>
          <cell r="X201">
            <v>7.1310000000000002</v>
          </cell>
          <cell r="Y201"/>
          <cell r="Z201"/>
          <cell r="AA201"/>
          <cell r="AB201"/>
          <cell r="AC201"/>
          <cell r="AD201"/>
          <cell r="AE201"/>
          <cell r="AF201"/>
          <cell r="AG201"/>
          <cell r="AH201"/>
          <cell r="AI201">
            <v>3.44</v>
          </cell>
          <cell r="AJ201">
            <v>4.0039999999999996</v>
          </cell>
          <cell r="AK201">
            <v>4.6139999999999999</v>
          </cell>
          <cell r="AL201">
            <v>5.5650000000000004</v>
          </cell>
          <cell r="AM201">
            <v>6.6360000000000001</v>
          </cell>
          <cell r="AN201"/>
          <cell r="AO201"/>
          <cell r="AP201"/>
          <cell r="AQ201"/>
          <cell r="AR201"/>
          <cell r="AS201"/>
          <cell r="AT201"/>
          <cell r="AU201"/>
          <cell r="AV201"/>
          <cell r="AW201"/>
          <cell r="AX201">
            <v>0.79</v>
          </cell>
          <cell r="AY201">
            <v>1645</v>
          </cell>
          <cell r="AZ201"/>
        </row>
        <row r="202">
          <cell r="A202">
            <v>35186</v>
          </cell>
          <cell r="B202" t="str">
            <v/>
          </cell>
          <cell r="C202" t="str">
            <v/>
          </cell>
          <cell r="D202"/>
          <cell r="E202"/>
          <cell r="F202"/>
          <cell r="G202"/>
          <cell r="H202"/>
          <cell r="I202"/>
          <cell r="J202"/>
          <cell r="K202"/>
          <cell r="L202"/>
          <cell r="M202"/>
          <cell r="N202"/>
          <cell r="O202"/>
          <cell r="P202"/>
          <cell r="Q202"/>
          <cell r="R202"/>
          <cell r="S202">
            <v>3.23</v>
          </cell>
          <cell r="T202">
            <v>3.8570000000000002</v>
          </cell>
          <cell r="U202">
            <v>4.3710000000000004</v>
          </cell>
          <cell r="V202">
            <v>5.34</v>
          </cell>
          <cell r="W202">
            <v>6.4489999999999998</v>
          </cell>
          <cell r="X202">
            <v>7.1989999999999998</v>
          </cell>
          <cell r="Y202"/>
          <cell r="Z202"/>
          <cell r="AA202"/>
          <cell r="AB202"/>
          <cell r="AC202"/>
          <cell r="AD202"/>
          <cell r="AE202"/>
          <cell r="AF202"/>
          <cell r="AG202"/>
          <cell r="AH202"/>
          <cell r="AI202">
            <v>3.4470000000000001</v>
          </cell>
          <cell r="AJ202">
            <v>4.0030000000000001</v>
          </cell>
          <cell r="AK202">
            <v>4.6040000000000001</v>
          </cell>
          <cell r="AL202">
            <v>5.5839999999999996</v>
          </cell>
          <cell r="AM202">
            <v>6.6760000000000002</v>
          </cell>
          <cell r="AN202"/>
          <cell r="AO202"/>
          <cell r="AP202"/>
          <cell r="AQ202"/>
          <cell r="AR202"/>
          <cell r="AS202"/>
          <cell r="AT202"/>
          <cell r="AU202"/>
          <cell r="AV202"/>
          <cell r="AW202"/>
          <cell r="AX202">
            <v>0.80200000000000005</v>
          </cell>
          <cell r="AY202">
            <v>1672</v>
          </cell>
          <cell r="AZ202"/>
        </row>
        <row r="203">
          <cell r="A203">
            <v>35217</v>
          </cell>
          <cell r="B203" t="str">
            <v/>
          </cell>
          <cell r="C203" t="str">
            <v/>
          </cell>
          <cell r="D203"/>
          <cell r="E203"/>
          <cell r="F203"/>
          <cell r="G203"/>
          <cell r="H203"/>
          <cell r="I203"/>
          <cell r="J203"/>
          <cell r="K203"/>
          <cell r="L203"/>
          <cell r="M203"/>
          <cell r="N203"/>
          <cell r="O203"/>
          <cell r="P203"/>
          <cell r="Q203"/>
          <cell r="R203"/>
          <cell r="S203">
            <v>3.605</v>
          </cell>
          <cell r="T203">
            <v>4.0789999999999997</v>
          </cell>
          <cell r="U203">
            <v>4.6399999999999997</v>
          </cell>
          <cell r="V203">
            <v>5.476</v>
          </cell>
          <cell r="W203">
            <v>6.57</v>
          </cell>
          <cell r="X203">
            <v>7.3159999999999998</v>
          </cell>
          <cell r="Y203"/>
          <cell r="Z203"/>
          <cell r="AA203"/>
          <cell r="AB203"/>
          <cell r="AC203"/>
          <cell r="AD203"/>
          <cell r="AE203"/>
          <cell r="AF203"/>
          <cell r="AG203"/>
          <cell r="AH203"/>
          <cell r="AI203">
            <v>3.6720000000000002</v>
          </cell>
          <cell r="AJ203">
            <v>4.2809999999999997</v>
          </cell>
          <cell r="AK203">
            <v>4.8609999999999998</v>
          </cell>
          <cell r="AL203">
            <v>5.758</v>
          </cell>
          <cell r="AM203">
            <v>6.76</v>
          </cell>
          <cell r="AN203"/>
          <cell r="AO203"/>
          <cell r="AP203"/>
          <cell r="AQ203"/>
          <cell r="AR203"/>
          <cell r="AS203"/>
          <cell r="AT203"/>
          <cell r="AU203"/>
          <cell r="AV203"/>
          <cell r="AW203"/>
          <cell r="AX203">
            <v>0.79800000000000004</v>
          </cell>
          <cell r="AY203">
            <v>1667</v>
          </cell>
          <cell r="AZ203"/>
        </row>
        <row r="204">
          <cell r="A204">
            <v>35247</v>
          </cell>
          <cell r="B204" t="str">
            <v/>
          </cell>
          <cell r="C204" t="str">
            <v/>
          </cell>
          <cell r="D204"/>
          <cell r="E204"/>
          <cell r="F204"/>
          <cell r="G204"/>
          <cell r="H204"/>
          <cell r="I204"/>
          <cell r="J204"/>
          <cell r="K204"/>
          <cell r="L204"/>
          <cell r="M204"/>
          <cell r="N204"/>
          <cell r="O204"/>
          <cell r="P204"/>
          <cell r="Q204"/>
          <cell r="R204"/>
          <cell r="S204">
            <v>3.5870000000000002</v>
          </cell>
          <cell r="T204">
            <v>4.1360000000000001</v>
          </cell>
          <cell r="U204">
            <v>4.7439999999999998</v>
          </cell>
          <cell r="V204">
            <v>5.5110000000000001</v>
          </cell>
          <cell r="W204">
            <v>6.4770000000000003</v>
          </cell>
          <cell r="X204">
            <v>7.1870000000000003</v>
          </cell>
          <cell r="Y204"/>
          <cell r="Z204"/>
          <cell r="AA204"/>
          <cell r="AB204"/>
          <cell r="AC204"/>
          <cell r="AD204"/>
          <cell r="AE204"/>
          <cell r="AF204"/>
          <cell r="AG204"/>
          <cell r="AH204"/>
          <cell r="AI204">
            <v>3.6880000000000002</v>
          </cell>
          <cell r="AJ204">
            <v>4.2969999999999997</v>
          </cell>
          <cell r="AK204">
            <v>4.8879999999999999</v>
          </cell>
          <cell r="AL204">
            <v>5.7590000000000003</v>
          </cell>
          <cell r="AM204">
            <v>6.681</v>
          </cell>
          <cell r="AN204"/>
          <cell r="AO204"/>
          <cell r="AP204"/>
          <cell r="AQ204"/>
          <cell r="AR204"/>
          <cell r="AS204"/>
          <cell r="AT204"/>
          <cell r="AU204"/>
          <cell r="AV204"/>
          <cell r="AW204"/>
          <cell r="AX204">
            <v>0.78700000000000003</v>
          </cell>
          <cell r="AY204">
            <v>1614</v>
          </cell>
          <cell r="AZ204"/>
        </row>
        <row r="205">
          <cell r="A205">
            <v>35278</v>
          </cell>
          <cell r="B205" t="str">
            <v/>
          </cell>
          <cell r="C205" t="str">
            <v/>
          </cell>
          <cell r="D205"/>
          <cell r="E205"/>
          <cell r="F205"/>
          <cell r="G205"/>
          <cell r="H205"/>
          <cell r="I205"/>
          <cell r="J205"/>
          <cell r="K205"/>
          <cell r="L205"/>
          <cell r="M205"/>
          <cell r="N205"/>
          <cell r="O205"/>
          <cell r="P205"/>
          <cell r="Q205"/>
          <cell r="R205"/>
          <cell r="S205">
            <v>3.379</v>
          </cell>
          <cell r="T205">
            <v>3.9279999999999999</v>
          </cell>
          <cell r="U205">
            <v>4.4669999999999996</v>
          </cell>
          <cell r="V205">
            <v>5.2729999999999997</v>
          </cell>
          <cell r="W205">
            <v>6.3040000000000003</v>
          </cell>
          <cell r="X205">
            <v>7.0369999999999999</v>
          </cell>
          <cell r="Y205"/>
          <cell r="Z205"/>
          <cell r="AA205"/>
          <cell r="AB205"/>
          <cell r="AC205"/>
          <cell r="AD205"/>
          <cell r="AE205"/>
          <cell r="AF205"/>
          <cell r="AG205"/>
          <cell r="AH205"/>
          <cell r="AI205">
            <v>3.5</v>
          </cell>
          <cell r="AJ205">
            <v>4.04</v>
          </cell>
          <cell r="AK205">
            <v>4.6390000000000002</v>
          </cell>
          <cell r="AL205">
            <v>5.5640000000000001</v>
          </cell>
          <cell r="AM205">
            <v>6.5730000000000004</v>
          </cell>
          <cell r="AN205"/>
          <cell r="AO205"/>
          <cell r="AP205"/>
          <cell r="AQ205"/>
          <cell r="AR205"/>
          <cell r="AS205"/>
          <cell r="AT205"/>
          <cell r="AU205"/>
          <cell r="AV205"/>
          <cell r="AW205"/>
          <cell r="AX205">
            <v>0.77900000000000003</v>
          </cell>
          <cell r="AY205">
            <v>1620</v>
          </cell>
          <cell r="AZ205"/>
        </row>
        <row r="206">
          <cell r="A206">
            <v>35309</v>
          </cell>
          <cell r="B206" t="str">
            <v/>
          </cell>
          <cell r="C206" t="str">
            <v/>
          </cell>
          <cell r="D206"/>
          <cell r="E206"/>
          <cell r="F206"/>
          <cell r="G206"/>
          <cell r="H206"/>
          <cell r="I206"/>
          <cell r="J206"/>
          <cell r="K206"/>
          <cell r="L206"/>
          <cell r="M206"/>
          <cell r="N206"/>
          <cell r="O206"/>
          <cell r="P206"/>
          <cell r="Q206"/>
          <cell r="R206"/>
          <cell r="S206">
            <v>3.27</v>
          </cell>
          <cell r="T206">
            <v>3.7229999999999999</v>
          </cell>
          <cell r="U206">
            <v>4.2729999999999997</v>
          </cell>
          <cell r="V206">
            <v>5.165</v>
          </cell>
          <cell r="W206">
            <v>6.234</v>
          </cell>
          <cell r="X206">
            <v>7.0190000000000001</v>
          </cell>
          <cell r="Y206"/>
          <cell r="Z206"/>
          <cell r="AA206"/>
          <cell r="AB206"/>
          <cell r="AC206"/>
          <cell r="AD206"/>
          <cell r="AE206"/>
          <cell r="AF206"/>
          <cell r="AG206"/>
          <cell r="AH206"/>
          <cell r="AI206">
            <v>3.38</v>
          </cell>
          <cell r="AJ206">
            <v>3.875</v>
          </cell>
          <cell r="AK206">
            <v>4.4649999999999999</v>
          </cell>
          <cell r="AL206">
            <v>5.4130000000000003</v>
          </cell>
          <cell r="AM206">
            <v>6.4580000000000002</v>
          </cell>
          <cell r="AN206"/>
          <cell r="AO206"/>
          <cell r="AP206"/>
          <cell r="AQ206"/>
          <cell r="AR206"/>
          <cell r="AS206"/>
          <cell r="AT206"/>
          <cell r="AU206"/>
          <cell r="AV206"/>
          <cell r="AW206"/>
          <cell r="AX206">
            <v>0.78800000000000003</v>
          </cell>
          <cell r="AY206">
            <v>1644</v>
          </cell>
          <cell r="AZ206"/>
        </row>
        <row r="207">
          <cell r="A207">
            <v>35339</v>
          </cell>
          <cell r="B207" t="str">
            <v/>
          </cell>
          <cell r="C207" t="str">
            <v/>
          </cell>
          <cell r="D207"/>
          <cell r="E207"/>
          <cell r="F207"/>
          <cell r="G207"/>
          <cell r="H207"/>
          <cell r="I207"/>
          <cell r="J207"/>
          <cell r="K207"/>
          <cell r="L207"/>
          <cell r="M207"/>
          <cell r="N207"/>
          <cell r="O207"/>
          <cell r="P207"/>
          <cell r="Q207"/>
          <cell r="R207"/>
          <cell r="S207">
            <v>3.2090000000000001</v>
          </cell>
          <cell r="T207">
            <v>3.5</v>
          </cell>
          <cell r="U207">
            <v>3.9870000000000001</v>
          </cell>
          <cell r="V207">
            <v>4.9489999999999998</v>
          </cell>
          <cell r="W207">
            <v>6.0039999999999996</v>
          </cell>
          <cell r="X207">
            <v>6.8369999999999997</v>
          </cell>
          <cell r="Y207"/>
          <cell r="Z207"/>
          <cell r="AA207"/>
          <cell r="AB207"/>
          <cell r="AC207"/>
          <cell r="AD207"/>
          <cell r="AE207"/>
          <cell r="AF207"/>
          <cell r="AG207"/>
          <cell r="AH207"/>
          <cell r="AI207">
            <v>3.306</v>
          </cell>
          <cell r="AJ207">
            <v>3.681</v>
          </cell>
          <cell r="AK207">
            <v>4.2089999999999996</v>
          </cell>
          <cell r="AL207">
            <v>5.1559999999999997</v>
          </cell>
          <cell r="AM207">
            <v>6.2709999999999999</v>
          </cell>
          <cell r="AN207"/>
          <cell r="AO207"/>
          <cell r="AP207"/>
          <cell r="AQ207"/>
          <cell r="AR207"/>
          <cell r="AS207"/>
          <cell r="AT207"/>
          <cell r="AU207"/>
          <cell r="AV207"/>
          <cell r="AW207"/>
          <cell r="AX207">
            <v>0.79500000000000004</v>
          </cell>
          <cell r="AY207">
            <v>1714</v>
          </cell>
          <cell r="AZ207"/>
        </row>
        <row r="208">
          <cell r="A208">
            <v>35370</v>
          </cell>
          <cell r="B208" t="str">
            <v/>
          </cell>
          <cell r="C208" t="str">
            <v/>
          </cell>
          <cell r="D208"/>
          <cell r="E208"/>
          <cell r="F208"/>
          <cell r="G208"/>
          <cell r="H208"/>
          <cell r="I208"/>
          <cell r="J208"/>
          <cell r="K208"/>
          <cell r="L208"/>
          <cell r="M208"/>
          <cell r="N208"/>
          <cell r="O208"/>
          <cell r="P208"/>
          <cell r="Q208"/>
          <cell r="R208"/>
          <cell r="S208">
            <v>3.2690000000000001</v>
          </cell>
          <cell r="T208">
            <v>3.5950000000000002</v>
          </cell>
          <cell r="U208">
            <v>4.0890000000000004</v>
          </cell>
          <cell r="V208">
            <v>4.8920000000000003</v>
          </cell>
          <cell r="W208">
            <v>5.8550000000000004</v>
          </cell>
          <cell r="X208">
            <v>6.7359999999999998</v>
          </cell>
          <cell r="Y208"/>
          <cell r="Z208"/>
          <cell r="AA208"/>
          <cell r="AB208"/>
          <cell r="AC208"/>
          <cell r="AD208"/>
          <cell r="AE208"/>
          <cell r="AF208"/>
          <cell r="AG208"/>
          <cell r="AH208"/>
          <cell r="AI208">
            <v>3.3719999999999999</v>
          </cell>
          <cell r="AJ208">
            <v>3.7610000000000001</v>
          </cell>
          <cell r="AK208">
            <v>4.26</v>
          </cell>
          <cell r="AL208">
            <v>5.1059999999999999</v>
          </cell>
          <cell r="AM208">
            <v>6.1559999999999997</v>
          </cell>
          <cell r="AN208"/>
          <cell r="AO208"/>
          <cell r="AP208"/>
          <cell r="AQ208"/>
          <cell r="AR208"/>
          <cell r="AS208"/>
          <cell r="AT208"/>
          <cell r="AU208"/>
          <cell r="AV208"/>
          <cell r="AW208"/>
          <cell r="AX208">
            <v>0.78300000000000003</v>
          </cell>
          <cell r="AY208">
            <v>1761</v>
          </cell>
          <cell r="AZ208"/>
        </row>
        <row r="209">
          <cell r="A209">
            <v>35400</v>
          </cell>
          <cell r="B209" t="str">
            <v/>
          </cell>
          <cell r="C209" t="str">
            <v/>
          </cell>
          <cell r="D209"/>
          <cell r="E209"/>
          <cell r="F209"/>
          <cell r="G209"/>
          <cell r="H209"/>
          <cell r="I209"/>
          <cell r="J209"/>
          <cell r="K209"/>
          <cell r="L209"/>
          <cell r="M209"/>
          <cell r="N209"/>
          <cell r="O209"/>
          <cell r="P209"/>
          <cell r="Q209"/>
          <cell r="R209"/>
          <cell r="S209">
            <v>3.2250000000000001</v>
          </cell>
          <cell r="T209">
            <v>3.5310000000000001</v>
          </cell>
          <cell r="U209">
            <v>3.944</v>
          </cell>
          <cell r="V209">
            <v>4.8780000000000001</v>
          </cell>
          <cell r="W209">
            <v>5.79</v>
          </cell>
          <cell r="X209">
            <v>6.6879999999999997</v>
          </cell>
          <cell r="Y209"/>
          <cell r="Z209"/>
          <cell r="AA209"/>
          <cell r="AB209"/>
          <cell r="AC209"/>
          <cell r="AD209"/>
          <cell r="AE209"/>
          <cell r="AF209"/>
          <cell r="AG209"/>
          <cell r="AH209"/>
          <cell r="AI209">
            <v>3.3239999999999998</v>
          </cell>
          <cell r="AJ209">
            <v>3.66</v>
          </cell>
          <cell r="AK209">
            <v>4.1500000000000004</v>
          </cell>
          <cell r="AL209">
            <v>5.0330000000000004</v>
          </cell>
          <cell r="AM209">
            <v>6.1550000000000002</v>
          </cell>
          <cell r="AN209"/>
          <cell r="AO209"/>
          <cell r="AP209"/>
          <cell r="AQ209"/>
          <cell r="AR209"/>
          <cell r="AS209"/>
          <cell r="AT209"/>
          <cell r="AU209"/>
          <cell r="AV209"/>
          <cell r="AW209"/>
          <cell r="AX209">
            <v>0.8</v>
          </cell>
          <cell r="AY209">
            <v>1816</v>
          </cell>
          <cell r="AZ209"/>
        </row>
        <row r="210">
          <cell r="A210">
            <v>35431</v>
          </cell>
          <cell r="B210" t="str">
            <v/>
          </cell>
          <cell r="C210" t="str">
            <v/>
          </cell>
          <cell r="D210"/>
          <cell r="E210"/>
          <cell r="F210"/>
          <cell r="G210"/>
          <cell r="H210"/>
          <cell r="I210"/>
          <cell r="J210"/>
          <cell r="K210"/>
          <cell r="L210"/>
          <cell r="M210"/>
          <cell r="N210"/>
          <cell r="O210"/>
          <cell r="P210"/>
          <cell r="Q210"/>
          <cell r="R210"/>
          <cell r="S210">
            <v>3.1440000000000001</v>
          </cell>
          <cell r="T210">
            <v>3.4630000000000001</v>
          </cell>
          <cell r="U210">
            <v>3.8980000000000001</v>
          </cell>
          <cell r="V210">
            <v>4.7960000000000003</v>
          </cell>
          <cell r="W210">
            <v>5.7939999999999996</v>
          </cell>
          <cell r="X210">
            <v>6.6870000000000003</v>
          </cell>
          <cell r="Y210"/>
          <cell r="Z210"/>
          <cell r="AA210"/>
          <cell r="AB210"/>
          <cell r="AC210"/>
          <cell r="AD210"/>
          <cell r="AE210"/>
          <cell r="AF210"/>
          <cell r="AG210"/>
          <cell r="AH210"/>
          <cell r="AI210">
            <v>3.2519999999999998</v>
          </cell>
          <cell r="AJ210">
            <v>3.5870000000000002</v>
          </cell>
          <cell r="AK210">
            <v>4.056</v>
          </cell>
          <cell r="AL210">
            <v>4.9400000000000004</v>
          </cell>
          <cell r="AM210">
            <v>6.093</v>
          </cell>
          <cell r="AN210"/>
          <cell r="AO210"/>
          <cell r="AP210"/>
          <cell r="AQ210"/>
          <cell r="AR210"/>
          <cell r="AS210"/>
          <cell r="AT210"/>
          <cell r="AU210"/>
          <cell r="AV210"/>
          <cell r="AW210"/>
          <cell r="AX210">
            <v>0.82099999999999995</v>
          </cell>
          <cell r="AY210">
            <v>1932</v>
          </cell>
          <cell r="AZ210"/>
        </row>
        <row r="211">
          <cell r="A211">
            <v>35462</v>
          </cell>
          <cell r="B211" t="str">
            <v/>
          </cell>
          <cell r="C211" t="str">
            <v/>
          </cell>
          <cell r="D211"/>
          <cell r="E211"/>
          <cell r="F211"/>
          <cell r="G211"/>
          <cell r="H211"/>
          <cell r="I211"/>
          <cell r="J211"/>
          <cell r="K211"/>
          <cell r="L211"/>
          <cell r="M211"/>
          <cell r="N211"/>
          <cell r="O211"/>
          <cell r="P211"/>
          <cell r="Q211"/>
          <cell r="R211"/>
          <cell r="S211">
            <v>3.1909999999999998</v>
          </cell>
          <cell r="T211">
            <v>3.456</v>
          </cell>
          <cell r="U211">
            <v>3.7480000000000002</v>
          </cell>
          <cell r="V211">
            <v>4.58</v>
          </cell>
          <cell r="W211">
            <v>5.5759999999999996</v>
          </cell>
          <cell r="X211">
            <v>6.3869999999999996</v>
          </cell>
          <cell r="Y211"/>
          <cell r="Z211"/>
          <cell r="AA211"/>
          <cell r="AB211"/>
          <cell r="AC211"/>
          <cell r="AD211"/>
          <cell r="AE211"/>
          <cell r="AF211"/>
          <cell r="AG211"/>
          <cell r="AH211"/>
          <cell r="AI211">
            <v>3.2909999999999999</v>
          </cell>
          <cell r="AJ211">
            <v>3.577</v>
          </cell>
          <cell r="AK211">
            <v>3.984</v>
          </cell>
          <cell r="AL211">
            <v>4.7439999999999998</v>
          </cell>
          <cell r="AM211">
            <v>5.8049999999999997</v>
          </cell>
          <cell r="AN211"/>
          <cell r="AO211"/>
          <cell r="AP211"/>
          <cell r="AQ211"/>
          <cell r="AR211"/>
          <cell r="AS211"/>
          <cell r="AT211"/>
          <cell r="AU211"/>
          <cell r="AV211"/>
          <cell r="AW211"/>
          <cell r="AX211">
            <v>0.85799999999999998</v>
          </cell>
          <cell r="AY211">
            <v>2071</v>
          </cell>
          <cell r="AZ211"/>
        </row>
        <row r="212">
          <cell r="A212">
            <v>35490</v>
          </cell>
          <cell r="B212" t="str">
            <v/>
          </cell>
          <cell r="C212" t="str">
            <v/>
          </cell>
          <cell r="D212"/>
          <cell r="E212"/>
          <cell r="F212"/>
          <cell r="G212"/>
          <cell r="H212"/>
          <cell r="I212"/>
          <cell r="J212"/>
          <cell r="K212"/>
          <cell r="L212"/>
          <cell r="M212"/>
          <cell r="N212"/>
          <cell r="O212"/>
          <cell r="P212"/>
          <cell r="Q212"/>
          <cell r="R212"/>
          <cell r="S212">
            <v>3.3879999999999999</v>
          </cell>
          <cell r="T212">
            <v>3.6859999999999999</v>
          </cell>
          <cell r="U212">
            <v>4.09</v>
          </cell>
          <cell r="V212">
            <v>4.806</v>
          </cell>
          <cell r="W212">
            <v>5.7619999999999996</v>
          </cell>
          <cell r="X212">
            <v>6.5510000000000002</v>
          </cell>
          <cell r="Y212"/>
          <cell r="Z212"/>
          <cell r="AA212"/>
          <cell r="AB212"/>
          <cell r="AC212"/>
          <cell r="AD212"/>
          <cell r="AE212"/>
          <cell r="AF212"/>
          <cell r="AG212"/>
          <cell r="AH212"/>
          <cell r="AI212">
            <v>3.46</v>
          </cell>
          <cell r="AJ212">
            <v>3.8140000000000001</v>
          </cell>
          <cell r="AK212">
            <v>4.25</v>
          </cell>
          <cell r="AL212">
            <v>4.992</v>
          </cell>
          <cell r="AM212">
            <v>6.0119999999999996</v>
          </cell>
          <cell r="AN212"/>
          <cell r="AO212"/>
          <cell r="AP212"/>
          <cell r="AQ212"/>
          <cell r="AR212"/>
          <cell r="AS212"/>
          <cell r="AT212"/>
          <cell r="AU212"/>
          <cell r="AV212"/>
          <cell r="AW212"/>
          <cell r="AX212">
            <v>0.86899999999999999</v>
          </cell>
          <cell r="AY212">
            <v>2123</v>
          </cell>
          <cell r="AZ212"/>
        </row>
        <row r="213">
          <cell r="A213">
            <v>35521</v>
          </cell>
          <cell r="B213" t="str">
            <v/>
          </cell>
          <cell r="C213" t="str">
            <v/>
          </cell>
          <cell r="D213"/>
          <cell r="E213"/>
          <cell r="F213"/>
          <cell r="G213"/>
          <cell r="H213"/>
          <cell r="I213"/>
          <cell r="J213"/>
          <cell r="K213"/>
          <cell r="L213"/>
          <cell r="M213"/>
          <cell r="N213"/>
          <cell r="O213"/>
          <cell r="P213"/>
          <cell r="Q213"/>
          <cell r="R213"/>
          <cell r="S213">
            <v>3.3330000000000002</v>
          </cell>
          <cell r="T213">
            <v>3.6309999999999998</v>
          </cell>
          <cell r="U213">
            <v>4.0579999999999998</v>
          </cell>
          <cell r="V213">
            <v>4.8390000000000004</v>
          </cell>
          <cell r="W213">
            <v>5.8959999999999999</v>
          </cell>
          <cell r="X213">
            <v>6.6959999999999997</v>
          </cell>
          <cell r="Y213"/>
          <cell r="Z213"/>
          <cell r="AA213"/>
          <cell r="AB213"/>
          <cell r="AC213"/>
          <cell r="AD213"/>
          <cell r="AE213"/>
          <cell r="AF213"/>
          <cell r="AG213"/>
          <cell r="AH213"/>
          <cell r="AI213">
            <v>3.4329999999999998</v>
          </cell>
          <cell r="AJ213">
            <v>3.7759999999999998</v>
          </cell>
          <cell r="AK213">
            <v>4.2329999999999997</v>
          </cell>
          <cell r="AL213">
            <v>5.0439999999999996</v>
          </cell>
          <cell r="AM213">
            <v>6.0979999999999999</v>
          </cell>
          <cell r="AN213"/>
          <cell r="AO213"/>
          <cell r="AP213"/>
          <cell r="AQ213"/>
          <cell r="AR213"/>
          <cell r="AS213"/>
          <cell r="AT213"/>
          <cell r="AU213"/>
          <cell r="AV213"/>
          <cell r="AW213"/>
          <cell r="AX213">
            <v>0.873</v>
          </cell>
          <cell r="AY213">
            <v>2097</v>
          </cell>
          <cell r="AZ213"/>
        </row>
        <row r="214">
          <cell r="A214">
            <v>35551</v>
          </cell>
          <cell r="B214" t="str">
            <v/>
          </cell>
          <cell r="C214" t="str">
            <v/>
          </cell>
          <cell r="D214"/>
          <cell r="E214"/>
          <cell r="F214"/>
          <cell r="G214"/>
          <cell r="H214"/>
          <cell r="I214"/>
          <cell r="J214"/>
          <cell r="K214"/>
          <cell r="L214"/>
          <cell r="M214"/>
          <cell r="N214"/>
          <cell r="O214"/>
          <cell r="P214"/>
          <cell r="Q214"/>
          <cell r="R214"/>
          <cell r="S214">
            <v>3.306</v>
          </cell>
          <cell r="T214">
            <v>3.5550000000000002</v>
          </cell>
          <cell r="U214">
            <v>3.9580000000000002</v>
          </cell>
          <cell r="V214">
            <v>4.7060000000000004</v>
          </cell>
          <cell r="W214">
            <v>5.8</v>
          </cell>
          <cell r="X214">
            <v>6.577</v>
          </cell>
          <cell r="Y214"/>
          <cell r="Z214"/>
          <cell r="AA214"/>
          <cell r="AB214"/>
          <cell r="AC214"/>
          <cell r="AD214"/>
          <cell r="AE214"/>
          <cell r="AF214"/>
          <cell r="AG214"/>
          <cell r="AH214"/>
          <cell r="AI214">
            <v>3.3929999999999998</v>
          </cell>
          <cell r="AJ214">
            <v>3.734</v>
          </cell>
          <cell r="AK214">
            <v>4.1660000000000004</v>
          </cell>
          <cell r="AL214">
            <v>4.952</v>
          </cell>
          <cell r="AM214">
            <v>5.9960000000000004</v>
          </cell>
          <cell r="AN214"/>
          <cell r="AO214"/>
          <cell r="AP214"/>
          <cell r="AQ214"/>
          <cell r="AR214"/>
          <cell r="AS214"/>
          <cell r="AT214"/>
          <cell r="AU214"/>
          <cell r="AV214"/>
          <cell r="AW214"/>
          <cell r="AX214">
            <v>0.871</v>
          </cell>
          <cell r="AY214">
            <v>2242</v>
          </cell>
          <cell r="AZ214"/>
        </row>
        <row r="215">
          <cell r="A215">
            <v>35582</v>
          </cell>
          <cell r="B215" t="str">
            <v/>
          </cell>
          <cell r="C215" t="str">
            <v/>
          </cell>
          <cell r="D215"/>
          <cell r="E215"/>
          <cell r="F215"/>
          <cell r="G215"/>
          <cell r="H215"/>
          <cell r="I215"/>
          <cell r="J215"/>
          <cell r="K215"/>
          <cell r="L215"/>
          <cell r="M215"/>
          <cell r="N215"/>
          <cell r="O215"/>
          <cell r="P215"/>
          <cell r="Q215"/>
          <cell r="R215"/>
          <cell r="S215">
            <v>3.22</v>
          </cell>
          <cell r="T215">
            <v>3.4780000000000002</v>
          </cell>
          <cell r="U215">
            <v>3.9359999999999999</v>
          </cell>
          <cell r="V215">
            <v>4.5750000000000002</v>
          </cell>
          <cell r="W215">
            <v>5.7530000000000001</v>
          </cell>
          <cell r="X215">
            <v>6.5490000000000004</v>
          </cell>
          <cell r="Y215"/>
          <cell r="Z215"/>
          <cell r="AA215"/>
          <cell r="AB215"/>
          <cell r="AC215"/>
          <cell r="AD215"/>
          <cell r="AE215"/>
          <cell r="AF215"/>
          <cell r="AG215"/>
          <cell r="AH215"/>
          <cell r="AI215">
            <v>3.3370000000000002</v>
          </cell>
          <cell r="AJ215">
            <v>3.6749999999999998</v>
          </cell>
          <cell r="AK215">
            <v>4.1029999999999998</v>
          </cell>
          <cell r="AL215">
            <v>4.8639999999999999</v>
          </cell>
          <cell r="AM215">
            <v>5.9290000000000003</v>
          </cell>
          <cell r="AN215"/>
          <cell r="AO215"/>
          <cell r="AP215"/>
          <cell r="AQ215"/>
          <cell r="AR215"/>
          <cell r="AS215"/>
          <cell r="AT215"/>
          <cell r="AU215"/>
          <cell r="AV215"/>
          <cell r="AW215"/>
          <cell r="AX215">
            <v>0.88</v>
          </cell>
          <cell r="AY215">
            <v>2350</v>
          </cell>
          <cell r="AZ215"/>
        </row>
        <row r="216">
          <cell r="A216">
            <v>35612</v>
          </cell>
          <cell r="B216" t="str">
            <v/>
          </cell>
          <cell r="C216" t="str">
            <v/>
          </cell>
          <cell r="D216"/>
          <cell r="E216"/>
          <cell r="F216"/>
          <cell r="G216"/>
          <cell r="H216"/>
          <cell r="I216"/>
          <cell r="J216"/>
          <cell r="K216"/>
          <cell r="L216"/>
          <cell r="M216"/>
          <cell r="N216"/>
          <cell r="O216"/>
          <cell r="P216"/>
          <cell r="Q216"/>
          <cell r="R216"/>
          <cell r="S216">
            <v>3.2309999999999999</v>
          </cell>
          <cell r="T216">
            <v>3.5569999999999999</v>
          </cell>
          <cell r="U216">
            <v>3.9470000000000001</v>
          </cell>
          <cell r="V216">
            <v>4.4320000000000004</v>
          </cell>
          <cell r="W216">
            <v>5.5640000000000001</v>
          </cell>
          <cell r="X216">
            <v>6.3289999999999997</v>
          </cell>
          <cell r="Y216"/>
          <cell r="Z216"/>
          <cell r="AA216"/>
          <cell r="AB216"/>
          <cell r="AC216"/>
          <cell r="AD216"/>
          <cell r="AE216"/>
          <cell r="AF216"/>
          <cell r="AG216"/>
          <cell r="AH216"/>
          <cell r="AI216">
            <v>3.4060000000000001</v>
          </cell>
          <cell r="AJ216">
            <v>3.7429999999999999</v>
          </cell>
          <cell r="AK216">
            <v>4.1210000000000004</v>
          </cell>
          <cell r="AL216">
            <v>4.7750000000000004</v>
          </cell>
          <cell r="AM216">
            <v>5.7530000000000001</v>
          </cell>
          <cell r="AN216"/>
          <cell r="AO216"/>
          <cell r="AP216"/>
          <cell r="AQ216"/>
          <cell r="AR216"/>
          <cell r="AS216"/>
          <cell r="AT216"/>
          <cell r="AU216"/>
          <cell r="AV216"/>
          <cell r="AW216"/>
          <cell r="AX216">
            <v>0.90500000000000003</v>
          </cell>
          <cell r="AY216">
            <v>2568</v>
          </cell>
          <cell r="AZ216"/>
        </row>
        <row r="217">
          <cell r="A217">
            <v>35643</v>
          </cell>
          <cell r="B217" t="str">
            <v/>
          </cell>
          <cell r="C217" t="str">
            <v/>
          </cell>
          <cell r="D217"/>
          <cell r="E217"/>
          <cell r="F217"/>
          <cell r="G217"/>
          <cell r="H217"/>
          <cell r="I217"/>
          <cell r="J217"/>
          <cell r="K217"/>
          <cell r="L217"/>
          <cell r="M217"/>
          <cell r="N217"/>
          <cell r="O217"/>
          <cell r="P217"/>
          <cell r="Q217"/>
          <cell r="R217"/>
          <cell r="S217">
            <v>3.4409999999999998</v>
          </cell>
          <cell r="T217">
            <v>3.89</v>
          </cell>
          <cell r="U217">
            <v>4.3109999999999999</v>
          </cell>
          <cell r="V217">
            <v>4.859</v>
          </cell>
          <cell r="W217">
            <v>5.6589999999999998</v>
          </cell>
          <cell r="X217">
            <v>6.3739999999999997</v>
          </cell>
          <cell r="Y217"/>
          <cell r="Z217"/>
          <cell r="AA217"/>
          <cell r="AB217"/>
          <cell r="AC217"/>
          <cell r="AD217"/>
          <cell r="AE217"/>
          <cell r="AF217"/>
          <cell r="AG217"/>
          <cell r="AH217"/>
          <cell r="AI217">
            <v>3.649</v>
          </cell>
          <cell r="AJ217">
            <v>4.0620000000000003</v>
          </cell>
          <cell r="AK217">
            <v>4.4279999999999999</v>
          </cell>
          <cell r="AL217">
            <v>5.0140000000000002</v>
          </cell>
          <cell r="AM217">
            <v>5.8650000000000002</v>
          </cell>
          <cell r="AN217"/>
          <cell r="AO217"/>
          <cell r="AP217"/>
          <cell r="AQ217"/>
          <cell r="AR217"/>
          <cell r="AS217"/>
          <cell r="AT217"/>
          <cell r="AU217"/>
          <cell r="AV217"/>
          <cell r="AW217"/>
          <cell r="AX217">
            <v>0.93200000000000005</v>
          </cell>
          <cell r="AY217">
            <v>2565</v>
          </cell>
          <cell r="AZ217"/>
        </row>
        <row r="218">
          <cell r="A218">
            <v>35674</v>
          </cell>
          <cell r="B218" t="str">
            <v/>
          </cell>
          <cell r="C218" t="str">
            <v/>
          </cell>
          <cell r="D218"/>
          <cell r="E218"/>
          <cell r="F218"/>
          <cell r="G218"/>
          <cell r="H218"/>
          <cell r="I218"/>
          <cell r="J218"/>
          <cell r="K218"/>
          <cell r="L218"/>
          <cell r="M218"/>
          <cell r="N218"/>
          <cell r="O218"/>
          <cell r="P218"/>
          <cell r="Q218"/>
          <cell r="R218"/>
          <cell r="S218">
            <v>3.5110000000000001</v>
          </cell>
          <cell r="T218">
            <v>3.9710000000000001</v>
          </cell>
          <cell r="U218">
            <v>4.3559999999999999</v>
          </cell>
          <cell r="V218">
            <v>4.9210000000000003</v>
          </cell>
          <cell r="W218">
            <v>5.601</v>
          </cell>
          <cell r="X218">
            <v>6.266</v>
          </cell>
          <cell r="Y218"/>
          <cell r="Z218"/>
          <cell r="AA218"/>
          <cell r="AB218"/>
          <cell r="AC218"/>
          <cell r="AD218"/>
          <cell r="AE218"/>
          <cell r="AF218"/>
          <cell r="AG218"/>
          <cell r="AH218"/>
          <cell r="AI218">
            <v>3.7410000000000001</v>
          </cell>
          <cell r="AJ218">
            <v>4.1539999999999999</v>
          </cell>
          <cell r="AK218">
            <v>4.5010000000000003</v>
          </cell>
          <cell r="AL218">
            <v>5.032</v>
          </cell>
          <cell r="AM218">
            <v>5.7889999999999997</v>
          </cell>
          <cell r="AN218"/>
          <cell r="AO218"/>
          <cell r="AP218"/>
          <cell r="AQ218"/>
          <cell r="AR218"/>
          <cell r="AS218"/>
          <cell r="AT218"/>
          <cell r="AU218"/>
          <cell r="AV218"/>
          <cell r="AW218"/>
          <cell r="AX218">
            <v>0.90900000000000003</v>
          </cell>
          <cell r="AY218">
            <v>2511</v>
          </cell>
          <cell r="AZ218"/>
        </row>
        <row r="219">
          <cell r="A219">
            <v>35704</v>
          </cell>
          <cell r="B219" t="str">
            <v/>
          </cell>
          <cell r="C219" t="str">
            <v/>
          </cell>
          <cell r="D219"/>
          <cell r="E219"/>
          <cell r="F219"/>
          <cell r="G219"/>
          <cell r="H219"/>
          <cell r="I219"/>
          <cell r="J219"/>
          <cell r="K219"/>
          <cell r="L219"/>
          <cell r="M219"/>
          <cell r="N219"/>
          <cell r="O219"/>
          <cell r="P219"/>
          <cell r="Q219"/>
          <cell r="R219"/>
          <cell r="S219">
            <v>3.863</v>
          </cell>
          <cell r="T219">
            <v>4.2590000000000003</v>
          </cell>
          <cell r="U219">
            <v>4.681</v>
          </cell>
          <cell r="V219">
            <v>5.0810000000000004</v>
          </cell>
          <cell r="W219">
            <v>5.5750000000000002</v>
          </cell>
          <cell r="X219">
            <v>6.16</v>
          </cell>
          <cell r="Y219"/>
          <cell r="Z219"/>
          <cell r="AA219"/>
          <cell r="AB219"/>
          <cell r="AC219"/>
          <cell r="AD219"/>
          <cell r="AE219"/>
          <cell r="AF219"/>
          <cell r="AG219"/>
          <cell r="AH219"/>
          <cell r="AI219">
            <v>4.0919999999999996</v>
          </cell>
          <cell r="AJ219">
            <v>4.5039999999999996</v>
          </cell>
          <cell r="AK219">
            <v>4.8159999999999998</v>
          </cell>
          <cell r="AL219">
            <v>5.2389999999999999</v>
          </cell>
          <cell r="AM219">
            <v>5.8150000000000004</v>
          </cell>
          <cell r="AN219"/>
          <cell r="AO219"/>
          <cell r="AP219"/>
          <cell r="AQ219"/>
          <cell r="AR219"/>
          <cell r="AS219"/>
          <cell r="AT219"/>
          <cell r="AU219"/>
          <cell r="AV219"/>
          <cell r="AW219"/>
          <cell r="AX219">
            <v>0.89300000000000002</v>
          </cell>
          <cell r="AY219">
            <v>2511</v>
          </cell>
          <cell r="AZ219"/>
        </row>
        <row r="220">
          <cell r="A220">
            <v>35735</v>
          </cell>
          <cell r="B220" t="str">
            <v/>
          </cell>
          <cell r="C220" t="str">
            <v/>
          </cell>
          <cell r="D220"/>
          <cell r="E220"/>
          <cell r="F220"/>
          <cell r="G220"/>
          <cell r="H220"/>
          <cell r="I220"/>
          <cell r="J220"/>
          <cell r="K220"/>
          <cell r="L220"/>
          <cell r="M220"/>
          <cell r="N220"/>
          <cell r="O220"/>
          <cell r="P220"/>
          <cell r="Q220"/>
          <cell r="R220"/>
          <cell r="S220">
            <v>4.0220000000000002</v>
          </cell>
          <cell r="T220">
            <v>4.1470000000000002</v>
          </cell>
          <cell r="U220">
            <v>4.6829999999999998</v>
          </cell>
          <cell r="V220">
            <v>5.0869999999999997</v>
          </cell>
          <cell r="W220">
            <v>5.5609999999999999</v>
          </cell>
          <cell r="X220">
            <v>6.1710000000000003</v>
          </cell>
          <cell r="Y220"/>
          <cell r="Z220"/>
          <cell r="AA220"/>
          <cell r="AB220"/>
          <cell r="AC220"/>
          <cell r="AD220"/>
          <cell r="AE220"/>
          <cell r="AF220"/>
          <cell r="AG220"/>
          <cell r="AH220"/>
          <cell r="AI220">
            <v>4.1529999999999996</v>
          </cell>
          <cell r="AJ220">
            <v>4.5330000000000004</v>
          </cell>
          <cell r="AK220">
            <v>4.8419999999999996</v>
          </cell>
          <cell r="AL220">
            <v>5.2619999999999996</v>
          </cell>
          <cell r="AM220">
            <v>5.8209999999999997</v>
          </cell>
          <cell r="AN220"/>
          <cell r="AO220"/>
          <cell r="AP220"/>
          <cell r="AQ220"/>
          <cell r="AR220"/>
          <cell r="AS220"/>
          <cell r="AT220"/>
          <cell r="AU220"/>
          <cell r="AV220"/>
          <cell r="AW220"/>
          <cell r="AX220">
            <v>0.878</v>
          </cell>
          <cell r="AY220">
            <v>2368</v>
          </cell>
          <cell r="AZ220"/>
        </row>
        <row r="221">
          <cell r="A221">
            <v>35765</v>
          </cell>
          <cell r="B221" t="str">
            <v/>
          </cell>
          <cell r="C221" t="str">
            <v/>
          </cell>
          <cell r="D221"/>
          <cell r="E221"/>
          <cell r="F221"/>
          <cell r="G221"/>
          <cell r="H221"/>
          <cell r="I221"/>
          <cell r="J221"/>
          <cell r="K221"/>
          <cell r="L221"/>
          <cell r="M221"/>
          <cell r="N221"/>
          <cell r="O221"/>
          <cell r="P221"/>
          <cell r="Q221"/>
          <cell r="R221"/>
          <cell r="S221">
            <v>3.9470000000000001</v>
          </cell>
          <cell r="T221">
            <v>4.1120000000000001</v>
          </cell>
          <cell r="U221">
            <v>4.49</v>
          </cell>
          <cell r="V221">
            <v>4.8920000000000003</v>
          </cell>
          <cell r="W221">
            <v>5.3159999999999998</v>
          </cell>
          <cell r="X221">
            <v>5.8970000000000002</v>
          </cell>
          <cell r="Y221"/>
          <cell r="Z221"/>
          <cell r="AA221"/>
          <cell r="AB221"/>
          <cell r="AC221"/>
          <cell r="AD221"/>
          <cell r="AE221"/>
          <cell r="AF221"/>
          <cell r="AG221"/>
          <cell r="AH221"/>
          <cell r="AI221">
            <v>4.0439999999999996</v>
          </cell>
          <cell r="AJ221">
            <v>4.4000000000000004</v>
          </cell>
          <cell r="AK221">
            <v>4.68</v>
          </cell>
          <cell r="AL221">
            <v>5.0640000000000001</v>
          </cell>
          <cell r="AM221">
            <v>5.5979999999999999</v>
          </cell>
          <cell r="AN221"/>
          <cell r="AO221"/>
          <cell r="AP221"/>
          <cell r="AQ221"/>
          <cell r="AR221"/>
          <cell r="AS221"/>
          <cell r="AT221"/>
          <cell r="AU221"/>
          <cell r="AV221"/>
          <cell r="AW221"/>
          <cell r="AX221">
            <v>0.89900000000000002</v>
          </cell>
          <cell r="AY221">
            <v>2474</v>
          </cell>
          <cell r="AZ221"/>
        </row>
        <row r="222">
          <cell r="A222">
            <v>35796</v>
          </cell>
          <cell r="B222" t="str">
            <v/>
          </cell>
          <cell r="C222" t="str">
            <v/>
          </cell>
          <cell r="D222"/>
          <cell r="E222"/>
          <cell r="F222"/>
          <cell r="G222"/>
          <cell r="H222"/>
          <cell r="I222"/>
          <cell r="J222"/>
          <cell r="K222"/>
          <cell r="L222"/>
          <cell r="M222"/>
          <cell r="N222"/>
          <cell r="O222"/>
          <cell r="P222"/>
          <cell r="Q222"/>
          <cell r="R222"/>
          <cell r="S222">
            <v>3.7450000000000001</v>
          </cell>
          <cell r="T222">
            <v>3.9079999999999999</v>
          </cell>
          <cell r="U222">
            <v>4.2160000000000002</v>
          </cell>
          <cell r="V222">
            <v>4.63</v>
          </cell>
          <cell r="W222">
            <v>5.1239999999999997</v>
          </cell>
          <cell r="X222">
            <v>5.7089999999999996</v>
          </cell>
          <cell r="Y222"/>
          <cell r="Z222"/>
          <cell r="AA222"/>
          <cell r="AB222"/>
          <cell r="AC222"/>
          <cell r="AD222"/>
          <cell r="AE222"/>
          <cell r="AF222"/>
          <cell r="AG222"/>
          <cell r="AH222"/>
          <cell r="AI222">
            <v>3.875</v>
          </cell>
          <cell r="AJ222">
            <v>4.1669999999999998</v>
          </cell>
          <cell r="AK222">
            <v>4.4260000000000002</v>
          </cell>
          <cell r="AL222">
            <v>4.8280000000000003</v>
          </cell>
          <cell r="AM222">
            <v>5.4009999999999998</v>
          </cell>
          <cell r="AN222"/>
          <cell r="AO222"/>
          <cell r="AP222"/>
          <cell r="AQ222"/>
          <cell r="AR222"/>
          <cell r="AS222"/>
          <cell r="AT222"/>
          <cell r="AU222"/>
          <cell r="AV222"/>
          <cell r="AW222"/>
          <cell r="AX222">
            <v>0.91900000000000004</v>
          </cell>
          <cell r="AY222">
            <v>2573</v>
          </cell>
          <cell r="AZ222"/>
        </row>
        <row r="223">
          <cell r="A223">
            <v>35827</v>
          </cell>
          <cell r="B223" t="str">
            <v/>
          </cell>
          <cell r="C223" t="str">
            <v/>
          </cell>
          <cell r="D223"/>
          <cell r="E223"/>
          <cell r="F223"/>
          <cell r="G223"/>
          <cell r="H223"/>
          <cell r="I223"/>
          <cell r="J223"/>
          <cell r="K223"/>
          <cell r="L223"/>
          <cell r="M223"/>
          <cell r="N223"/>
          <cell r="O223"/>
          <cell r="P223"/>
          <cell r="Q223"/>
          <cell r="R223"/>
          <cell r="S223">
            <v>3.6280000000000001</v>
          </cell>
          <cell r="T223">
            <v>3.843</v>
          </cell>
          <cell r="U223">
            <v>4.093</v>
          </cell>
          <cell r="V223">
            <v>4.4930000000000003</v>
          </cell>
          <cell r="W223">
            <v>4.9939999999999998</v>
          </cell>
          <cell r="X223">
            <v>5.5789999999999997</v>
          </cell>
          <cell r="Y223"/>
          <cell r="Z223"/>
          <cell r="AA223"/>
          <cell r="AB223"/>
          <cell r="AC223"/>
          <cell r="AD223"/>
          <cell r="AE223"/>
          <cell r="AF223"/>
          <cell r="AG223"/>
          <cell r="AH223"/>
          <cell r="AI223">
            <v>3.8170000000000002</v>
          </cell>
          <cell r="AJ223">
            <v>4.0940000000000003</v>
          </cell>
          <cell r="AK223">
            <v>4.3330000000000002</v>
          </cell>
          <cell r="AL223">
            <v>4.7110000000000003</v>
          </cell>
          <cell r="AM223">
            <v>5.2569999999999997</v>
          </cell>
          <cell r="AN223"/>
          <cell r="AO223"/>
          <cell r="AP223"/>
          <cell r="AQ223"/>
          <cell r="AR223"/>
          <cell r="AS223"/>
          <cell r="AT223"/>
          <cell r="AU223"/>
          <cell r="AV223"/>
          <cell r="AW223"/>
          <cell r="AX223">
            <v>0.91900000000000004</v>
          </cell>
          <cell r="AY223">
            <v>2762</v>
          </cell>
          <cell r="AZ223"/>
        </row>
        <row r="224">
          <cell r="A224">
            <v>35855</v>
          </cell>
          <cell r="B224" t="str">
            <v/>
          </cell>
          <cell r="C224" t="str">
            <v/>
          </cell>
          <cell r="D224"/>
          <cell r="E224"/>
          <cell r="F224"/>
          <cell r="G224"/>
          <cell r="H224"/>
          <cell r="I224"/>
          <cell r="J224"/>
          <cell r="K224"/>
          <cell r="L224"/>
          <cell r="M224"/>
          <cell r="N224"/>
          <cell r="O224"/>
          <cell r="P224"/>
          <cell r="Q224"/>
          <cell r="R224"/>
          <cell r="S224">
            <v>3.6829999999999998</v>
          </cell>
          <cell r="T224">
            <v>3.9</v>
          </cell>
          <cell r="U224">
            <v>4.1550000000000002</v>
          </cell>
          <cell r="V224">
            <v>4.4550000000000001</v>
          </cell>
          <cell r="W224">
            <v>4.9009999999999998</v>
          </cell>
          <cell r="X224">
            <v>5.4809999999999999</v>
          </cell>
          <cell r="Y224"/>
          <cell r="Z224"/>
          <cell r="AA224"/>
          <cell r="AB224"/>
          <cell r="AC224"/>
          <cell r="AD224"/>
          <cell r="AE224"/>
          <cell r="AF224"/>
          <cell r="AG224"/>
          <cell r="AH224"/>
          <cell r="AI224">
            <v>3.8319999999999999</v>
          </cell>
          <cell r="AJ224">
            <v>4.1310000000000002</v>
          </cell>
          <cell r="AK224">
            <v>4.3529999999999998</v>
          </cell>
          <cell r="AL224">
            <v>4.6820000000000004</v>
          </cell>
          <cell r="AM224">
            <v>5.1619999999999999</v>
          </cell>
          <cell r="AN224"/>
          <cell r="AO224"/>
          <cell r="AP224"/>
          <cell r="AQ224"/>
          <cell r="AR224"/>
          <cell r="AS224"/>
          <cell r="AT224"/>
          <cell r="AU224"/>
          <cell r="AV224"/>
          <cell r="AW224"/>
          <cell r="AX224">
            <v>0.92200000000000004</v>
          </cell>
          <cell r="AY224">
            <v>3029</v>
          </cell>
          <cell r="AZ224"/>
        </row>
        <row r="225">
          <cell r="A225">
            <v>35886</v>
          </cell>
          <cell r="B225" t="str">
            <v/>
          </cell>
          <cell r="C225" t="str">
            <v/>
          </cell>
          <cell r="D225"/>
          <cell r="E225"/>
          <cell r="F225"/>
          <cell r="G225"/>
          <cell r="H225"/>
          <cell r="I225"/>
          <cell r="J225"/>
          <cell r="K225"/>
          <cell r="L225"/>
          <cell r="M225"/>
          <cell r="N225"/>
          <cell r="O225"/>
          <cell r="P225"/>
          <cell r="Q225"/>
          <cell r="R225"/>
          <cell r="S225">
            <v>3.8439999999999999</v>
          </cell>
          <cell r="T225">
            <v>4.0519999999999996</v>
          </cell>
          <cell r="U225">
            <v>4.2770000000000001</v>
          </cell>
          <cell r="V225">
            <v>4.556</v>
          </cell>
          <cell r="W225">
            <v>4.8970000000000002</v>
          </cell>
          <cell r="X225">
            <v>5.4530000000000003</v>
          </cell>
          <cell r="Y225"/>
          <cell r="Z225"/>
          <cell r="AA225"/>
          <cell r="AB225"/>
          <cell r="AC225"/>
          <cell r="AD225"/>
          <cell r="AE225"/>
          <cell r="AF225"/>
          <cell r="AG225"/>
          <cell r="AH225"/>
          <cell r="AI225">
            <v>3.9849999999999999</v>
          </cell>
          <cell r="AJ225">
            <v>4.2880000000000003</v>
          </cell>
          <cell r="AK225">
            <v>4.4939999999999998</v>
          </cell>
          <cell r="AL225">
            <v>4.7629999999999999</v>
          </cell>
          <cell r="AM225">
            <v>5.1609999999999996</v>
          </cell>
          <cell r="AN225"/>
          <cell r="AO225"/>
          <cell r="AP225"/>
          <cell r="AQ225"/>
          <cell r="AR225"/>
          <cell r="AS225"/>
          <cell r="AT225"/>
          <cell r="AU225"/>
          <cell r="AV225"/>
          <cell r="AW225"/>
          <cell r="AX225">
            <v>0.91700000000000004</v>
          </cell>
          <cell r="AY225">
            <v>3239</v>
          </cell>
          <cell r="AZ225"/>
        </row>
        <row r="226">
          <cell r="A226">
            <v>35916</v>
          </cell>
          <cell r="B226" t="str">
            <v/>
          </cell>
          <cell r="C226" t="str">
            <v/>
          </cell>
          <cell r="D226"/>
          <cell r="E226"/>
          <cell r="F226"/>
          <cell r="G226"/>
          <cell r="H226"/>
          <cell r="I226"/>
          <cell r="J226"/>
          <cell r="K226"/>
          <cell r="L226"/>
          <cell r="M226"/>
          <cell r="N226"/>
          <cell r="O226"/>
          <cell r="P226"/>
          <cell r="Q226"/>
          <cell r="R226"/>
          <cell r="S226">
            <v>3.8180000000000001</v>
          </cell>
          <cell r="T226">
            <v>4.056</v>
          </cell>
          <cell r="U226">
            <v>4.3630000000000004</v>
          </cell>
          <cell r="V226">
            <v>4.6260000000000003</v>
          </cell>
          <cell r="W226">
            <v>4.9610000000000003</v>
          </cell>
          <cell r="X226">
            <v>5.5350000000000001</v>
          </cell>
          <cell r="Y226"/>
          <cell r="Z226"/>
          <cell r="AA226"/>
          <cell r="AB226"/>
          <cell r="AC226"/>
          <cell r="AD226"/>
          <cell r="AE226"/>
          <cell r="AF226"/>
          <cell r="AG226"/>
          <cell r="AH226"/>
          <cell r="AI226">
            <v>3.9969999999999999</v>
          </cell>
          <cell r="AJ226">
            <v>4.2969999999999997</v>
          </cell>
          <cell r="AK226">
            <v>4.5049999999999999</v>
          </cell>
          <cell r="AL226">
            <v>4.7949999999999999</v>
          </cell>
          <cell r="AM226">
            <v>5.218</v>
          </cell>
          <cell r="AN226"/>
          <cell r="AO226"/>
          <cell r="AP226"/>
          <cell r="AQ226"/>
          <cell r="AR226"/>
          <cell r="AS226"/>
          <cell r="AT226"/>
          <cell r="AU226"/>
          <cell r="AV226"/>
          <cell r="AW226"/>
          <cell r="AX226">
            <v>0.90200000000000002</v>
          </cell>
          <cell r="AY226">
            <v>3312</v>
          </cell>
          <cell r="AZ226"/>
        </row>
        <row r="227">
          <cell r="A227">
            <v>35947</v>
          </cell>
          <cell r="B227" t="str">
            <v/>
          </cell>
          <cell r="C227" t="str">
            <v/>
          </cell>
          <cell r="D227"/>
          <cell r="E227"/>
          <cell r="F227"/>
          <cell r="G227"/>
          <cell r="H227"/>
          <cell r="I227"/>
          <cell r="J227"/>
          <cell r="K227"/>
          <cell r="L227"/>
          <cell r="M227"/>
          <cell r="N227"/>
          <cell r="O227"/>
          <cell r="P227"/>
          <cell r="Q227"/>
          <cell r="R227"/>
          <cell r="S227">
            <v>3.742</v>
          </cell>
          <cell r="T227">
            <v>3.9580000000000002</v>
          </cell>
          <cell r="U227">
            <v>4.2309999999999999</v>
          </cell>
          <cell r="V227">
            <v>4.4989999999999997</v>
          </cell>
          <cell r="W227">
            <v>4.8019999999999996</v>
          </cell>
          <cell r="X227">
            <v>5.3719999999999999</v>
          </cell>
          <cell r="Y227"/>
          <cell r="Z227"/>
          <cell r="AA227"/>
          <cell r="AB227"/>
          <cell r="AC227"/>
          <cell r="AD227"/>
          <cell r="AE227"/>
          <cell r="AF227"/>
          <cell r="AG227"/>
          <cell r="AH227"/>
          <cell r="AI227">
            <v>3.9460000000000002</v>
          </cell>
          <cell r="AJ227">
            <v>4.2149999999999999</v>
          </cell>
          <cell r="AK227">
            <v>4.4039999999999999</v>
          </cell>
          <cell r="AL227">
            <v>4.6760000000000002</v>
          </cell>
          <cell r="AM227">
            <v>5.0819999999999999</v>
          </cell>
          <cell r="AN227"/>
          <cell r="AO227"/>
          <cell r="AP227"/>
          <cell r="AQ227"/>
          <cell r="AR227"/>
          <cell r="AS227"/>
          <cell r="AT227"/>
          <cell r="AU227"/>
          <cell r="AV227"/>
          <cell r="AW227"/>
          <cell r="AX227">
            <v>0.90800000000000003</v>
          </cell>
          <cell r="AY227">
            <v>3356</v>
          </cell>
          <cell r="AZ227"/>
        </row>
        <row r="228">
          <cell r="A228">
            <v>35977</v>
          </cell>
          <cell r="B228" t="str">
            <v/>
          </cell>
          <cell r="C228" t="str">
            <v/>
          </cell>
          <cell r="D228"/>
          <cell r="E228"/>
          <cell r="F228"/>
          <cell r="G228"/>
          <cell r="H228"/>
          <cell r="I228"/>
          <cell r="J228"/>
          <cell r="K228"/>
          <cell r="L228"/>
          <cell r="M228"/>
          <cell r="N228"/>
          <cell r="O228"/>
          <cell r="P228"/>
          <cell r="Q228"/>
          <cell r="R228"/>
          <cell r="S228">
            <v>3.7469999999999999</v>
          </cell>
          <cell r="T228">
            <v>3.915</v>
          </cell>
          <cell r="U228">
            <v>4.1100000000000003</v>
          </cell>
          <cell r="V228">
            <v>4.3860000000000001</v>
          </cell>
          <cell r="W228">
            <v>4.6909999999999998</v>
          </cell>
          <cell r="X228">
            <v>5.2949999999999999</v>
          </cell>
          <cell r="Y228"/>
          <cell r="Z228"/>
          <cell r="AA228"/>
          <cell r="AB228"/>
          <cell r="AC228"/>
          <cell r="AD228"/>
          <cell r="AE228"/>
          <cell r="AF228"/>
          <cell r="AG228"/>
          <cell r="AH228"/>
          <cell r="AI228">
            <v>3.8780000000000001</v>
          </cell>
          <cell r="AJ228">
            <v>4.1180000000000003</v>
          </cell>
          <cell r="AK228">
            <v>4.2930000000000001</v>
          </cell>
          <cell r="AL228">
            <v>4.5640000000000001</v>
          </cell>
          <cell r="AM228">
            <v>5.0140000000000002</v>
          </cell>
          <cell r="AN228"/>
          <cell r="AO228"/>
          <cell r="AP228"/>
          <cell r="AQ228"/>
          <cell r="AR228"/>
          <cell r="AS228"/>
          <cell r="AT228"/>
          <cell r="AU228"/>
          <cell r="AV228"/>
          <cell r="AW228"/>
          <cell r="AX228">
            <v>0.91100000000000003</v>
          </cell>
          <cell r="AY228">
            <v>3552</v>
          </cell>
          <cell r="AZ228"/>
        </row>
        <row r="229">
          <cell r="A229">
            <v>36008</v>
          </cell>
          <cell r="B229" t="str">
            <v/>
          </cell>
          <cell r="C229" t="str">
            <v/>
          </cell>
          <cell r="D229"/>
          <cell r="E229"/>
          <cell r="F229"/>
          <cell r="G229"/>
          <cell r="H229"/>
          <cell r="I229"/>
          <cell r="J229"/>
          <cell r="K229"/>
          <cell r="L229"/>
          <cell r="M229"/>
          <cell r="N229"/>
          <cell r="O229"/>
          <cell r="P229"/>
          <cell r="Q229"/>
          <cell r="R229"/>
          <cell r="S229">
            <v>3.6120000000000001</v>
          </cell>
          <cell r="T229">
            <v>3.7770000000000001</v>
          </cell>
          <cell r="U229">
            <v>3.911</v>
          </cell>
          <cell r="V229">
            <v>4.125</v>
          </cell>
          <cell r="W229">
            <v>4.4160000000000004</v>
          </cell>
          <cell r="X229">
            <v>5.12</v>
          </cell>
          <cell r="Y229"/>
          <cell r="Z229"/>
          <cell r="AA229"/>
          <cell r="AB229"/>
          <cell r="AC229"/>
          <cell r="AD229"/>
          <cell r="AE229"/>
          <cell r="AF229"/>
          <cell r="AG229"/>
          <cell r="AH229"/>
          <cell r="AI229">
            <v>3.7770000000000001</v>
          </cell>
          <cell r="AJ229">
            <v>3.95</v>
          </cell>
          <cell r="AK229">
            <v>4.1059999999999999</v>
          </cell>
          <cell r="AL229">
            <v>4.383</v>
          </cell>
          <cell r="AM229">
            <v>4.8659999999999997</v>
          </cell>
          <cell r="AN229"/>
          <cell r="AO229"/>
          <cell r="AP229"/>
          <cell r="AQ229"/>
          <cell r="AR229"/>
          <cell r="AS229"/>
          <cell r="AT229"/>
          <cell r="AU229"/>
          <cell r="AV229"/>
          <cell r="AW229"/>
          <cell r="AX229">
            <v>0.90800000000000003</v>
          </cell>
          <cell r="AY229">
            <v>3258</v>
          </cell>
          <cell r="AZ229"/>
        </row>
        <row r="230">
          <cell r="A230">
            <v>36039</v>
          </cell>
          <cell r="B230" t="str">
            <v/>
          </cell>
          <cell r="C230" t="str">
            <v/>
          </cell>
          <cell r="D230"/>
          <cell r="E230"/>
          <cell r="F230"/>
          <cell r="G230"/>
          <cell r="H230"/>
          <cell r="I230"/>
          <cell r="J230"/>
          <cell r="K230"/>
          <cell r="L230"/>
          <cell r="M230"/>
          <cell r="N230"/>
          <cell r="O230"/>
          <cell r="P230"/>
          <cell r="Q230"/>
          <cell r="R230"/>
          <cell r="S230">
            <v>3.4929999999999999</v>
          </cell>
          <cell r="T230">
            <v>3.5059999999999998</v>
          </cell>
          <cell r="U230">
            <v>3.5790000000000002</v>
          </cell>
          <cell r="V230">
            <v>3.7730000000000001</v>
          </cell>
          <cell r="W230">
            <v>4.0449999999999999</v>
          </cell>
          <cell r="X230">
            <v>4.9470000000000001</v>
          </cell>
          <cell r="Y230"/>
          <cell r="Z230"/>
          <cell r="AA230"/>
          <cell r="AB230"/>
          <cell r="AC230"/>
          <cell r="AD230"/>
          <cell r="AE230"/>
          <cell r="AF230"/>
          <cell r="AG230"/>
          <cell r="AH230"/>
          <cell r="AI230">
            <v>3.61</v>
          </cell>
          <cell r="AJ230">
            <v>3.68</v>
          </cell>
          <cell r="AK230">
            <v>3.7919999999999998</v>
          </cell>
          <cell r="AL230">
            <v>4.05</v>
          </cell>
          <cell r="AM230">
            <v>4.5970000000000004</v>
          </cell>
          <cell r="AN230"/>
          <cell r="AO230"/>
          <cell r="AP230"/>
          <cell r="AQ230"/>
          <cell r="AR230"/>
          <cell r="AS230"/>
          <cell r="AT230"/>
          <cell r="AU230"/>
          <cell r="AV230"/>
          <cell r="AW230"/>
          <cell r="AX230">
            <v>0.86599999999999999</v>
          </cell>
          <cell r="AY230">
            <v>2882</v>
          </cell>
          <cell r="AZ230"/>
        </row>
        <row r="231">
          <cell r="A231">
            <v>36069</v>
          </cell>
          <cell r="B231" t="str">
            <v/>
          </cell>
          <cell r="C231" t="str">
            <v/>
          </cell>
          <cell r="D231"/>
          <cell r="E231"/>
          <cell r="F231"/>
          <cell r="G231"/>
          <cell r="H231"/>
          <cell r="I231"/>
          <cell r="J231"/>
          <cell r="K231"/>
          <cell r="L231"/>
          <cell r="M231"/>
          <cell r="N231"/>
          <cell r="O231"/>
          <cell r="P231"/>
          <cell r="Q231"/>
          <cell r="R231"/>
          <cell r="S231">
            <v>3.4220000000000002</v>
          </cell>
          <cell r="T231">
            <v>3.4</v>
          </cell>
          <cell r="U231">
            <v>3.5329999999999999</v>
          </cell>
          <cell r="V231">
            <v>3.6949999999999998</v>
          </cell>
          <cell r="W231">
            <v>4.0289999999999999</v>
          </cell>
          <cell r="X231">
            <v>5.0780000000000003</v>
          </cell>
          <cell r="Y231"/>
          <cell r="Z231"/>
          <cell r="AA231"/>
          <cell r="AB231"/>
          <cell r="AC231"/>
          <cell r="AD231"/>
          <cell r="AE231"/>
          <cell r="AF231"/>
          <cell r="AG231"/>
          <cell r="AH231"/>
          <cell r="AI231">
            <v>3.476</v>
          </cell>
          <cell r="AJ231">
            <v>3.4950000000000001</v>
          </cell>
          <cell r="AK231">
            <v>3.629</v>
          </cell>
          <cell r="AL231">
            <v>3.944</v>
          </cell>
          <cell r="AM231">
            <v>4.5430000000000001</v>
          </cell>
          <cell r="AN231"/>
          <cell r="AO231"/>
          <cell r="AP231"/>
          <cell r="AQ231"/>
          <cell r="AR231"/>
          <cell r="AS231"/>
          <cell r="AT231"/>
          <cell r="AU231"/>
          <cell r="AV231"/>
          <cell r="AW231"/>
          <cell r="AX231">
            <v>0.83799999999999997</v>
          </cell>
          <cell r="AY231">
            <v>2701</v>
          </cell>
          <cell r="AZ231"/>
        </row>
        <row r="232">
          <cell r="A232">
            <v>36100</v>
          </cell>
          <cell r="B232" t="str">
            <v/>
          </cell>
          <cell r="C232" t="str">
            <v/>
          </cell>
          <cell r="D232"/>
          <cell r="E232"/>
          <cell r="F232"/>
          <cell r="G232"/>
          <cell r="H232"/>
          <cell r="I232"/>
          <cell r="J232"/>
          <cell r="K232"/>
          <cell r="L232"/>
          <cell r="M232"/>
          <cell r="N232"/>
          <cell r="O232"/>
          <cell r="P232"/>
          <cell r="Q232"/>
          <cell r="R232"/>
          <cell r="S232">
            <v>3.4510000000000001</v>
          </cell>
          <cell r="T232">
            <v>3.4409999999999998</v>
          </cell>
          <cell r="U232">
            <v>3.552</v>
          </cell>
          <cell r="V232">
            <v>3.6890000000000001</v>
          </cell>
          <cell r="W232">
            <v>4.1029999999999998</v>
          </cell>
          <cell r="X232">
            <v>5.0990000000000002</v>
          </cell>
          <cell r="Y232"/>
          <cell r="Z232"/>
          <cell r="AA232"/>
          <cell r="AB232"/>
          <cell r="AC232"/>
          <cell r="AD232"/>
          <cell r="AE232"/>
          <cell r="AF232"/>
          <cell r="AG232"/>
          <cell r="AH232"/>
          <cell r="AI232">
            <v>3.52</v>
          </cell>
          <cell r="AJ232">
            <v>3.5430000000000001</v>
          </cell>
          <cell r="AK232">
            <v>3.6480000000000001</v>
          </cell>
          <cell r="AL232">
            <v>3.94</v>
          </cell>
          <cell r="AM232">
            <v>4.54</v>
          </cell>
          <cell r="AN232"/>
          <cell r="AO232"/>
          <cell r="AP232"/>
          <cell r="AQ232"/>
          <cell r="AR232"/>
          <cell r="AS232"/>
          <cell r="AT232"/>
          <cell r="AU232"/>
          <cell r="AV232"/>
          <cell r="AW232"/>
          <cell r="AX232">
            <v>0.85899999999999999</v>
          </cell>
          <cell r="AY232">
            <v>3042</v>
          </cell>
          <cell r="AZ232"/>
        </row>
        <row r="233">
          <cell r="A233">
            <v>36130</v>
          </cell>
          <cell r="B233" t="str">
            <v/>
          </cell>
          <cell r="C233" t="str">
            <v/>
          </cell>
          <cell r="D233"/>
          <cell r="E233"/>
          <cell r="F233"/>
          <cell r="G233"/>
          <cell r="H233"/>
          <cell r="I233"/>
          <cell r="J233"/>
          <cell r="K233"/>
          <cell r="L233"/>
          <cell r="M233"/>
          <cell r="N233"/>
          <cell r="O233">
            <v>3.2559999999999998</v>
          </cell>
          <cell r="P233">
            <v>3.246</v>
          </cell>
          <cell r="Q233">
            <v>3.2309999999999999</v>
          </cell>
          <cell r="R233">
            <v>3.214</v>
          </cell>
          <cell r="S233">
            <v>3.1160000000000001</v>
          </cell>
          <cell r="T233">
            <v>3.153</v>
          </cell>
          <cell r="U233">
            <v>3.226</v>
          </cell>
          <cell r="V233">
            <v>3.4609999999999999</v>
          </cell>
          <cell r="W233">
            <v>3.871</v>
          </cell>
          <cell r="X233">
            <v>4.76</v>
          </cell>
          <cell r="Y233"/>
          <cell r="Z233"/>
          <cell r="AA233"/>
          <cell r="AB233"/>
          <cell r="AC233"/>
          <cell r="AD233"/>
          <cell r="AE233"/>
          <cell r="AF233"/>
          <cell r="AG233"/>
          <cell r="AH233"/>
          <cell r="AI233">
            <v>3.2480000000000002</v>
          </cell>
          <cell r="AJ233">
            <v>3.2989999999999999</v>
          </cell>
          <cell r="AK233">
            <v>3.4</v>
          </cell>
          <cell r="AL233">
            <v>3.6680000000000001</v>
          </cell>
          <cell r="AM233">
            <v>4.3159999999999998</v>
          </cell>
          <cell r="AN233"/>
          <cell r="AO233"/>
          <cell r="AP233"/>
          <cell r="AQ233"/>
          <cell r="AR233"/>
          <cell r="AS233"/>
          <cell r="AT233"/>
          <cell r="AU233"/>
          <cell r="AV233"/>
          <cell r="AW233"/>
          <cell r="AX233">
            <v>0.85299999999999998</v>
          </cell>
          <cell r="AY233">
            <v>3171</v>
          </cell>
          <cell r="AZ233"/>
        </row>
        <row r="234">
          <cell r="A234">
            <v>36161</v>
          </cell>
          <cell r="B234">
            <v>3</v>
          </cell>
          <cell r="C234" t="str">
            <v/>
          </cell>
          <cell r="D234"/>
          <cell r="E234"/>
          <cell r="F234"/>
          <cell r="G234"/>
          <cell r="H234"/>
          <cell r="I234"/>
          <cell r="J234"/>
          <cell r="K234"/>
          <cell r="L234"/>
          <cell r="M234"/>
          <cell r="N234"/>
          <cell r="O234">
            <v>3.1629999999999998</v>
          </cell>
          <cell r="P234">
            <v>3.137</v>
          </cell>
          <cell r="Q234">
            <v>3.0979999999999999</v>
          </cell>
          <cell r="R234">
            <v>3.069</v>
          </cell>
          <cell r="S234">
            <v>2.9319999999999999</v>
          </cell>
          <cell r="T234">
            <v>2.9319999999999999</v>
          </cell>
          <cell r="U234">
            <v>3.0190000000000001</v>
          </cell>
          <cell r="V234">
            <v>3.2749999999999999</v>
          </cell>
          <cell r="W234">
            <v>3.7160000000000002</v>
          </cell>
          <cell r="X234">
            <v>4.6310000000000002</v>
          </cell>
          <cell r="Y234"/>
          <cell r="Z234"/>
          <cell r="AA234"/>
          <cell r="AB234"/>
          <cell r="AC234"/>
          <cell r="AD234"/>
          <cell r="AE234"/>
          <cell r="AF234"/>
          <cell r="AG234"/>
          <cell r="AH234"/>
          <cell r="AI234">
            <v>3.0819999999999999</v>
          </cell>
          <cell r="AJ234">
            <v>3.1</v>
          </cell>
          <cell r="AK234">
            <v>3.2170000000000001</v>
          </cell>
          <cell r="AL234">
            <v>3.496</v>
          </cell>
          <cell r="AM234">
            <v>4.1120000000000001</v>
          </cell>
          <cell r="AN234"/>
          <cell r="AO234"/>
          <cell r="AP234"/>
          <cell r="AQ234"/>
          <cell r="AR234"/>
          <cell r="AS234"/>
          <cell r="AT234"/>
          <cell r="AU234"/>
          <cell r="AV234"/>
          <cell r="AW234"/>
          <cell r="AX234">
            <v>0.86099999999999999</v>
          </cell>
          <cell r="AY234">
            <v>3504</v>
          </cell>
          <cell r="AZ234"/>
        </row>
        <row r="235">
          <cell r="A235">
            <v>36192</v>
          </cell>
          <cell r="B235">
            <v>3</v>
          </cell>
          <cell r="C235" t="str">
            <v/>
          </cell>
          <cell r="D235"/>
          <cell r="E235"/>
          <cell r="F235"/>
          <cell r="G235"/>
          <cell r="H235"/>
          <cell r="I235"/>
          <cell r="J235"/>
          <cell r="K235"/>
          <cell r="L235"/>
          <cell r="M235"/>
          <cell r="N235"/>
          <cell r="O235">
            <v>3.1259999999999999</v>
          </cell>
          <cell r="P235">
            <v>3.093</v>
          </cell>
          <cell r="Q235">
            <v>3.04</v>
          </cell>
          <cell r="R235">
            <v>3.03</v>
          </cell>
          <cell r="S235">
            <v>2.948</v>
          </cell>
          <cell r="T235">
            <v>3.0259999999999998</v>
          </cell>
          <cell r="U235">
            <v>3.1560000000000001</v>
          </cell>
          <cell r="V235">
            <v>3.407</v>
          </cell>
          <cell r="W235">
            <v>3.83</v>
          </cell>
          <cell r="X235">
            <v>4.7670000000000003</v>
          </cell>
          <cell r="Y235"/>
          <cell r="Z235"/>
          <cell r="AA235"/>
          <cell r="AB235"/>
          <cell r="AC235"/>
          <cell r="AD235"/>
          <cell r="AE235"/>
          <cell r="AF235"/>
          <cell r="AG235"/>
          <cell r="AH235"/>
          <cell r="AI235">
            <v>3.085</v>
          </cell>
          <cell r="AJ235">
            <v>3.1320000000000001</v>
          </cell>
          <cell r="AK235">
            <v>3.2730000000000001</v>
          </cell>
          <cell r="AL235">
            <v>3.589</v>
          </cell>
          <cell r="AM235">
            <v>4.1920000000000002</v>
          </cell>
          <cell r="AN235"/>
          <cell r="AO235"/>
          <cell r="AP235"/>
          <cell r="AQ235"/>
          <cell r="AR235"/>
          <cell r="AS235"/>
          <cell r="AT235"/>
          <cell r="AU235"/>
          <cell r="AV235"/>
          <cell r="AW235"/>
          <cell r="AX235">
            <v>0.89200000000000002</v>
          </cell>
          <cell r="AY235">
            <v>3451</v>
          </cell>
          <cell r="AZ235"/>
        </row>
        <row r="236">
          <cell r="A236">
            <v>36220</v>
          </cell>
          <cell r="B236">
            <v>3</v>
          </cell>
          <cell r="C236" t="str">
            <v/>
          </cell>
          <cell r="D236"/>
          <cell r="E236"/>
          <cell r="F236"/>
          <cell r="G236"/>
          <cell r="H236"/>
          <cell r="I236"/>
          <cell r="J236"/>
          <cell r="K236"/>
          <cell r="L236"/>
          <cell r="M236"/>
          <cell r="N236"/>
          <cell r="O236">
            <v>3.0550000000000002</v>
          </cell>
          <cell r="P236">
            <v>3.0470000000000002</v>
          </cell>
          <cell r="Q236">
            <v>3.0249999999999999</v>
          </cell>
          <cell r="R236">
            <v>3.0459999999999998</v>
          </cell>
          <cell r="S236">
            <v>2.9660000000000002</v>
          </cell>
          <cell r="T236">
            <v>3.0659999999999998</v>
          </cell>
          <cell r="U236">
            <v>3.177</v>
          </cell>
          <cell r="V236">
            <v>3.4969999999999999</v>
          </cell>
          <cell r="W236">
            <v>4.0220000000000002</v>
          </cell>
          <cell r="X236">
            <v>5.0010000000000003</v>
          </cell>
          <cell r="Y236"/>
          <cell r="Z236"/>
          <cell r="AA236"/>
          <cell r="AB236"/>
          <cell r="AC236"/>
          <cell r="AD236"/>
          <cell r="AE236"/>
          <cell r="AF236"/>
          <cell r="AG236"/>
          <cell r="AH236"/>
          <cell r="AI236">
            <v>3.0840000000000001</v>
          </cell>
          <cell r="AJ236">
            <v>3.1629999999999998</v>
          </cell>
          <cell r="AK236">
            <v>3.319</v>
          </cell>
          <cell r="AL236">
            <v>3.6829999999999998</v>
          </cell>
          <cell r="AM236">
            <v>4.3949999999999996</v>
          </cell>
          <cell r="AN236"/>
          <cell r="AO236"/>
          <cell r="AP236"/>
          <cell r="AQ236"/>
          <cell r="AR236"/>
          <cell r="AS236"/>
          <cell r="AT236"/>
          <cell r="AU236"/>
          <cell r="AV236"/>
          <cell r="AW236"/>
          <cell r="AX236">
            <v>0.91900000000000004</v>
          </cell>
          <cell r="AY236">
            <v>3524</v>
          </cell>
          <cell r="AZ236"/>
        </row>
        <row r="237">
          <cell r="A237">
            <v>36251</v>
          </cell>
          <cell r="B237">
            <v>2.5</v>
          </cell>
          <cell r="C237" t="str">
            <v/>
          </cell>
          <cell r="D237"/>
          <cell r="E237"/>
          <cell r="F237"/>
          <cell r="G237"/>
          <cell r="H237"/>
          <cell r="I237"/>
          <cell r="J237"/>
          <cell r="K237"/>
          <cell r="L237"/>
          <cell r="M237"/>
          <cell r="N237"/>
          <cell r="O237">
            <v>2.6949999999999998</v>
          </cell>
          <cell r="P237">
            <v>2.6960000000000002</v>
          </cell>
          <cell r="Q237">
            <v>2.7040000000000002</v>
          </cell>
          <cell r="R237">
            <v>2.7559999999999998</v>
          </cell>
          <cell r="S237">
            <v>2.6930000000000001</v>
          </cell>
          <cell r="T237">
            <v>2.7370000000000001</v>
          </cell>
          <cell r="U237">
            <v>3.016</v>
          </cell>
          <cell r="V237">
            <v>3.2509999999999999</v>
          </cell>
          <cell r="W237">
            <v>3.871</v>
          </cell>
          <cell r="X237">
            <v>4.8460000000000001</v>
          </cell>
          <cell r="Y237"/>
          <cell r="Z237"/>
          <cell r="AA237"/>
          <cell r="AB237"/>
          <cell r="AC237"/>
          <cell r="AD237"/>
          <cell r="AE237"/>
          <cell r="AF237"/>
          <cell r="AG237"/>
          <cell r="AH237"/>
          <cell r="AI237">
            <v>2.7789999999999999</v>
          </cell>
          <cell r="AJ237">
            <v>2.8940000000000001</v>
          </cell>
          <cell r="AK237">
            <v>3.0670000000000002</v>
          </cell>
          <cell r="AL237">
            <v>3.4630000000000001</v>
          </cell>
          <cell r="AM237">
            <v>4.258</v>
          </cell>
          <cell r="AN237"/>
          <cell r="AO237"/>
          <cell r="AP237"/>
          <cell r="AQ237"/>
          <cell r="AR237"/>
          <cell r="AS237"/>
          <cell r="AT237"/>
          <cell r="AU237"/>
          <cell r="AV237"/>
          <cell r="AW237"/>
          <cell r="AX237">
            <v>0.93400000000000005</v>
          </cell>
          <cell r="AY237">
            <v>3672</v>
          </cell>
          <cell r="AZ237"/>
        </row>
        <row r="238">
          <cell r="A238">
            <v>36281</v>
          </cell>
          <cell r="B238">
            <v>2.5</v>
          </cell>
          <cell r="C238" t="str">
            <v/>
          </cell>
          <cell r="D238"/>
          <cell r="E238"/>
          <cell r="F238"/>
          <cell r="G238"/>
          <cell r="H238"/>
          <cell r="I238"/>
          <cell r="J238"/>
          <cell r="K238"/>
          <cell r="L238"/>
          <cell r="M238"/>
          <cell r="N238"/>
          <cell r="O238">
            <v>2.5659999999999998</v>
          </cell>
          <cell r="P238">
            <v>2.5790000000000002</v>
          </cell>
          <cell r="Q238">
            <v>2.5979999999999999</v>
          </cell>
          <cell r="R238">
            <v>2.6829999999999998</v>
          </cell>
          <cell r="S238">
            <v>2.63</v>
          </cell>
          <cell r="T238">
            <v>2.78</v>
          </cell>
          <cell r="U238">
            <v>2.9660000000000002</v>
          </cell>
          <cell r="V238">
            <v>3.3460000000000001</v>
          </cell>
          <cell r="W238">
            <v>4.0430000000000001</v>
          </cell>
          <cell r="X238">
            <v>5.0179999999999998</v>
          </cell>
          <cell r="Y238"/>
          <cell r="Z238"/>
          <cell r="AA238"/>
          <cell r="AB238"/>
          <cell r="AC238"/>
          <cell r="AD238"/>
          <cell r="AE238"/>
          <cell r="AF238"/>
          <cell r="AG238"/>
          <cell r="AH238"/>
          <cell r="AI238">
            <v>2.7240000000000002</v>
          </cell>
          <cell r="AJ238">
            <v>2.8889999999999998</v>
          </cell>
          <cell r="AK238">
            <v>3.09</v>
          </cell>
          <cell r="AL238">
            <v>3.52</v>
          </cell>
          <cell r="AM238">
            <v>4.3860000000000001</v>
          </cell>
          <cell r="AN238"/>
          <cell r="AO238"/>
          <cell r="AP238"/>
          <cell r="AQ238"/>
          <cell r="AR238"/>
          <cell r="AS238"/>
          <cell r="AT238"/>
          <cell r="AU238"/>
          <cell r="AV238"/>
          <cell r="AW238"/>
          <cell r="AX238">
            <v>0.94099999999999995</v>
          </cell>
          <cell r="AY238">
            <v>3670</v>
          </cell>
          <cell r="AZ238"/>
        </row>
        <row r="239">
          <cell r="A239">
            <v>36312</v>
          </cell>
          <cell r="B239">
            <v>2.5</v>
          </cell>
          <cell r="C239" t="str">
            <v/>
          </cell>
          <cell r="D239"/>
          <cell r="E239"/>
          <cell r="F239"/>
          <cell r="G239"/>
          <cell r="H239"/>
          <cell r="I239"/>
          <cell r="J239"/>
          <cell r="K239"/>
          <cell r="L239"/>
          <cell r="M239"/>
          <cell r="N239"/>
          <cell r="O239">
            <v>2.605</v>
          </cell>
          <cell r="P239">
            <v>2.6269999999999998</v>
          </cell>
          <cell r="Q239">
            <v>2.68</v>
          </cell>
          <cell r="R239">
            <v>2.8359999999999999</v>
          </cell>
          <cell r="S239">
            <v>2.77</v>
          </cell>
          <cell r="T239">
            <v>3.06</v>
          </cell>
          <cell r="U239">
            <v>3.3</v>
          </cell>
          <cell r="V239">
            <v>3.7349999999999999</v>
          </cell>
          <cell r="W239">
            <v>4.3360000000000003</v>
          </cell>
          <cell r="X239">
            <v>5.298</v>
          </cell>
          <cell r="Y239"/>
          <cell r="Z239"/>
          <cell r="AA239"/>
          <cell r="AB239"/>
          <cell r="AC239"/>
          <cell r="AD239"/>
          <cell r="AE239"/>
          <cell r="AF239"/>
          <cell r="AG239"/>
          <cell r="AH239"/>
          <cell r="AI239">
            <v>2.8919999999999999</v>
          </cell>
          <cell r="AJ239">
            <v>3.1949999999999998</v>
          </cell>
          <cell r="AK239">
            <v>3.4809999999999999</v>
          </cell>
          <cell r="AL239">
            <v>3.9449999999999998</v>
          </cell>
          <cell r="AM239">
            <v>4.7060000000000004</v>
          </cell>
          <cell r="AN239"/>
          <cell r="AO239"/>
          <cell r="AP239"/>
          <cell r="AQ239"/>
          <cell r="AR239"/>
          <cell r="AS239"/>
          <cell r="AT239"/>
          <cell r="AU239"/>
          <cell r="AV239"/>
          <cell r="AW239"/>
          <cell r="AX239">
            <v>0.96399999999999997</v>
          </cell>
          <cell r="AY239">
            <v>3749</v>
          </cell>
          <cell r="AZ239"/>
        </row>
        <row r="240">
          <cell r="A240">
            <v>36342</v>
          </cell>
          <cell r="B240">
            <v>2.5</v>
          </cell>
          <cell r="C240" t="str">
            <v/>
          </cell>
          <cell r="D240"/>
          <cell r="E240"/>
          <cell r="F240"/>
          <cell r="G240"/>
          <cell r="H240"/>
          <cell r="I240"/>
          <cell r="J240"/>
          <cell r="K240"/>
          <cell r="L240"/>
          <cell r="M240"/>
          <cell r="N240"/>
          <cell r="O240">
            <v>2.6339999999999999</v>
          </cell>
          <cell r="P240">
            <v>2.6760000000000002</v>
          </cell>
          <cell r="Q240">
            <v>2.8969999999999998</v>
          </cell>
          <cell r="R240">
            <v>3.03</v>
          </cell>
          <cell r="S240">
            <v>2.9169999999999998</v>
          </cell>
          <cell r="T240">
            <v>3.1989999999999998</v>
          </cell>
          <cell r="U240">
            <v>3.71</v>
          </cell>
          <cell r="V240">
            <v>4.0999999999999996</v>
          </cell>
          <cell r="W240">
            <v>4.665</v>
          </cell>
          <cell r="X240">
            <v>5.4649999999999999</v>
          </cell>
          <cell r="Y240"/>
          <cell r="Z240"/>
          <cell r="AA240"/>
          <cell r="AB240"/>
          <cell r="AC240"/>
          <cell r="AD240"/>
          <cell r="AE240"/>
          <cell r="AF240"/>
          <cell r="AG240"/>
          <cell r="AH240"/>
          <cell r="AI240">
            <v>3.077</v>
          </cell>
          <cell r="AJ240">
            <v>3.5139999999999998</v>
          </cell>
          <cell r="AK240">
            <v>3.86</v>
          </cell>
          <cell r="AL240">
            <v>4.3360000000000003</v>
          </cell>
          <cell r="AM240">
            <v>5.069</v>
          </cell>
          <cell r="AN240"/>
          <cell r="AO240"/>
          <cell r="AP240"/>
          <cell r="AQ240"/>
          <cell r="AR240"/>
          <cell r="AS240"/>
          <cell r="AT240"/>
          <cell r="AU240"/>
          <cell r="AV240"/>
          <cell r="AW240"/>
          <cell r="AX240">
            <v>0.96599999999999997</v>
          </cell>
          <cell r="AY240">
            <v>3846</v>
          </cell>
          <cell r="AZ240"/>
        </row>
        <row r="241">
          <cell r="A241">
            <v>36373</v>
          </cell>
          <cell r="B241">
            <v>2.5</v>
          </cell>
          <cell r="C241" t="str">
            <v/>
          </cell>
          <cell r="D241"/>
          <cell r="E241"/>
          <cell r="F241"/>
          <cell r="G241"/>
          <cell r="H241"/>
          <cell r="I241"/>
          <cell r="J241"/>
          <cell r="K241"/>
          <cell r="L241"/>
          <cell r="M241"/>
          <cell r="N241"/>
          <cell r="O241">
            <v>2.613</v>
          </cell>
          <cell r="P241">
            <v>2.6949999999999998</v>
          </cell>
          <cell r="Q241">
            <v>3.0529999999999999</v>
          </cell>
          <cell r="R241">
            <v>3.2370000000000001</v>
          </cell>
          <cell r="S241">
            <v>3.0219999999999998</v>
          </cell>
          <cell r="T241">
            <v>3.43</v>
          </cell>
          <cell r="U241">
            <v>3.899</v>
          </cell>
          <cell r="V241">
            <v>4.45</v>
          </cell>
          <cell r="W241">
            <v>4.8860000000000001</v>
          </cell>
          <cell r="X241">
            <v>5.625</v>
          </cell>
          <cell r="Y241"/>
          <cell r="Z241"/>
          <cell r="AA241"/>
          <cell r="AB241"/>
          <cell r="AC241"/>
          <cell r="AD241"/>
          <cell r="AE241"/>
          <cell r="AF241"/>
          <cell r="AG241"/>
          <cell r="AH241"/>
          <cell r="AI241">
            <v>3.266</v>
          </cell>
          <cell r="AJ241">
            <v>3.7639999999999998</v>
          </cell>
          <cell r="AK241">
            <v>4.1449999999999996</v>
          </cell>
          <cell r="AL241">
            <v>4.6550000000000002</v>
          </cell>
          <cell r="AM241">
            <v>5.3710000000000004</v>
          </cell>
          <cell r="AN241"/>
          <cell r="AO241"/>
          <cell r="AP241"/>
          <cell r="AQ241"/>
          <cell r="AR241"/>
          <cell r="AS241"/>
          <cell r="AT241"/>
          <cell r="AU241"/>
          <cell r="AV241"/>
          <cell r="AW241"/>
          <cell r="AX241">
            <v>0.94299999999999995</v>
          </cell>
          <cell r="AY241">
            <v>3691</v>
          </cell>
          <cell r="AZ241"/>
        </row>
        <row r="242">
          <cell r="A242">
            <v>36404</v>
          </cell>
          <cell r="B242">
            <v>2.5</v>
          </cell>
          <cell r="C242" t="str">
            <v/>
          </cell>
          <cell r="D242"/>
          <cell r="E242"/>
          <cell r="F242"/>
          <cell r="G242"/>
          <cell r="H242"/>
          <cell r="I242"/>
          <cell r="J242"/>
          <cell r="K242"/>
          <cell r="L242"/>
          <cell r="M242"/>
          <cell r="N242"/>
          <cell r="O242">
            <v>2.5840000000000001</v>
          </cell>
          <cell r="P242">
            <v>2.7269999999999999</v>
          </cell>
          <cell r="Q242">
            <v>3.1070000000000002</v>
          </cell>
          <cell r="R242">
            <v>3.3010000000000002</v>
          </cell>
          <cell r="S242">
            <v>3.0739999999999998</v>
          </cell>
          <cell r="T242">
            <v>3.6379999999999999</v>
          </cell>
          <cell r="U242">
            <v>3.9809999999999999</v>
          </cell>
          <cell r="V242">
            <v>4.5789999999999997</v>
          </cell>
          <cell r="W242">
            <v>5.0490000000000004</v>
          </cell>
          <cell r="X242">
            <v>5.7709999999999999</v>
          </cell>
          <cell r="Y242"/>
          <cell r="Z242"/>
          <cell r="AA242"/>
          <cell r="AB242"/>
          <cell r="AC242"/>
          <cell r="AD242"/>
          <cell r="AE242"/>
          <cell r="AF242"/>
          <cell r="AG242"/>
          <cell r="AH242"/>
          <cell r="AI242">
            <v>3.3140000000000001</v>
          </cell>
          <cell r="AJ242">
            <v>3.8570000000000002</v>
          </cell>
          <cell r="AK242">
            <v>4.2539999999999996</v>
          </cell>
          <cell r="AL242">
            <v>4.7720000000000002</v>
          </cell>
          <cell r="AM242">
            <v>5.5209999999999999</v>
          </cell>
          <cell r="AN242"/>
          <cell r="AO242"/>
          <cell r="AP242"/>
          <cell r="AQ242"/>
          <cell r="AR242"/>
          <cell r="AS242"/>
          <cell r="AT242"/>
          <cell r="AU242"/>
          <cell r="AV242"/>
          <cell r="AW242"/>
          <cell r="AX242">
            <v>0.95199999999999996</v>
          </cell>
          <cell r="AY242">
            <v>3773</v>
          </cell>
          <cell r="AZ242"/>
        </row>
        <row r="243">
          <cell r="A243">
            <v>36434</v>
          </cell>
          <cell r="B243">
            <v>2.5</v>
          </cell>
          <cell r="C243" t="str">
            <v/>
          </cell>
          <cell r="D243"/>
          <cell r="E243"/>
          <cell r="F243"/>
          <cell r="G243"/>
          <cell r="H243"/>
          <cell r="I243"/>
          <cell r="J243"/>
          <cell r="K243"/>
          <cell r="L243"/>
          <cell r="M243"/>
          <cell r="N243"/>
          <cell r="O243">
            <v>2.7629999999999999</v>
          </cell>
          <cell r="P243">
            <v>3.3759999999999999</v>
          </cell>
          <cell r="Q243">
            <v>3.4569999999999999</v>
          </cell>
          <cell r="R243">
            <v>3.6840000000000002</v>
          </cell>
          <cell r="S243">
            <v>3.4329999999999998</v>
          </cell>
          <cell r="T243">
            <v>4.0430000000000001</v>
          </cell>
          <cell r="U243">
            <v>4.5049999999999999</v>
          </cell>
          <cell r="V243">
            <v>4.9130000000000003</v>
          </cell>
          <cell r="W243">
            <v>5.3090000000000002</v>
          </cell>
          <cell r="X243">
            <v>5.931</v>
          </cell>
          <cell r="Y243"/>
          <cell r="Z243"/>
          <cell r="AA243"/>
          <cell r="AB243"/>
          <cell r="AC243"/>
          <cell r="AD243"/>
          <cell r="AE243"/>
          <cell r="AF243"/>
          <cell r="AG243"/>
          <cell r="AH243"/>
          <cell r="AI243">
            <v>3.7679999999999998</v>
          </cell>
          <cell r="AJ243">
            <v>4.2549999999999999</v>
          </cell>
          <cell r="AK243">
            <v>4.63</v>
          </cell>
          <cell r="AL243">
            <v>5.0990000000000002</v>
          </cell>
          <cell r="AM243">
            <v>5.7130000000000001</v>
          </cell>
          <cell r="AN243"/>
          <cell r="AO243"/>
          <cell r="AP243"/>
          <cell r="AQ243"/>
          <cell r="AR243"/>
          <cell r="AS243"/>
          <cell r="AT243"/>
          <cell r="AU243"/>
          <cell r="AV243"/>
          <cell r="AW243"/>
          <cell r="AX243">
            <v>0.93400000000000005</v>
          </cell>
          <cell r="AY243">
            <v>3743</v>
          </cell>
          <cell r="AZ243"/>
        </row>
        <row r="244">
          <cell r="A244">
            <v>36465</v>
          </cell>
          <cell r="B244">
            <v>3</v>
          </cell>
          <cell r="C244" t="str">
            <v/>
          </cell>
          <cell r="D244"/>
          <cell r="E244"/>
          <cell r="F244"/>
          <cell r="G244"/>
          <cell r="H244"/>
          <cell r="I244"/>
          <cell r="J244"/>
          <cell r="K244"/>
          <cell r="L244"/>
          <cell r="M244"/>
          <cell r="N244"/>
          <cell r="O244">
            <v>3.0609999999999999</v>
          </cell>
          <cell r="P244">
            <v>3.468</v>
          </cell>
          <cell r="Q244">
            <v>3.484</v>
          </cell>
          <cell r="R244">
            <v>3.6890000000000001</v>
          </cell>
          <cell r="S244">
            <v>3.419</v>
          </cell>
          <cell r="T244">
            <v>3.9319999999999999</v>
          </cell>
          <cell r="U244">
            <v>4.3109999999999999</v>
          </cell>
          <cell r="V244">
            <v>4.6950000000000003</v>
          </cell>
          <cell r="W244">
            <v>5.048</v>
          </cell>
          <cell r="X244">
            <v>5.6740000000000004</v>
          </cell>
          <cell r="Y244"/>
          <cell r="Z244"/>
          <cell r="AA244"/>
          <cell r="AB244"/>
          <cell r="AC244"/>
          <cell r="AD244"/>
          <cell r="AE244"/>
          <cell r="AF244"/>
          <cell r="AG244"/>
          <cell r="AH244"/>
          <cell r="AI244">
            <v>3.7690000000000001</v>
          </cell>
          <cell r="AJ244">
            <v>4.17</v>
          </cell>
          <cell r="AK244">
            <v>4.484</v>
          </cell>
          <cell r="AL244">
            <v>4.9009999999999998</v>
          </cell>
          <cell r="AM244">
            <v>5.4580000000000002</v>
          </cell>
          <cell r="AN244"/>
          <cell r="AO244"/>
          <cell r="AP244"/>
          <cell r="AQ244"/>
          <cell r="AR244"/>
          <cell r="AS244"/>
          <cell r="AT244"/>
          <cell r="AU244"/>
          <cell r="AV244"/>
          <cell r="AW244"/>
          <cell r="AX244">
            <v>0.96699999999999997</v>
          </cell>
          <cell r="AY244">
            <v>4160</v>
          </cell>
          <cell r="AZ244"/>
        </row>
        <row r="245">
          <cell r="A245">
            <v>36495</v>
          </cell>
          <cell r="B245">
            <v>3</v>
          </cell>
          <cell r="C245" t="str">
            <v/>
          </cell>
          <cell r="D245"/>
          <cell r="E245"/>
          <cell r="F245"/>
          <cell r="G245"/>
          <cell r="H245"/>
          <cell r="I245"/>
          <cell r="J245"/>
          <cell r="K245"/>
          <cell r="L245"/>
          <cell r="M245"/>
          <cell r="N245"/>
          <cell r="O245">
            <v>3.4950000000000001</v>
          </cell>
          <cell r="P245">
            <v>3.4409999999999998</v>
          </cell>
          <cell r="Q245">
            <v>3.512</v>
          </cell>
          <cell r="R245">
            <v>3.8279999999999998</v>
          </cell>
          <cell r="S245">
            <v>3.617</v>
          </cell>
          <cell r="T245">
            <v>4.0730000000000004</v>
          </cell>
          <cell r="U245">
            <v>4.4619999999999997</v>
          </cell>
          <cell r="V245">
            <v>4.6340000000000003</v>
          </cell>
          <cell r="W245">
            <v>5.1689999999999996</v>
          </cell>
          <cell r="X245">
            <v>5.798</v>
          </cell>
          <cell r="Y245"/>
          <cell r="Z245"/>
          <cell r="AA245"/>
          <cell r="AB245"/>
          <cell r="AC245"/>
          <cell r="AD245"/>
          <cell r="AE245"/>
          <cell r="AF245"/>
          <cell r="AG245"/>
          <cell r="AH245"/>
          <cell r="AI245">
            <v>3.903</v>
          </cell>
          <cell r="AJ245">
            <v>4.343</v>
          </cell>
          <cell r="AK245">
            <v>4.6289999999999996</v>
          </cell>
          <cell r="AL245">
            <v>5.0069999999999997</v>
          </cell>
          <cell r="AM245">
            <v>5.577</v>
          </cell>
          <cell r="AN245"/>
          <cell r="AO245"/>
          <cell r="AP245"/>
          <cell r="AQ245"/>
          <cell r="AR245"/>
          <cell r="AS245"/>
          <cell r="AT245"/>
          <cell r="AU245"/>
          <cell r="AV245"/>
          <cell r="AW245"/>
          <cell r="AX245">
            <v>0.98899999999999999</v>
          </cell>
          <cell r="AY245">
            <v>4590</v>
          </cell>
          <cell r="AZ245"/>
        </row>
        <row r="246">
          <cell r="A246">
            <v>36526</v>
          </cell>
          <cell r="B246">
            <v>3</v>
          </cell>
          <cell r="C246" t="str">
            <v/>
          </cell>
          <cell r="D246"/>
          <cell r="E246"/>
          <cell r="F246"/>
          <cell r="G246"/>
          <cell r="H246"/>
          <cell r="I246"/>
          <cell r="J246"/>
          <cell r="K246"/>
          <cell r="L246"/>
          <cell r="M246"/>
          <cell r="N246"/>
          <cell r="O246">
            <v>3.15</v>
          </cell>
          <cell r="P246">
            <v>3.343</v>
          </cell>
          <cell r="Q246">
            <v>3.556</v>
          </cell>
          <cell r="R246">
            <v>3.9489999999999998</v>
          </cell>
          <cell r="S246">
            <v>3.7709999999999999</v>
          </cell>
          <cell r="T246">
            <v>4.2919999999999998</v>
          </cell>
          <cell r="U246">
            <v>4.7210000000000001</v>
          </cell>
          <cell r="V246">
            <v>5.1509999999999998</v>
          </cell>
          <cell r="W246">
            <v>5.5369999999999999</v>
          </cell>
          <cell r="X246">
            <v>6.1070000000000002</v>
          </cell>
          <cell r="Y246"/>
          <cell r="Z246"/>
          <cell r="AA246"/>
          <cell r="AB246"/>
          <cell r="AC246"/>
          <cell r="AD246"/>
          <cell r="AE246"/>
          <cell r="AF246"/>
          <cell r="AG246"/>
          <cell r="AH246"/>
          <cell r="AI246">
            <v>4.024</v>
          </cell>
          <cell r="AJ246">
            <v>4.5250000000000004</v>
          </cell>
          <cell r="AK246">
            <v>4.8769999999999998</v>
          </cell>
          <cell r="AL246">
            <v>5.3159999999999998</v>
          </cell>
          <cell r="AM246">
            <v>5.9089999999999998</v>
          </cell>
          <cell r="AN246"/>
          <cell r="AO246"/>
          <cell r="AP246"/>
          <cell r="AQ246"/>
          <cell r="AR246"/>
          <cell r="AS246"/>
          <cell r="AT246"/>
          <cell r="AU246"/>
          <cell r="AV246"/>
          <cell r="AW246"/>
          <cell r="AX246">
            <v>0.98599999999999999</v>
          </cell>
          <cell r="AY246">
            <v>4715</v>
          </cell>
          <cell r="AZ246">
            <v>773</v>
          </cell>
        </row>
        <row r="247">
          <cell r="A247">
            <v>36557</v>
          </cell>
          <cell r="B247">
            <v>3.25</v>
          </cell>
          <cell r="C247">
            <v>2.25</v>
          </cell>
          <cell r="D247">
            <v>3.2759999999999998</v>
          </cell>
          <cell r="E247"/>
          <cell r="F247"/>
          <cell r="G247"/>
          <cell r="H247"/>
          <cell r="I247"/>
          <cell r="J247"/>
          <cell r="K247"/>
          <cell r="L247"/>
          <cell r="M247"/>
          <cell r="N247"/>
          <cell r="O247">
            <v>3.359</v>
          </cell>
          <cell r="P247">
            <v>3.5369999999999999</v>
          </cell>
          <cell r="Q247">
            <v>3.7349999999999999</v>
          </cell>
          <cell r="R247">
            <v>4.1109999999999998</v>
          </cell>
          <cell r="S247">
            <v>3.8879999999999999</v>
          </cell>
          <cell r="T247">
            <v>4.4219999999999997</v>
          </cell>
          <cell r="U247">
            <v>4.7859999999999996</v>
          </cell>
          <cell r="V247">
            <v>5.09</v>
          </cell>
          <cell r="W247">
            <v>5.5069999999999997</v>
          </cell>
          <cell r="X247">
            <v>5.8650000000000002</v>
          </cell>
          <cell r="Y247"/>
          <cell r="Z247"/>
          <cell r="AA247"/>
          <cell r="AB247"/>
          <cell r="AC247"/>
          <cell r="AD247"/>
          <cell r="AE247"/>
          <cell r="AF247"/>
          <cell r="AG247"/>
          <cell r="AH247"/>
          <cell r="AI247">
            <v>4.194</v>
          </cell>
          <cell r="AJ247">
            <v>4.6719999999999997</v>
          </cell>
          <cell r="AK247">
            <v>4.9960000000000004</v>
          </cell>
          <cell r="AL247">
            <v>5.3979999999999997</v>
          </cell>
          <cell r="AM247">
            <v>5.9189999999999996</v>
          </cell>
          <cell r="AN247"/>
          <cell r="AO247"/>
          <cell r="AP247"/>
          <cell r="AQ247"/>
          <cell r="AR247"/>
          <cell r="AS247"/>
          <cell r="AT247"/>
          <cell r="AU247"/>
          <cell r="AV247"/>
          <cell r="AW247"/>
          <cell r="AX247">
            <v>1.016</v>
          </cell>
          <cell r="AY247">
            <v>5090</v>
          </cell>
          <cell r="AZ247">
            <v>752</v>
          </cell>
        </row>
        <row r="248">
          <cell r="A248">
            <v>36586</v>
          </cell>
          <cell r="B248">
            <v>3.5</v>
          </cell>
          <cell r="C248">
            <v>2.5</v>
          </cell>
          <cell r="D248">
            <v>3.51</v>
          </cell>
          <cell r="E248"/>
          <cell r="F248"/>
          <cell r="G248"/>
          <cell r="H248"/>
          <cell r="I248"/>
          <cell r="J248"/>
          <cell r="K248"/>
          <cell r="L248"/>
          <cell r="M248"/>
          <cell r="N248"/>
          <cell r="O248">
            <v>3.589</v>
          </cell>
          <cell r="P248">
            <v>3.7469999999999999</v>
          </cell>
          <cell r="Q248">
            <v>3.9359999999999999</v>
          </cell>
          <cell r="R248">
            <v>4.2670000000000003</v>
          </cell>
          <cell r="S248">
            <v>4.05</v>
          </cell>
          <cell r="T248">
            <v>4.4569999999999999</v>
          </cell>
          <cell r="U248">
            <v>4.72</v>
          </cell>
          <cell r="V248">
            <v>4.96</v>
          </cell>
          <cell r="W248">
            <v>5.33</v>
          </cell>
          <cell r="X248">
            <v>5.694</v>
          </cell>
          <cell r="Y248"/>
          <cell r="Z248"/>
          <cell r="AA248"/>
          <cell r="AB248"/>
          <cell r="AC248"/>
          <cell r="AD248"/>
          <cell r="AE248"/>
          <cell r="AF248"/>
          <cell r="AG248"/>
          <cell r="AH248"/>
          <cell r="AI248">
            <v>4.3369999999999997</v>
          </cell>
          <cell r="AJ248">
            <v>4.7130000000000001</v>
          </cell>
          <cell r="AK248">
            <v>4.9569999999999999</v>
          </cell>
          <cell r="AL248">
            <v>5.2839999999999998</v>
          </cell>
          <cell r="AM248">
            <v>5.7729999999999997</v>
          </cell>
          <cell r="AN248"/>
          <cell r="AO248"/>
          <cell r="AP248"/>
          <cell r="AQ248"/>
          <cell r="AR248"/>
          <cell r="AS248"/>
          <cell r="AT248"/>
          <cell r="AU248"/>
          <cell r="AV248"/>
          <cell r="AW248"/>
          <cell r="AX248">
            <v>1.0369999999999999</v>
          </cell>
          <cell r="AY248">
            <v>5317</v>
          </cell>
          <cell r="AZ248">
            <v>774</v>
          </cell>
        </row>
        <row r="249">
          <cell r="A249">
            <v>36617</v>
          </cell>
          <cell r="B249">
            <v>3.75</v>
          </cell>
          <cell r="C249">
            <v>2.75</v>
          </cell>
          <cell r="D249">
            <v>3.6850000000000001</v>
          </cell>
          <cell r="E249"/>
          <cell r="F249"/>
          <cell r="G249"/>
          <cell r="H249"/>
          <cell r="I249"/>
          <cell r="J249"/>
          <cell r="K249"/>
          <cell r="L249"/>
          <cell r="M249"/>
          <cell r="N249"/>
          <cell r="O249">
            <v>3.7909999999999999</v>
          </cell>
          <cell r="P249">
            <v>3.9249999999999998</v>
          </cell>
          <cell r="Q249">
            <v>4.0830000000000002</v>
          </cell>
          <cell r="R249">
            <v>4.3650000000000002</v>
          </cell>
          <cell r="S249">
            <v>4.2030000000000003</v>
          </cell>
          <cell r="T249">
            <v>4.4509999999999996</v>
          </cell>
          <cell r="U249">
            <v>4.6779999999999999</v>
          </cell>
          <cell r="V249">
            <v>4.8940000000000001</v>
          </cell>
          <cell r="W249">
            <v>5.2350000000000003</v>
          </cell>
          <cell r="X249">
            <v>5.5919999999999996</v>
          </cell>
          <cell r="Y249"/>
          <cell r="Z249"/>
          <cell r="AA249"/>
          <cell r="AB249"/>
          <cell r="AC249"/>
          <cell r="AD249"/>
          <cell r="AE249"/>
          <cell r="AF249"/>
          <cell r="AG249"/>
          <cell r="AH249"/>
          <cell r="AI249">
            <v>4.4320000000000004</v>
          </cell>
          <cell r="AJ249">
            <v>4.7469999999999999</v>
          </cell>
          <cell r="AK249">
            <v>4.9550000000000001</v>
          </cell>
          <cell r="AL249">
            <v>5.2629999999999999</v>
          </cell>
          <cell r="AM249">
            <v>5.71</v>
          </cell>
          <cell r="AN249"/>
          <cell r="AO249"/>
          <cell r="AP249"/>
          <cell r="AQ249"/>
          <cell r="AR249"/>
          <cell r="AS249"/>
          <cell r="AT249"/>
          <cell r="AU249"/>
          <cell r="AV249"/>
          <cell r="AW249"/>
          <cell r="AX249">
            <v>1.0580000000000001</v>
          </cell>
          <cell r="AY249">
            <v>5149</v>
          </cell>
          <cell r="AZ249">
            <v>783</v>
          </cell>
        </row>
        <row r="250">
          <cell r="A250">
            <v>36647</v>
          </cell>
          <cell r="B250">
            <v>3.75</v>
          </cell>
          <cell r="C250">
            <v>2.75</v>
          </cell>
          <cell r="D250">
            <v>3.92</v>
          </cell>
          <cell r="E250"/>
          <cell r="F250"/>
          <cell r="G250"/>
          <cell r="H250"/>
          <cell r="I250"/>
          <cell r="J250"/>
          <cell r="K250"/>
          <cell r="L250"/>
          <cell r="M250"/>
          <cell r="N250"/>
          <cell r="O250">
            <v>4.1630000000000003</v>
          </cell>
          <cell r="P250">
            <v>4.3620000000000001</v>
          </cell>
          <cell r="Q250">
            <v>4.5439999999999996</v>
          </cell>
          <cell r="R250">
            <v>4.8490000000000002</v>
          </cell>
          <cell r="S250">
            <v>4.6070000000000002</v>
          </cell>
          <cell r="T250">
            <v>4.8609999999999998</v>
          </cell>
          <cell r="U250">
            <v>5.0330000000000004</v>
          </cell>
          <cell r="V250">
            <v>5.1559999999999997</v>
          </cell>
          <cell r="W250">
            <v>5.3419999999999996</v>
          </cell>
          <cell r="X250">
            <v>5.585</v>
          </cell>
          <cell r="Y250"/>
          <cell r="Z250"/>
          <cell r="AA250"/>
          <cell r="AB250"/>
          <cell r="AC250"/>
          <cell r="AD250"/>
          <cell r="AE250"/>
          <cell r="AF250"/>
          <cell r="AG250"/>
          <cell r="AH250"/>
          <cell r="AI250">
            <v>4.9240000000000004</v>
          </cell>
          <cell r="AJ250">
            <v>5.1989999999999998</v>
          </cell>
          <cell r="AK250">
            <v>5.3680000000000003</v>
          </cell>
          <cell r="AL250">
            <v>5.593</v>
          </cell>
          <cell r="AM250">
            <v>5.9050000000000002</v>
          </cell>
          <cell r="AN250"/>
          <cell r="AO250"/>
          <cell r="AP250"/>
          <cell r="AQ250"/>
          <cell r="AR250"/>
          <cell r="AS250"/>
          <cell r="AT250"/>
          <cell r="AU250"/>
          <cell r="AV250"/>
          <cell r="AW250"/>
          <cell r="AX250">
            <v>1.101</v>
          </cell>
          <cell r="AY250">
            <v>5175</v>
          </cell>
          <cell r="AZ250">
            <v>779</v>
          </cell>
        </row>
        <row r="251">
          <cell r="A251">
            <v>36678</v>
          </cell>
          <cell r="B251">
            <v>4.25</v>
          </cell>
          <cell r="C251">
            <v>3.25</v>
          </cell>
          <cell r="D251">
            <v>4.2949999999999999</v>
          </cell>
          <cell r="E251"/>
          <cell r="F251"/>
          <cell r="G251"/>
          <cell r="H251"/>
          <cell r="I251"/>
          <cell r="J251"/>
          <cell r="K251"/>
          <cell r="L251"/>
          <cell r="M251"/>
          <cell r="N251"/>
          <cell r="O251">
            <v>4.37</v>
          </cell>
          <cell r="P251">
            <v>4.5019999999999998</v>
          </cell>
          <cell r="Q251">
            <v>4.681</v>
          </cell>
          <cell r="R251">
            <v>4.9649999999999999</v>
          </cell>
          <cell r="S251">
            <v>4.766</v>
          </cell>
          <cell r="T251">
            <v>4.8970000000000002</v>
          </cell>
          <cell r="U251">
            <v>4.9770000000000003</v>
          </cell>
          <cell r="V251">
            <v>5</v>
          </cell>
          <cell r="W251">
            <v>5.165</v>
          </cell>
          <cell r="X251">
            <v>5.3979999999999997</v>
          </cell>
          <cell r="Y251"/>
          <cell r="Z251"/>
          <cell r="AA251"/>
          <cell r="AB251"/>
          <cell r="AC251"/>
          <cell r="AD251"/>
          <cell r="AE251"/>
          <cell r="AF251"/>
          <cell r="AG251"/>
          <cell r="AH251"/>
          <cell r="AI251">
            <v>5.0439999999999996</v>
          </cell>
          <cell r="AJ251">
            <v>5.2480000000000002</v>
          </cell>
          <cell r="AK251">
            <v>5.3659999999999997</v>
          </cell>
          <cell r="AL251">
            <v>5.53</v>
          </cell>
          <cell r="AM251">
            <v>5.7969999999999997</v>
          </cell>
          <cell r="AN251"/>
          <cell r="AO251"/>
          <cell r="AP251"/>
          <cell r="AQ251"/>
          <cell r="AR251"/>
          <cell r="AS251"/>
          <cell r="AT251"/>
          <cell r="AU251"/>
          <cell r="AV251"/>
          <cell r="AW251"/>
          <cell r="AX251">
            <v>1.0529999999999999</v>
          </cell>
          <cell r="AY251">
            <v>5275</v>
          </cell>
          <cell r="AZ251">
            <v>812</v>
          </cell>
        </row>
        <row r="252">
          <cell r="A252">
            <v>36708</v>
          </cell>
          <cell r="B252">
            <v>4.25</v>
          </cell>
          <cell r="C252">
            <v>3.25</v>
          </cell>
          <cell r="D252">
            <v>4.3090000000000002</v>
          </cell>
          <cell r="E252"/>
          <cell r="F252"/>
          <cell r="G252"/>
          <cell r="H252"/>
          <cell r="I252"/>
          <cell r="J252"/>
          <cell r="K252"/>
          <cell r="L252"/>
          <cell r="M252"/>
          <cell r="N252"/>
          <cell r="O252">
            <v>4.4080000000000004</v>
          </cell>
          <cell r="P252">
            <v>4.5830000000000002</v>
          </cell>
          <cell r="Q252">
            <v>4.8369999999999997</v>
          </cell>
          <cell r="R252">
            <v>5.1050000000000004</v>
          </cell>
          <cell r="S252">
            <v>4.9649999999999999</v>
          </cell>
          <cell r="T252">
            <v>5.077</v>
          </cell>
          <cell r="U252">
            <v>5.1269999999999998</v>
          </cell>
          <cell r="V252">
            <v>5.14</v>
          </cell>
          <cell r="W252">
            <v>5.2569999999999997</v>
          </cell>
          <cell r="X252">
            <v>5.4720000000000004</v>
          </cell>
          <cell r="Y252"/>
          <cell r="Z252"/>
          <cell r="AA252"/>
          <cell r="AB252"/>
          <cell r="AC252"/>
          <cell r="AD252"/>
          <cell r="AE252"/>
          <cell r="AF252"/>
          <cell r="AG252"/>
          <cell r="AH252"/>
          <cell r="AI252">
            <v>5.1890000000000001</v>
          </cell>
          <cell r="AJ252">
            <v>5.391</v>
          </cell>
          <cell r="AK252">
            <v>5.4950000000000001</v>
          </cell>
          <cell r="AL252">
            <v>5.6210000000000004</v>
          </cell>
          <cell r="AM252">
            <v>5.8540000000000001</v>
          </cell>
          <cell r="AN252"/>
          <cell r="AO252"/>
          <cell r="AP252"/>
          <cell r="AQ252"/>
          <cell r="AR252"/>
          <cell r="AS252"/>
          <cell r="AT252"/>
          <cell r="AU252"/>
          <cell r="AV252"/>
          <cell r="AW252"/>
          <cell r="AX252">
            <v>1.0640000000000001</v>
          </cell>
          <cell r="AY252">
            <v>5228</v>
          </cell>
          <cell r="AZ252">
            <v>801</v>
          </cell>
        </row>
        <row r="253">
          <cell r="A253">
            <v>36739</v>
          </cell>
          <cell r="B253">
            <v>4.5</v>
          </cell>
          <cell r="C253">
            <v>3.25</v>
          </cell>
          <cell r="D253">
            <v>4.4189999999999996</v>
          </cell>
          <cell r="E253"/>
          <cell r="F253"/>
          <cell r="G253"/>
          <cell r="H253"/>
          <cell r="I253"/>
          <cell r="J253"/>
          <cell r="K253"/>
          <cell r="L253"/>
          <cell r="M253"/>
          <cell r="N253"/>
          <cell r="O253">
            <v>4.5739999999999998</v>
          </cell>
          <cell r="P253">
            <v>4.7770000000000001</v>
          </cell>
          <cell r="Q253">
            <v>5.0110000000000001</v>
          </cell>
          <cell r="R253">
            <v>5.2480000000000002</v>
          </cell>
          <cell r="S253">
            <v>5.0979999999999999</v>
          </cell>
          <cell r="T253">
            <v>5.1740000000000004</v>
          </cell>
          <cell r="U253">
            <v>5.2039999999999997</v>
          </cell>
          <cell r="V253">
            <v>5.1719999999999997</v>
          </cell>
          <cell r="W253">
            <v>5.2089999999999996</v>
          </cell>
          <cell r="X253">
            <v>5.3579999999999997</v>
          </cell>
          <cell r="Y253"/>
          <cell r="Z253"/>
          <cell r="AA253"/>
          <cell r="AB253"/>
          <cell r="AC253"/>
          <cell r="AD253"/>
          <cell r="AE253"/>
          <cell r="AF253"/>
          <cell r="AG253"/>
          <cell r="AH253"/>
          <cell r="AI253">
            <v>5.3220000000000001</v>
          </cell>
          <cell r="AJ253">
            <v>5.4829999999999997</v>
          </cell>
          <cell r="AK253">
            <v>5.5629999999999997</v>
          </cell>
          <cell r="AL253">
            <v>5.68</v>
          </cell>
          <cell r="AM253">
            <v>5.87</v>
          </cell>
          <cell r="AN253"/>
          <cell r="AO253"/>
          <cell r="AP253"/>
          <cell r="AQ253"/>
          <cell r="AR253"/>
          <cell r="AS253"/>
          <cell r="AT253"/>
          <cell r="AU253"/>
          <cell r="AV253"/>
          <cell r="AW253"/>
          <cell r="AX253">
            <v>1.1060000000000001</v>
          </cell>
          <cell r="AY253">
            <v>5152</v>
          </cell>
          <cell r="AZ253">
            <v>797</v>
          </cell>
        </row>
        <row r="254">
          <cell r="A254">
            <v>36770</v>
          </cell>
          <cell r="B254">
            <v>4.5</v>
          </cell>
          <cell r="C254">
            <v>3.5</v>
          </cell>
          <cell r="D254">
            <v>4.59</v>
          </cell>
          <cell r="E254"/>
          <cell r="F254"/>
          <cell r="G254"/>
          <cell r="H254"/>
          <cell r="I254"/>
          <cell r="J254"/>
          <cell r="K254"/>
          <cell r="L254"/>
          <cell r="M254"/>
          <cell r="N254"/>
          <cell r="O254">
            <v>4.6980000000000004</v>
          </cell>
          <cell r="P254">
            <v>4.8529999999999998</v>
          </cell>
          <cell r="Q254">
            <v>5.0380000000000003</v>
          </cell>
          <cell r="R254">
            <v>5.2190000000000003</v>
          </cell>
          <cell r="S254">
            <v>5.1059999999999999</v>
          </cell>
          <cell r="T254">
            <v>5.1139999999999999</v>
          </cell>
          <cell r="U254">
            <v>5.1280000000000001</v>
          </cell>
          <cell r="V254">
            <v>5.1269999999999998</v>
          </cell>
          <cell r="W254">
            <v>5.2640000000000002</v>
          </cell>
          <cell r="X254">
            <v>5.5129999999999999</v>
          </cell>
          <cell r="Y254"/>
          <cell r="Z254"/>
          <cell r="AA254"/>
          <cell r="AB254"/>
          <cell r="AC254"/>
          <cell r="AD254"/>
          <cell r="AE254"/>
          <cell r="AF254"/>
          <cell r="AG254"/>
          <cell r="AH254"/>
          <cell r="AI254">
            <v>5.2869999999999999</v>
          </cell>
          <cell r="AJ254">
            <v>5.4130000000000003</v>
          </cell>
          <cell r="AK254">
            <v>5.5039999999999996</v>
          </cell>
          <cell r="AL254">
            <v>5.6479999999999997</v>
          </cell>
          <cell r="AM254">
            <v>5.8949999999999996</v>
          </cell>
          <cell r="AN254"/>
          <cell r="AO254"/>
          <cell r="AP254"/>
          <cell r="AQ254"/>
          <cell r="AR254"/>
          <cell r="AS254"/>
          <cell r="AT254"/>
          <cell r="AU254"/>
          <cell r="AV254"/>
          <cell r="AW254"/>
          <cell r="AX254">
            <v>1.149</v>
          </cell>
          <cell r="AY254">
            <v>5133</v>
          </cell>
          <cell r="AZ254">
            <v>826</v>
          </cell>
        </row>
        <row r="255">
          <cell r="A255">
            <v>36800</v>
          </cell>
          <cell r="B255">
            <v>4.75</v>
          </cell>
          <cell r="C255">
            <v>3.75</v>
          </cell>
          <cell r="D255">
            <v>4.7629999999999999</v>
          </cell>
          <cell r="E255"/>
          <cell r="F255"/>
          <cell r="G255"/>
          <cell r="H255"/>
          <cell r="I255"/>
          <cell r="J255"/>
          <cell r="K255"/>
          <cell r="L255"/>
          <cell r="M255"/>
          <cell r="N255"/>
          <cell r="O255">
            <v>4.8540000000000001</v>
          </cell>
          <cell r="P255">
            <v>5.0410000000000004</v>
          </cell>
          <cell r="Q255">
            <v>5.1029999999999998</v>
          </cell>
          <cell r="R255">
            <v>5.218</v>
          </cell>
          <cell r="S255">
            <v>5.1180000000000003</v>
          </cell>
          <cell r="T255">
            <v>5.0359999999999996</v>
          </cell>
          <cell r="U255">
            <v>5.0570000000000004</v>
          </cell>
          <cell r="V255">
            <v>5.05</v>
          </cell>
          <cell r="W255">
            <v>5.218</v>
          </cell>
          <cell r="X255">
            <v>5.5890000000000004</v>
          </cell>
          <cell r="Y255"/>
          <cell r="Z255"/>
          <cell r="AA255"/>
          <cell r="AB255"/>
          <cell r="AC255"/>
          <cell r="AD255"/>
          <cell r="AE255"/>
          <cell r="AF255"/>
          <cell r="AG255"/>
          <cell r="AH255"/>
          <cell r="AI255">
            <v>5.2930000000000001</v>
          </cell>
          <cell r="AJ255">
            <v>5.3470000000000004</v>
          </cell>
          <cell r="AK255">
            <v>5.415</v>
          </cell>
          <cell r="AL255">
            <v>5.5620000000000003</v>
          </cell>
          <cell r="AM255">
            <v>5.8449999999999998</v>
          </cell>
          <cell r="AN255"/>
          <cell r="AO255"/>
          <cell r="AP255"/>
          <cell r="AQ255"/>
          <cell r="AR255"/>
          <cell r="AS255"/>
          <cell r="AT255"/>
          <cell r="AU255"/>
          <cell r="AV255"/>
          <cell r="AW255"/>
          <cell r="AX255">
            <v>1.1719999999999999</v>
          </cell>
          <cell r="AY255">
            <v>4893</v>
          </cell>
          <cell r="AZ255">
            <v>822</v>
          </cell>
        </row>
        <row r="256">
          <cell r="A256">
            <v>36831</v>
          </cell>
          <cell r="B256">
            <v>4.75</v>
          </cell>
          <cell r="C256">
            <v>3.75</v>
          </cell>
          <cell r="D256">
            <v>4.8289999999999997</v>
          </cell>
          <cell r="E256"/>
          <cell r="F256"/>
          <cell r="G256"/>
          <cell r="H256"/>
          <cell r="I256"/>
          <cell r="J256"/>
          <cell r="K256"/>
          <cell r="L256"/>
          <cell r="M256"/>
          <cell r="N256"/>
          <cell r="O256">
            <v>4.9249999999999998</v>
          </cell>
          <cell r="P256">
            <v>5.0919999999999996</v>
          </cell>
          <cell r="Q256">
            <v>5.1310000000000002</v>
          </cell>
          <cell r="R256">
            <v>5.1929999999999996</v>
          </cell>
          <cell r="S256">
            <v>5.0759999999999996</v>
          </cell>
          <cell r="T256">
            <v>4.9930000000000003</v>
          </cell>
          <cell r="U256">
            <v>5.016</v>
          </cell>
          <cell r="V256">
            <v>5.0170000000000003</v>
          </cell>
          <cell r="W256">
            <v>5.1689999999999996</v>
          </cell>
          <cell r="X256">
            <v>5.56</v>
          </cell>
          <cell r="Y256"/>
          <cell r="Z256"/>
          <cell r="AA256"/>
          <cell r="AB256"/>
          <cell r="AC256"/>
          <cell r="AD256"/>
          <cell r="AE256"/>
          <cell r="AF256"/>
          <cell r="AG256"/>
          <cell r="AH256"/>
          <cell r="AI256">
            <v>5.2549999999999999</v>
          </cell>
          <cell r="AJ256">
            <v>5.2869999999999999</v>
          </cell>
          <cell r="AK256">
            <v>5.3470000000000004</v>
          </cell>
          <cell r="AL256">
            <v>5.4870000000000001</v>
          </cell>
          <cell r="AM256">
            <v>5.7880000000000003</v>
          </cell>
          <cell r="AN256"/>
          <cell r="AO256"/>
          <cell r="AP256"/>
          <cell r="AQ256"/>
          <cell r="AR256"/>
          <cell r="AS256"/>
          <cell r="AT256"/>
          <cell r="AU256"/>
          <cell r="AV256"/>
          <cell r="AW256"/>
          <cell r="AX256">
            <v>1.169</v>
          </cell>
          <cell r="AY256">
            <v>4963</v>
          </cell>
          <cell r="AZ256">
            <v>833</v>
          </cell>
        </row>
        <row r="257">
          <cell r="A257">
            <v>36861</v>
          </cell>
          <cell r="B257">
            <v>4.75</v>
          </cell>
          <cell r="C257">
            <v>3.75</v>
          </cell>
          <cell r="D257">
            <v>4.827</v>
          </cell>
          <cell r="E257"/>
          <cell r="F257"/>
          <cell r="G257"/>
          <cell r="H257"/>
          <cell r="I257"/>
          <cell r="J257"/>
          <cell r="K257"/>
          <cell r="L257"/>
          <cell r="M257"/>
          <cell r="N257"/>
          <cell r="O257">
            <v>4.9480000000000004</v>
          </cell>
          <cell r="P257">
            <v>4.9390000000000001</v>
          </cell>
          <cell r="Q257">
            <v>4.92</v>
          </cell>
          <cell r="R257">
            <v>4.8810000000000002</v>
          </cell>
          <cell r="S257">
            <v>4.7880000000000003</v>
          </cell>
          <cell r="T257">
            <v>4.649</v>
          </cell>
          <cell r="U257">
            <v>4.649</v>
          </cell>
          <cell r="V257">
            <v>4.649</v>
          </cell>
          <cell r="W257">
            <v>4.9080000000000004</v>
          </cell>
          <cell r="X257">
            <v>5.4210000000000003</v>
          </cell>
          <cell r="Y257"/>
          <cell r="Z257"/>
          <cell r="AA257"/>
          <cell r="AB257"/>
          <cell r="AC257"/>
          <cell r="AD257"/>
          <cell r="AE257"/>
          <cell r="AF257"/>
          <cell r="AG257"/>
          <cell r="AH257"/>
          <cell r="AI257">
            <v>4.9249999999999998</v>
          </cell>
          <cell r="AJ257">
            <v>4.8760000000000003</v>
          </cell>
          <cell r="AK257">
            <v>4.944</v>
          </cell>
          <cell r="AL257">
            <v>5.1360000000000001</v>
          </cell>
          <cell r="AM257">
            <v>5.5469999999999997</v>
          </cell>
          <cell r="AN257"/>
          <cell r="AO257"/>
          <cell r="AP257"/>
          <cell r="AQ257"/>
          <cell r="AR257"/>
          <cell r="AS257"/>
          <cell r="AT257"/>
          <cell r="AU257"/>
          <cell r="AV257"/>
          <cell r="AW257"/>
          <cell r="AX257">
            <v>1.109</v>
          </cell>
          <cell r="AY257">
            <v>4787</v>
          </cell>
          <cell r="AZ257">
            <v>835</v>
          </cell>
        </row>
        <row r="258">
          <cell r="A258">
            <v>36892</v>
          </cell>
          <cell r="B258">
            <v>4.75</v>
          </cell>
          <cell r="C258">
            <v>3.75</v>
          </cell>
          <cell r="D258">
            <v>4.7560000000000002</v>
          </cell>
          <cell r="E258"/>
          <cell r="F258"/>
          <cell r="G258"/>
          <cell r="H258"/>
          <cell r="I258"/>
          <cell r="J258"/>
          <cell r="K258"/>
          <cell r="L258"/>
          <cell r="M258"/>
          <cell r="N258"/>
          <cell r="O258">
            <v>4.8049999999999997</v>
          </cell>
          <cell r="P258">
            <v>4.7709999999999999</v>
          </cell>
          <cell r="Q258">
            <v>4.6749999999999998</v>
          </cell>
          <cell r="R258">
            <v>4.5739999999999998</v>
          </cell>
          <cell r="S258">
            <v>4.5209999999999999</v>
          </cell>
          <cell r="T258">
            <v>4.4039999999999999</v>
          </cell>
          <cell r="U258">
            <v>4.4509999999999996</v>
          </cell>
          <cell r="V258">
            <v>4.4980000000000002</v>
          </cell>
          <cell r="W258">
            <v>4.8040000000000003</v>
          </cell>
          <cell r="X258">
            <v>5.3470000000000004</v>
          </cell>
          <cell r="Y258"/>
          <cell r="Z258"/>
          <cell r="AA258"/>
          <cell r="AB258"/>
          <cell r="AC258"/>
          <cell r="AD258"/>
          <cell r="AE258"/>
          <cell r="AF258"/>
          <cell r="AG258"/>
          <cell r="AH258"/>
          <cell r="AI258">
            <v>4.6310000000000002</v>
          </cell>
          <cell r="AJ258">
            <v>4.6319999999999997</v>
          </cell>
          <cell r="AK258">
            <v>4.734</v>
          </cell>
          <cell r="AL258">
            <v>4.931</v>
          </cell>
          <cell r="AM258">
            <v>5.3550000000000004</v>
          </cell>
          <cell r="AN258"/>
          <cell r="AO258"/>
          <cell r="AP258"/>
          <cell r="AQ258"/>
          <cell r="AR258"/>
          <cell r="AS258"/>
          <cell r="AT258"/>
          <cell r="AU258"/>
          <cell r="AV258"/>
          <cell r="AW258"/>
          <cell r="AX258">
            <v>1.0660000000000001</v>
          </cell>
          <cell r="AY258">
            <v>4730</v>
          </cell>
          <cell r="AZ258">
            <v>853</v>
          </cell>
        </row>
        <row r="259">
          <cell r="A259">
            <v>36923</v>
          </cell>
          <cell r="B259">
            <v>4.75</v>
          </cell>
          <cell r="C259">
            <v>3.75</v>
          </cell>
          <cell r="D259">
            <v>4.9930000000000003</v>
          </cell>
          <cell r="E259"/>
          <cell r="F259"/>
          <cell r="G259"/>
          <cell r="H259"/>
          <cell r="I259"/>
          <cell r="J259"/>
          <cell r="K259"/>
          <cell r="L259"/>
          <cell r="M259"/>
          <cell r="N259"/>
          <cell r="O259">
            <v>4.8</v>
          </cell>
          <cell r="P259">
            <v>4.7560000000000002</v>
          </cell>
          <cell r="Q259">
            <v>4.6660000000000004</v>
          </cell>
          <cell r="R259">
            <v>4.5910000000000002</v>
          </cell>
          <cell r="S259">
            <v>4.5659999999999998</v>
          </cell>
          <cell r="T259">
            <v>4.4470000000000001</v>
          </cell>
          <cell r="U259">
            <v>4.4850000000000003</v>
          </cell>
          <cell r="V259">
            <v>4.5389999999999997</v>
          </cell>
          <cell r="W259">
            <v>4.7939999999999996</v>
          </cell>
          <cell r="X259">
            <v>5.2990000000000004</v>
          </cell>
          <cell r="Y259"/>
          <cell r="Z259"/>
          <cell r="AA259"/>
          <cell r="AB259"/>
          <cell r="AC259"/>
          <cell r="AD259"/>
          <cell r="AE259"/>
          <cell r="AF259"/>
          <cell r="AG259"/>
          <cell r="AH259"/>
          <cell r="AI259">
            <v>4.6550000000000002</v>
          </cell>
          <cell r="AJ259">
            <v>4.6660000000000004</v>
          </cell>
          <cell r="AK259">
            <v>4.7430000000000003</v>
          </cell>
          <cell r="AL259">
            <v>4.923</v>
          </cell>
          <cell r="AM259">
            <v>5.3259999999999996</v>
          </cell>
          <cell r="AN259"/>
          <cell r="AO259"/>
          <cell r="AP259"/>
          <cell r="AQ259"/>
          <cell r="AR259"/>
          <cell r="AS259"/>
          <cell r="AT259"/>
          <cell r="AU259"/>
          <cell r="AV259"/>
          <cell r="AW259"/>
          <cell r="AX259">
            <v>1.0860000000000001</v>
          </cell>
          <cell r="AY259">
            <v>4526</v>
          </cell>
          <cell r="AZ259">
            <v>872</v>
          </cell>
        </row>
        <row r="260">
          <cell r="A260">
            <v>36951</v>
          </cell>
          <cell r="B260">
            <v>4.75</v>
          </cell>
          <cell r="C260">
            <v>3.75</v>
          </cell>
          <cell r="D260">
            <v>4.7809999999999997</v>
          </cell>
          <cell r="E260"/>
          <cell r="F260"/>
          <cell r="G260"/>
          <cell r="H260"/>
          <cell r="I260"/>
          <cell r="J260"/>
          <cell r="K260"/>
          <cell r="L260"/>
          <cell r="M260"/>
          <cell r="N260"/>
          <cell r="O260">
            <v>4.7759999999999998</v>
          </cell>
          <cell r="P260">
            <v>4.7089999999999996</v>
          </cell>
          <cell r="Q260">
            <v>4.577</v>
          </cell>
          <cell r="R260">
            <v>4.4710000000000001</v>
          </cell>
          <cell r="S260">
            <v>4.4349999999999996</v>
          </cell>
          <cell r="T260">
            <v>4.2679999999999998</v>
          </cell>
          <cell r="U260">
            <v>4.3179999999999996</v>
          </cell>
          <cell r="V260">
            <v>4.3979999999999997</v>
          </cell>
          <cell r="W260">
            <v>4.6959999999999997</v>
          </cell>
          <cell r="X260">
            <v>5.2930000000000001</v>
          </cell>
          <cell r="Y260"/>
          <cell r="Z260"/>
          <cell r="AA260"/>
          <cell r="AB260"/>
          <cell r="AC260"/>
          <cell r="AD260"/>
          <cell r="AE260"/>
          <cell r="AF260"/>
          <cell r="AG260"/>
          <cell r="AH260"/>
          <cell r="AI260">
            <v>4.51</v>
          </cell>
          <cell r="AJ260">
            <v>4.5</v>
          </cell>
          <cell r="AK260">
            <v>4.5940000000000003</v>
          </cell>
          <cell r="AL260">
            <v>4.8019999999999996</v>
          </cell>
          <cell r="AM260">
            <v>5.2510000000000003</v>
          </cell>
          <cell r="AN260"/>
          <cell r="AO260"/>
          <cell r="AP260"/>
          <cell r="AQ260"/>
          <cell r="AR260"/>
          <cell r="AS260"/>
          <cell r="AT260"/>
          <cell r="AU260"/>
          <cell r="AV260"/>
          <cell r="AW260"/>
          <cell r="AX260">
            <v>1.101</v>
          </cell>
          <cell r="AY260">
            <v>4199</v>
          </cell>
          <cell r="AZ260">
            <v>848</v>
          </cell>
        </row>
        <row r="261">
          <cell r="A261">
            <v>36982</v>
          </cell>
          <cell r="B261">
            <v>4.75</v>
          </cell>
          <cell r="C261">
            <v>3.75</v>
          </cell>
          <cell r="D261">
            <v>5.0640000000000001</v>
          </cell>
          <cell r="E261"/>
          <cell r="F261"/>
          <cell r="G261"/>
          <cell r="H261"/>
          <cell r="I261"/>
          <cell r="J261"/>
          <cell r="K261"/>
          <cell r="L261"/>
          <cell r="M261"/>
          <cell r="N261"/>
          <cell r="O261">
            <v>4.78</v>
          </cell>
          <cell r="P261">
            <v>4.6820000000000004</v>
          </cell>
          <cell r="Q261">
            <v>4.5659999999999998</v>
          </cell>
          <cell r="R261">
            <v>4.4809999999999999</v>
          </cell>
          <cell r="S261">
            <v>4.4820000000000002</v>
          </cell>
          <cell r="T261">
            <v>4.3419999999999996</v>
          </cell>
          <cell r="U261">
            <v>4.3849999999999998</v>
          </cell>
          <cell r="V261">
            <v>4.5129999999999999</v>
          </cell>
          <cell r="W261">
            <v>4.8579999999999997</v>
          </cell>
          <cell r="X261">
            <v>5.4569999999999999</v>
          </cell>
          <cell r="Y261"/>
          <cell r="Z261"/>
          <cell r="AA261"/>
          <cell r="AB261"/>
          <cell r="AC261"/>
          <cell r="AD261"/>
          <cell r="AE261"/>
          <cell r="AF261"/>
          <cell r="AG261"/>
          <cell r="AH261"/>
          <cell r="AI261">
            <v>4.5469999999999997</v>
          </cell>
          <cell r="AJ261">
            <v>4.5759999999999996</v>
          </cell>
          <cell r="AK261">
            <v>4.6619999999999999</v>
          </cell>
          <cell r="AL261">
            <v>4.8810000000000002</v>
          </cell>
          <cell r="AM261">
            <v>5.3440000000000003</v>
          </cell>
          <cell r="AN261"/>
          <cell r="AO261"/>
          <cell r="AP261"/>
          <cell r="AQ261"/>
          <cell r="AR261"/>
          <cell r="AS261"/>
          <cell r="AT261"/>
          <cell r="AU261"/>
          <cell r="AV261"/>
          <cell r="AW261"/>
          <cell r="AX261">
            <v>1.119</v>
          </cell>
          <cell r="AY261">
            <v>4308</v>
          </cell>
          <cell r="AZ261">
            <v>839</v>
          </cell>
        </row>
        <row r="262">
          <cell r="A262">
            <v>37012</v>
          </cell>
          <cell r="B262">
            <v>4.5</v>
          </cell>
          <cell r="C262">
            <v>3.5</v>
          </cell>
          <cell r="D262">
            <v>4.6539999999999999</v>
          </cell>
          <cell r="E262"/>
          <cell r="F262"/>
          <cell r="G262"/>
          <cell r="H262"/>
          <cell r="I262"/>
          <cell r="J262"/>
          <cell r="K262"/>
          <cell r="L262"/>
          <cell r="M262"/>
          <cell r="N262"/>
          <cell r="O262">
            <v>4.6630000000000003</v>
          </cell>
          <cell r="P262">
            <v>4.6369999999999996</v>
          </cell>
          <cell r="Q262">
            <v>4.5579999999999998</v>
          </cell>
          <cell r="R262">
            <v>4.5199999999999996</v>
          </cell>
          <cell r="S262">
            <v>4.5010000000000003</v>
          </cell>
          <cell r="T262">
            <v>4.3920000000000003</v>
          </cell>
          <cell r="U262">
            <v>4.4790000000000001</v>
          </cell>
          <cell r="V262">
            <v>4.6749999999999998</v>
          </cell>
          <cell r="W262">
            <v>5.0670000000000002</v>
          </cell>
          <cell r="X262">
            <v>5.633</v>
          </cell>
          <cell r="Y262"/>
          <cell r="Z262"/>
          <cell r="AA262"/>
          <cell r="AB262"/>
          <cell r="AC262"/>
          <cell r="AD262"/>
          <cell r="AE262"/>
          <cell r="AF262"/>
          <cell r="AG262"/>
          <cell r="AH262"/>
          <cell r="AI262">
            <v>4.5819999999999999</v>
          </cell>
          <cell r="AJ262">
            <v>4.6449999999999996</v>
          </cell>
          <cell r="AK262">
            <v>4.7590000000000003</v>
          </cell>
          <cell r="AL262">
            <v>4.9969999999999999</v>
          </cell>
          <cell r="AM262">
            <v>5.4729999999999999</v>
          </cell>
          <cell r="AN262"/>
          <cell r="AO262"/>
          <cell r="AP262"/>
          <cell r="AQ262"/>
          <cell r="AR262"/>
          <cell r="AS262"/>
          <cell r="AT262"/>
          <cell r="AU262"/>
          <cell r="AV262"/>
          <cell r="AW262"/>
          <cell r="AX262">
            <v>1.143</v>
          </cell>
          <cell r="AY262">
            <v>4482</v>
          </cell>
          <cell r="AZ262">
            <v>825</v>
          </cell>
        </row>
        <row r="263">
          <cell r="A263">
            <v>37043</v>
          </cell>
          <cell r="B263">
            <v>4.5</v>
          </cell>
          <cell r="C263">
            <v>3.5</v>
          </cell>
          <cell r="D263">
            <v>4.54</v>
          </cell>
          <cell r="E263"/>
          <cell r="F263"/>
          <cell r="G263"/>
          <cell r="H263"/>
          <cell r="I263"/>
          <cell r="J263"/>
          <cell r="K263"/>
          <cell r="L263"/>
          <cell r="M263"/>
          <cell r="N263"/>
          <cell r="O263">
            <v>4.53</v>
          </cell>
          <cell r="P263">
            <v>4.4539999999999997</v>
          </cell>
          <cell r="Q263">
            <v>4.3529999999999998</v>
          </cell>
          <cell r="R263">
            <v>4.3120000000000003</v>
          </cell>
          <cell r="S263">
            <v>4.29</v>
          </cell>
          <cell r="T263">
            <v>4.2779999999999996</v>
          </cell>
          <cell r="U263">
            <v>4.3159999999999998</v>
          </cell>
          <cell r="V263">
            <v>4.5540000000000003</v>
          </cell>
          <cell r="W263">
            <v>5.0259999999999998</v>
          </cell>
          <cell r="X263">
            <v>5.6239999999999997</v>
          </cell>
          <cell r="Y263"/>
          <cell r="Z263"/>
          <cell r="AA263"/>
          <cell r="AB263"/>
          <cell r="AC263"/>
          <cell r="AD263"/>
          <cell r="AE263"/>
          <cell r="AF263"/>
          <cell r="AG263"/>
          <cell r="AH263"/>
          <cell r="AI263">
            <v>4.3659999999999997</v>
          </cell>
          <cell r="AJ263">
            <v>4.452</v>
          </cell>
          <cell r="AK263">
            <v>4.601</v>
          </cell>
          <cell r="AL263">
            <v>4.8869999999999996</v>
          </cell>
          <cell r="AM263">
            <v>5.4189999999999996</v>
          </cell>
          <cell r="AN263"/>
          <cell r="AO263"/>
          <cell r="AP263"/>
          <cell r="AQ263"/>
          <cell r="AR263"/>
          <cell r="AS263"/>
          <cell r="AT263"/>
          <cell r="AU263"/>
          <cell r="AV263"/>
          <cell r="AW263"/>
          <cell r="AX263">
            <v>1.171</v>
          </cell>
          <cell r="AY263">
            <v>4290</v>
          </cell>
          <cell r="AZ263">
            <v>863</v>
          </cell>
        </row>
        <row r="264">
          <cell r="A264">
            <v>37073</v>
          </cell>
          <cell r="B264">
            <v>4.5</v>
          </cell>
          <cell r="C264">
            <v>3.5</v>
          </cell>
          <cell r="D264">
            <v>4.5049999999999999</v>
          </cell>
          <cell r="E264"/>
          <cell r="F264"/>
          <cell r="G264"/>
          <cell r="H264"/>
          <cell r="I264"/>
          <cell r="J264"/>
          <cell r="K264"/>
          <cell r="L264"/>
          <cell r="M264"/>
          <cell r="N264"/>
          <cell r="O264">
            <v>4.5250000000000004</v>
          </cell>
          <cell r="P264">
            <v>4.4669999999999996</v>
          </cell>
          <cell r="Q264">
            <v>4.3869999999999996</v>
          </cell>
          <cell r="R264">
            <v>4.3109999999999999</v>
          </cell>
          <cell r="S264">
            <v>4.2480000000000002</v>
          </cell>
          <cell r="T264">
            <v>4.2480000000000002</v>
          </cell>
          <cell r="U264">
            <v>4.2789999999999999</v>
          </cell>
          <cell r="V264">
            <v>4.5430000000000001</v>
          </cell>
          <cell r="W264">
            <v>5.0220000000000002</v>
          </cell>
          <cell r="X264">
            <v>5.59</v>
          </cell>
          <cell r="Y264"/>
          <cell r="Z264"/>
          <cell r="AA264"/>
          <cell r="AB264"/>
          <cell r="AC264"/>
          <cell r="AD264"/>
          <cell r="AE264"/>
          <cell r="AF264"/>
          <cell r="AG264"/>
          <cell r="AH264"/>
          <cell r="AI264">
            <v>4.3730000000000002</v>
          </cell>
          <cell r="AJ264">
            <v>4.4470000000000001</v>
          </cell>
          <cell r="AK264">
            <v>4.5890000000000004</v>
          </cell>
          <cell r="AL264">
            <v>4.8860000000000001</v>
          </cell>
          <cell r="AM264">
            <v>5.4279999999999999</v>
          </cell>
          <cell r="AN264"/>
          <cell r="AO264"/>
          <cell r="AP264"/>
          <cell r="AQ264"/>
          <cell r="AR264"/>
          <cell r="AS264"/>
          <cell r="AT264"/>
          <cell r="AU264"/>
          <cell r="AV264"/>
          <cell r="AW264"/>
          <cell r="AX264">
            <v>1.161</v>
          </cell>
          <cell r="AY264">
            <v>4038</v>
          </cell>
          <cell r="AZ264">
            <v>862</v>
          </cell>
        </row>
        <row r="265">
          <cell r="A265">
            <v>37104</v>
          </cell>
          <cell r="B265">
            <v>4.25</v>
          </cell>
          <cell r="C265">
            <v>3.25</v>
          </cell>
          <cell r="D265">
            <v>4.4909999999999997</v>
          </cell>
          <cell r="E265"/>
          <cell r="F265"/>
          <cell r="G265"/>
          <cell r="H265"/>
          <cell r="I265"/>
          <cell r="J265"/>
          <cell r="K265"/>
          <cell r="L265"/>
          <cell r="M265"/>
          <cell r="N265"/>
          <cell r="O265">
            <v>4.4649999999999999</v>
          </cell>
          <cell r="P265">
            <v>4.3540000000000001</v>
          </cell>
          <cell r="Q265">
            <v>4.2249999999999996</v>
          </cell>
          <cell r="R265">
            <v>4.1079999999999997</v>
          </cell>
          <cell r="S265">
            <v>4.0759999999999996</v>
          </cell>
          <cell r="T265">
            <v>4.04</v>
          </cell>
          <cell r="U265">
            <v>4.07</v>
          </cell>
          <cell r="V265">
            <v>4.3250000000000002</v>
          </cell>
          <cell r="W265">
            <v>4.835</v>
          </cell>
          <cell r="X265">
            <v>5.4370000000000003</v>
          </cell>
          <cell r="Y265"/>
          <cell r="Z265"/>
          <cell r="AA265"/>
          <cell r="AB265"/>
          <cell r="AC265"/>
          <cell r="AD265"/>
          <cell r="AE265"/>
          <cell r="AF265"/>
          <cell r="AG265"/>
          <cell r="AH265"/>
          <cell r="AI265">
            <v>4.1559999999999997</v>
          </cell>
          <cell r="AJ265">
            <v>4.2190000000000003</v>
          </cell>
          <cell r="AK265">
            <v>4.3739999999999997</v>
          </cell>
          <cell r="AL265">
            <v>4.6820000000000004</v>
          </cell>
          <cell r="AM265">
            <v>5.2480000000000002</v>
          </cell>
          <cell r="AN265"/>
          <cell r="AO265"/>
          <cell r="AP265"/>
          <cell r="AQ265"/>
          <cell r="AR265"/>
          <cell r="AS265"/>
          <cell r="AT265"/>
          <cell r="AU265"/>
          <cell r="AV265"/>
          <cell r="AW265"/>
          <cell r="AX265">
            <v>1.1080000000000001</v>
          </cell>
          <cell r="AY265">
            <v>3885</v>
          </cell>
          <cell r="AZ265">
            <v>833</v>
          </cell>
        </row>
        <row r="266">
          <cell r="A266">
            <v>37135</v>
          </cell>
          <cell r="B266">
            <v>3.75</v>
          </cell>
          <cell r="C266">
            <v>2.75</v>
          </cell>
          <cell r="D266">
            <v>3.9870000000000001</v>
          </cell>
          <cell r="E266"/>
          <cell r="F266"/>
          <cell r="G266"/>
          <cell r="H266"/>
          <cell r="I266"/>
          <cell r="J266"/>
          <cell r="K266"/>
          <cell r="L266"/>
          <cell r="M266"/>
          <cell r="N266"/>
          <cell r="O266">
            <v>4.0510000000000002</v>
          </cell>
          <cell r="P266">
            <v>3.9830000000000001</v>
          </cell>
          <cell r="Q266">
            <v>3.8759999999999999</v>
          </cell>
          <cell r="R266">
            <v>3.77</v>
          </cell>
          <cell r="S266">
            <v>3.7389999999999999</v>
          </cell>
          <cell r="T266">
            <v>3.6909999999999998</v>
          </cell>
          <cell r="U266">
            <v>3.8410000000000002</v>
          </cell>
          <cell r="V266">
            <v>4.1399999999999997</v>
          </cell>
          <cell r="W266">
            <v>4.8360000000000003</v>
          </cell>
          <cell r="X266">
            <v>5.56</v>
          </cell>
          <cell r="Y266"/>
          <cell r="Z266"/>
          <cell r="AA266"/>
          <cell r="AB266"/>
          <cell r="AC266"/>
          <cell r="AD266"/>
          <cell r="AE266"/>
          <cell r="AF266"/>
          <cell r="AG266"/>
          <cell r="AH266"/>
          <cell r="AI266">
            <v>3.794</v>
          </cell>
          <cell r="AJ266">
            <v>3.9020000000000001</v>
          </cell>
          <cell r="AK266">
            <v>4.1210000000000004</v>
          </cell>
          <cell r="AL266">
            <v>4.5229999999999997</v>
          </cell>
          <cell r="AM266">
            <v>5.22</v>
          </cell>
          <cell r="AN266"/>
          <cell r="AO266"/>
          <cell r="AP266"/>
          <cell r="AQ266"/>
          <cell r="AR266"/>
          <cell r="AS266"/>
          <cell r="AT266"/>
          <cell r="AU266"/>
          <cell r="AV266"/>
          <cell r="AW266"/>
          <cell r="AX266">
            <v>1.0960000000000001</v>
          </cell>
          <cell r="AY266">
            <v>3277</v>
          </cell>
          <cell r="AZ266">
            <v>817</v>
          </cell>
        </row>
        <row r="267">
          <cell r="A267">
            <v>37165</v>
          </cell>
          <cell r="B267">
            <v>3.75</v>
          </cell>
          <cell r="C267">
            <v>2.75</v>
          </cell>
          <cell r="D267">
            <v>3.9710000000000001</v>
          </cell>
          <cell r="E267"/>
          <cell r="F267"/>
          <cell r="G267"/>
          <cell r="H267"/>
          <cell r="I267"/>
          <cell r="J267"/>
          <cell r="K267"/>
          <cell r="L267"/>
          <cell r="M267"/>
          <cell r="N267"/>
          <cell r="O267">
            <v>3.7189999999999999</v>
          </cell>
          <cell r="P267">
            <v>3.6</v>
          </cell>
          <cell r="Q267">
            <v>3.4590000000000001</v>
          </cell>
          <cell r="R267">
            <v>3.3690000000000002</v>
          </cell>
          <cell r="S267">
            <v>3.3460000000000001</v>
          </cell>
          <cell r="T267">
            <v>3.3460000000000001</v>
          </cell>
          <cell r="U267">
            <v>3.5289999999999999</v>
          </cell>
          <cell r="V267">
            <v>3.9319999999999999</v>
          </cell>
          <cell r="W267">
            <v>4.6180000000000003</v>
          </cell>
          <cell r="X267">
            <v>5.3360000000000003</v>
          </cell>
          <cell r="Y267"/>
          <cell r="Z267"/>
          <cell r="AA267"/>
          <cell r="AB267"/>
          <cell r="AC267"/>
          <cell r="AD267"/>
          <cell r="AE267"/>
          <cell r="AF267"/>
          <cell r="AG267"/>
          <cell r="AH267"/>
          <cell r="AI267">
            <v>3.4009999999999998</v>
          </cell>
          <cell r="AJ267">
            <v>3.5590000000000002</v>
          </cell>
          <cell r="AK267">
            <v>3.819</v>
          </cell>
          <cell r="AL267">
            <v>4.2619999999999996</v>
          </cell>
          <cell r="AM267">
            <v>4.9340000000000002</v>
          </cell>
          <cell r="AN267"/>
          <cell r="AO267"/>
          <cell r="AP267"/>
          <cell r="AQ267"/>
          <cell r="AR267"/>
          <cell r="AS267"/>
          <cell r="AT267"/>
          <cell r="AU267"/>
          <cell r="AV267"/>
          <cell r="AW267"/>
          <cell r="AX267">
            <v>1.1040000000000001</v>
          </cell>
          <cell r="AY267">
            <v>3441</v>
          </cell>
          <cell r="AZ267">
            <v>810</v>
          </cell>
        </row>
        <row r="268">
          <cell r="A268">
            <v>37196</v>
          </cell>
          <cell r="B268">
            <v>3.25</v>
          </cell>
          <cell r="C268">
            <v>2.25</v>
          </cell>
          <cell r="D268">
            <v>3.5070000000000001</v>
          </cell>
          <cell r="E268"/>
          <cell r="F268"/>
          <cell r="G268"/>
          <cell r="H268"/>
          <cell r="I268"/>
          <cell r="J268"/>
          <cell r="K268"/>
          <cell r="L268"/>
          <cell r="M268"/>
          <cell r="N268"/>
          <cell r="O268">
            <v>3.427</v>
          </cell>
          <cell r="P268">
            <v>3.3860000000000001</v>
          </cell>
          <cell r="Q268">
            <v>3.262</v>
          </cell>
          <cell r="R268">
            <v>3.198</v>
          </cell>
          <cell r="S268">
            <v>3.1749999999999998</v>
          </cell>
          <cell r="T268">
            <v>3.2789999999999999</v>
          </cell>
          <cell r="U268">
            <v>3.4660000000000002</v>
          </cell>
          <cell r="V268">
            <v>3.9119999999999999</v>
          </cell>
          <cell r="W268">
            <v>4.4729999999999999</v>
          </cell>
          <cell r="X268">
            <v>5.0359999999999996</v>
          </cell>
          <cell r="Y268"/>
          <cell r="Z268"/>
          <cell r="AA268"/>
          <cell r="AB268"/>
          <cell r="AC268"/>
          <cell r="AD268"/>
          <cell r="AE268"/>
          <cell r="AF268"/>
          <cell r="AG268"/>
          <cell r="AH268"/>
          <cell r="AI268">
            <v>3.2490000000000001</v>
          </cell>
          <cell r="AJ268">
            <v>3.4830000000000001</v>
          </cell>
          <cell r="AK268">
            <v>3.7559999999999998</v>
          </cell>
          <cell r="AL268">
            <v>4.1859999999999999</v>
          </cell>
          <cell r="AM268">
            <v>4.7990000000000004</v>
          </cell>
          <cell r="AN268"/>
          <cell r="AO268"/>
          <cell r="AP268"/>
          <cell r="AQ268"/>
          <cell r="AR268"/>
          <cell r="AS268"/>
          <cell r="AT268"/>
          <cell r="AU268"/>
          <cell r="AV268"/>
          <cell r="AW268"/>
          <cell r="AX268">
            <v>1.1259999999999999</v>
          </cell>
          <cell r="AY268">
            <v>3675</v>
          </cell>
          <cell r="AZ268">
            <v>811</v>
          </cell>
        </row>
        <row r="269">
          <cell r="A269">
            <v>37226</v>
          </cell>
          <cell r="B269">
            <v>3.25</v>
          </cell>
          <cell r="C269">
            <v>2.25</v>
          </cell>
          <cell r="D269">
            <v>3.339</v>
          </cell>
          <cell r="E269"/>
          <cell r="F269"/>
          <cell r="G269"/>
          <cell r="H269"/>
          <cell r="I269"/>
          <cell r="J269"/>
          <cell r="K269"/>
          <cell r="L269"/>
          <cell r="M269"/>
          <cell r="N269"/>
          <cell r="O269">
            <v>3.4180000000000001</v>
          </cell>
          <cell r="P269">
            <v>3.3450000000000002</v>
          </cell>
          <cell r="Q269">
            <v>3.2559999999999998</v>
          </cell>
          <cell r="R269">
            <v>3.298</v>
          </cell>
          <cell r="S269">
            <v>3.2570000000000001</v>
          </cell>
          <cell r="T269">
            <v>3.589</v>
          </cell>
          <cell r="U269">
            <v>3.794</v>
          </cell>
          <cell r="V269">
            <v>4.26</v>
          </cell>
          <cell r="W269">
            <v>4.8049999999999997</v>
          </cell>
          <cell r="X269">
            <v>5.234</v>
          </cell>
          <cell r="Y269"/>
          <cell r="Z269"/>
          <cell r="AA269"/>
          <cell r="AB269"/>
          <cell r="AC269"/>
          <cell r="AD269"/>
          <cell r="AE269"/>
          <cell r="AF269"/>
          <cell r="AG269"/>
          <cell r="AH269"/>
          <cell r="AI269">
            <v>3.3780000000000001</v>
          </cell>
          <cell r="AJ269">
            <v>3.7970000000000002</v>
          </cell>
          <cell r="AK269">
            <v>4.1150000000000002</v>
          </cell>
          <cell r="AL269">
            <v>4.5309999999999997</v>
          </cell>
          <cell r="AM269">
            <v>5.0780000000000003</v>
          </cell>
          <cell r="AN269"/>
          <cell r="AO269"/>
          <cell r="AP269"/>
          <cell r="AQ269"/>
          <cell r="AR269"/>
          <cell r="AS269"/>
          <cell r="AT269"/>
          <cell r="AU269"/>
          <cell r="AV269"/>
          <cell r="AW269"/>
          <cell r="AX269">
            <v>1.1220000000000001</v>
          </cell>
          <cell r="AY269">
            <v>3711</v>
          </cell>
          <cell r="AZ269">
            <v>815</v>
          </cell>
        </row>
        <row r="270">
          <cell r="A270">
            <v>37257</v>
          </cell>
          <cell r="B270">
            <v>3.25</v>
          </cell>
          <cell r="C270">
            <v>2.25</v>
          </cell>
          <cell r="D270">
            <v>3.294</v>
          </cell>
          <cell r="E270"/>
          <cell r="F270"/>
          <cell r="G270"/>
          <cell r="H270"/>
          <cell r="I270"/>
          <cell r="J270"/>
          <cell r="K270"/>
          <cell r="L270"/>
          <cell r="M270"/>
          <cell r="N270"/>
          <cell r="O270">
            <v>3.3479999999999999</v>
          </cell>
          <cell r="P270">
            <v>3.339</v>
          </cell>
          <cell r="Q270">
            <v>3.3420000000000001</v>
          </cell>
          <cell r="R270">
            <v>3.4830000000000001</v>
          </cell>
          <cell r="S270">
            <v>3.4119999999999999</v>
          </cell>
          <cell r="T270">
            <v>3.7440000000000002</v>
          </cell>
          <cell r="U270">
            <v>3.9620000000000002</v>
          </cell>
          <cell r="V270">
            <v>4.375</v>
          </cell>
          <cell r="W270">
            <v>4.8780000000000001</v>
          </cell>
          <cell r="X270">
            <v>5.2389999999999999</v>
          </cell>
          <cell r="Y270"/>
          <cell r="Z270"/>
          <cell r="AA270"/>
          <cell r="AB270"/>
          <cell r="AC270"/>
          <cell r="AD270"/>
          <cell r="AE270"/>
          <cell r="AF270"/>
          <cell r="AG270"/>
          <cell r="AH270"/>
          <cell r="AI270">
            <v>3.5390000000000001</v>
          </cell>
          <cell r="AJ270">
            <v>3.9540000000000002</v>
          </cell>
          <cell r="AK270">
            <v>4.2469999999999999</v>
          </cell>
          <cell r="AL270">
            <v>4.6310000000000002</v>
          </cell>
          <cell r="AM270">
            <v>5.1260000000000003</v>
          </cell>
          <cell r="AN270"/>
          <cell r="AO270"/>
          <cell r="AP270"/>
          <cell r="AQ270"/>
          <cell r="AR270"/>
          <cell r="AS270"/>
          <cell r="AT270"/>
          <cell r="AU270"/>
          <cell r="AV270"/>
          <cell r="AW270"/>
          <cell r="AX270">
            <v>1.1319999999999999</v>
          </cell>
          <cell r="AY270">
            <v>3690</v>
          </cell>
          <cell r="AZ270">
            <v>840</v>
          </cell>
        </row>
        <row r="271">
          <cell r="A271">
            <v>37288</v>
          </cell>
          <cell r="B271">
            <v>3.25</v>
          </cell>
          <cell r="C271">
            <v>2.25</v>
          </cell>
          <cell r="D271">
            <v>3.2829999999999999</v>
          </cell>
          <cell r="E271"/>
          <cell r="F271"/>
          <cell r="G271"/>
          <cell r="H271"/>
          <cell r="I271"/>
          <cell r="J271"/>
          <cell r="K271"/>
          <cell r="L271"/>
          <cell r="M271"/>
          <cell r="N271"/>
          <cell r="O271">
            <v>3.3359999999999999</v>
          </cell>
          <cell r="P271">
            <v>3.3570000000000002</v>
          </cell>
          <cell r="Q271">
            <v>3.3980000000000001</v>
          </cell>
          <cell r="R271">
            <v>3.5939999999999999</v>
          </cell>
          <cell r="S271">
            <v>3.4780000000000002</v>
          </cell>
          <cell r="T271">
            <v>3.85</v>
          </cell>
          <cell r="U271">
            <v>4.0810000000000004</v>
          </cell>
          <cell r="V271">
            <v>4.4859999999999998</v>
          </cell>
          <cell r="W271">
            <v>4.9269999999999996</v>
          </cell>
          <cell r="X271">
            <v>5.2779999999999996</v>
          </cell>
          <cell r="Y271"/>
          <cell r="Z271"/>
          <cell r="AA271"/>
          <cell r="AB271"/>
          <cell r="AC271"/>
          <cell r="AD271"/>
          <cell r="AE271"/>
          <cell r="AF271"/>
          <cell r="AG271"/>
          <cell r="AH271"/>
          <cell r="AI271">
            <v>3.6440000000000001</v>
          </cell>
          <cell r="AJ271">
            <v>4.077</v>
          </cell>
          <cell r="AK271">
            <v>4.3570000000000002</v>
          </cell>
          <cell r="AL271">
            <v>4.7300000000000004</v>
          </cell>
          <cell r="AM271">
            <v>5.1849999999999996</v>
          </cell>
          <cell r="AN271"/>
          <cell r="AO271"/>
          <cell r="AP271"/>
          <cell r="AQ271"/>
          <cell r="AR271"/>
          <cell r="AS271"/>
          <cell r="AT271"/>
          <cell r="AU271"/>
          <cell r="AV271"/>
          <cell r="AW271"/>
          <cell r="AX271">
            <v>1.149</v>
          </cell>
          <cell r="AY271">
            <v>3538</v>
          </cell>
          <cell r="AZ271">
            <v>777</v>
          </cell>
        </row>
        <row r="272">
          <cell r="A272">
            <v>37316</v>
          </cell>
          <cell r="B272">
            <v>3.25</v>
          </cell>
          <cell r="C272">
            <v>2.25</v>
          </cell>
          <cell r="D272">
            <v>3.2639999999999998</v>
          </cell>
          <cell r="E272"/>
          <cell r="F272"/>
          <cell r="G272"/>
          <cell r="H272"/>
          <cell r="I272"/>
          <cell r="J272"/>
          <cell r="K272"/>
          <cell r="L272"/>
          <cell r="M272"/>
          <cell r="N272"/>
          <cell r="O272">
            <v>3.3460000000000001</v>
          </cell>
          <cell r="P272">
            <v>3.391</v>
          </cell>
          <cell r="Q272">
            <v>3.5</v>
          </cell>
          <cell r="R272">
            <v>3.8159999999999998</v>
          </cell>
          <cell r="S272">
            <v>3.7309999999999999</v>
          </cell>
          <cell r="T272">
            <v>4.1749999999999998</v>
          </cell>
          <cell r="U272">
            <v>4.4450000000000003</v>
          </cell>
          <cell r="V272">
            <v>4.819</v>
          </cell>
          <cell r="W272">
            <v>5.1870000000000003</v>
          </cell>
          <cell r="X272">
            <v>5.5140000000000002</v>
          </cell>
          <cell r="Y272"/>
          <cell r="Z272"/>
          <cell r="AA272"/>
          <cell r="AB272"/>
          <cell r="AC272"/>
          <cell r="AD272"/>
          <cell r="AE272"/>
          <cell r="AF272"/>
          <cell r="AG272"/>
          <cell r="AH272"/>
          <cell r="AI272">
            <v>3.8879999999999999</v>
          </cell>
          <cell r="AJ272">
            <v>4.3810000000000002</v>
          </cell>
          <cell r="AK272">
            <v>4.6630000000000003</v>
          </cell>
          <cell r="AL272">
            <v>5.0149999999999997</v>
          </cell>
          <cell r="AM272">
            <v>5.4210000000000003</v>
          </cell>
          <cell r="AN272"/>
          <cell r="AO272"/>
          <cell r="AP272"/>
          <cell r="AQ272"/>
          <cell r="AR272"/>
          <cell r="AS272"/>
          <cell r="AT272"/>
          <cell r="AU272"/>
          <cell r="AV272"/>
          <cell r="AW272"/>
          <cell r="AX272">
            <v>1.141</v>
          </cell>
          <cell r="AY272">
            <v>3744</v>
          </cell>
          <cell r="AZ272">
            <v>815</v>
          </cell>
        </row>
        <row r="273">
          <cell r="A273">
            <v>37347</v>
          </cell>
          <cell r="B273">
            <v>3.25</v>
          </cell>
          <cell r="C273">
            <v>2.25</v>
          </cell>
          <cell r="D273">
            <v>3.3159999999999998</v>
          </cell>
          <cell r="E273"/>
          <cell r="F273"/>
          <cell r="G273"/>
          <cell r="H273"/>
          <cell r="I273"/>
          <cell r="J273"/>
          <cell r="K273"/>
          <cell r="L273"/>
          <cell r="M273"/>
          <cell r="N273"/>
          <cell r="O273">
            <v>3.3359999999999999</v>
          </cell>
          <cell r="P273">
            <v>3.407</v>
          </cell>
          <cell r="Q273">
            <v>3.536</v>
          </cell>
          <cell r="R273">
            <v>3.86</v>
          </cell>
          <cell r="S273">
            <v>3.7749999999999999</v>
          </cell>
          <cell r="T273">
            <v>4.1529999999999996</v>
          </cell>
          <cell r="U273">
            <v>4.407</v>
          </cell>
          <cell r="V273">
            <v>4.7750000000000004</v>
          </cell>
          <cell r="W273">
            <v>5.1660000000000004</v>
          </cell>
          <cell r="X273">
            <v>5.5410000000000004</v>
          </cell>
          <cell r="Y273"/>
          <cell r="Z273"/>
          <cell r="AA273"/>
          <cell r="AB273"/>
          <cell r="AC273"/>
          <cell r="AD273"/>
          <cell r="AE273"/>
          <cell r="AF273"/>
          <cell r="AG273"/>
          <cell r="AH273"/>
          <cell r="AI273">
            <v>3.91</v>
          </cell>
          <cell r="AJ273">
            <v>4.3630000000000004</v>
          </cell>
          <cell r="AK273">
            <v>4.6420000000000003</v>
          </cell>
          <cell r="AL273">
            <v>4.9859999999999998</v>
          </cell>
          <cell r="AM273">
            <v>5.4059999999999997</v>
          </cell>
          <cell r="AN273"/>
          <cell r="AO273"/>
          <cell r="AP273"/>
          <cell r="AQ273"/>
          <cell r="AR273"/>
          <cell r="AS273"/>
          <cell r="AT273"/>
          <cell r="AU273"/>
          <cell r="AV273"/>
          <cell r="AW273"/>
          <cell r="AX273">
            <v>1.1279999999999999</v>
          </cell>
          <cell r="AY273">
            <v>3659</v>
          </cell>
          <cell r="AZ273">
            <v>789</v>
          </cell>
        </row>
        <row r="274">
          <cell r="A274">
            <v>37377</v>
          </cell>
          <cell r="B274">
            <v>3.25</v>
          </cell>
          <cell r="C274">
            <v>2.25</v>
          </cell>
          <cell r="D274">
            <v>3.31</v>
          </cell>
          <cell r="E274"/>
          <cell r="F274"/>
          <cell r="G274"/>
          <cell r="H274"/>
          <cell r="I274"/>
          <cell r="J274"/>
          <cell r="K274"/>
          <cell r="L274"/>
          <cell r="M274"/>
          <cell r="N274"/>
          <cell r="O274">
            <v>3.3740000000000001</v>
          </cell>
          <cell r="P274">
            <v>3.4670000000000001</v>
          </cell>
          <cell r="Q274">
            <v>3.6259999999999999</v>
          </cell>
          <cell r="R274">
            <v>3.9630000000000001</v>
          </cell>
          <cell r="S274">
            <v>3.8929999999999998</v>
          </cell>
          <cell r="T274">
            <v>4.2160000000000002</v>
          </cell>
          <cell r="U274">
            <v>4.4539999999999997</v>
          </cell>
          <cell r="V274">
            <v>4.8010000000000002</v>
          </cell>
          <cell r="W274">
            <v>5.1760000000000002</v>
          </cell>
          <cell r="X274">
            <v>5.52</v>
          </cell>
          <cell r="Y274"/>
          <cell r="Z274"/>
          <cell r="AA274"/>
          <cell r="AB274"/>
          <cell r="AC274"/>
          <cell r="AD274"/>
          <cell r="AE274"/>
          <cell r="AF274"/>
          <cell r="AG274"/>
          <cell r="AH274"/>
          <cell r="AI274">
            <v>4.0049999999999999</v>
          </cell>
          <cell r="AJ274">
            <v>4.4180000000000001</v>
          </cell>
          <cell r="AK274">
            <v>4.6500000000000004</v>
          </cell>
          <cell r="AL274">
            <v>4.9969999999999999</v>
          </cell>
          <cell r="AM274">
            <v>5.407</v>
          </cell>
          <cell r="AN274"/>
          <cell r="AO274"/>
          <cell r="AP274"/>
          <cell r="AQ274"/>
          <cell r="AR274"/>
          <cell r="AS274"/>
          <cell r="AT274"/>
          <cell r="AU274"/>
          <cell r="AV274"/>
          <cell r="AW274"/>
          <cell r="AX274">
            <v>1.0900000000000001</v>
          </cell>
          <cell r="AY274">
            <v>3503</v>
          </cell>
          <cell r="AZ274">
            <v>793</v>
          </cell>
        </row>
        <row r="275">
          <cell r="A275">
            <v>37408</v>
          </cell>
          <cell r="B275">
            <v>3.25</v>
          </cell>
          <cell r="C275">
            <v>2.25</v>
          </cell>
          <cell r="D275">
            <v>3.3490000000000002</v>
          </cell>
          <cell r="E275"/>
          <cell r="F275"/>
          <cell r="G275"/>
          <cell r="H275"/>
          <cell r="I275"/>
          <cell r="J275"/>
          <cell r="K275"/>
          <cell r="L275"/>
          <cell r="M275"/>
          <cell r="N275"/>
          <cell r="O275">
            <v>3.3839999999999999</v>
          </cell>
          <cell r="P275">
            <v>3.464</v>
          </cell>
          <cell r="Q275">
            <v>3.59</v>
          </cell>
          <cell r="R275">
            <v>3.8690000000000002</v>
          </cell>
          <cell r="S275">
            <v>3.827</v>
          </cell>
          <cell r="T275">
            <v>4.0730000000000004</v>
          </cell>
          <cell r="U275">
            <v>4.2880000000000003</v>
          </cell>
          <cell r="V275">
            <v>4.6100000000000003</v>
          </cell>
          <cell r="W275">
            <v>5.0270000000000001</v>
          </cell>
          <cell r="X275">
            <v>5.37</v>
          </cell>
          <cell r="Y275"/>
          <cell r="Z275"/>
          <cell r="AA275"/>
          <cell r="AB275"/>
          <cell r="AC275"/>
          <cell r="AD275"/>
          <cell r="AE275"/>
          <cell r="AF275"/>
          <cell r="AG275"/>
          <cell r="AH275"/>
          <cell r="AI275">
            <v>3.9129999999999998</v>
          </cell>
          <cell r="AJ275">
            <v>4.2629999999999999</v>
          </cell>
          <cell r="AK275">
            <v>4.4960000000000004</v>
          </cell>
          <cell r="AL275">
            <v>4.82</v>
          </cell>
          <cell r="AM275">
            <v>5.2519999999999998</v>
          </cell>
          <cell r="AN275"/>
          <cell r="AO275"/>
          <cell r="AP275"/>
          <cell r="AQ275"/>
          <cell r="AR275"/>
          <cell r="AS275"/>
          <cell r="AT275"/>
          <cell r="AU275"/>
          <cell r="AV275"/>
          <cell r="AW275"/>
          <cell r="AX275">
            <v>1.0449999999999999</v>
          </cell>
          <cell r="AY275">
            <v>3143</v>
          </cell>
          <cell r="AZ275">
            <v>781</v>
          </cell>
        </row>
        <row r="276">
          <cell r="A276">
            <v>37438</v>
          </cell>
          <cell r="B276">
            <v>3.25</v>
          </cell>
          <cell r="C276">
            <v>2.25</v>
          </cell>
          <cell r="D276">
            <v>3.302</v>
          </cell>
          <cell r="E276"/>
          <cell r="F276"/>
          <cell r="G276"/>
          <cell r="H276"/>
          <cell r="I276"/>
          <cell r="J276"/>
          <cell r="K276"/>
          <cell r="L276"/>
          <cell r="M276"/>
          <cell r="N276"/>
          <cell r="O276">
            <v>3.3610000000000002</v>
          </cell>
          <cell r="P276">
            <v>3.41</v>
          </cell>
          <cell r="Q276">
            <v>3.484</v>
          </cell>
          <cell r="R276">
            <v>3.645</v>
          </cell>
          <cell r="S276">
            <v>3.5670000000000002</v>
          </cell>
          <cell r="T276">
            <v>3.823</v>
          </cell>
          <cell r="U276">
            <v>3.9980000000000002</v>
          </cell>
          <cell r="V276">
            <v>4.3710000000000004</v>
          </cell>
          <cell r="W276">
            <v>4.8710000000000004</v>
          </cell>
          <cell r="X276">
            <v>5.2350000000000003</v>
          </cell>
          <cell r="Y276"/>
          <cell r="Z276"/>
          <cell r="AA276"/>
          <cell r="AB276"/>
          <cell r="AC276"/>
          <cell r="AD276"/>
          <cell r="AE276"/>
          <cell r="AF276"/>
          <cell r="AG276"/>
          <cell r="AH276"/>
          <cell r="AI276">
            <v>3.6779999999999999</v>
          </cell>
          <cell r="AJ276">
            <v>3.9969999999999999</v>
          </cell>
          <cell r="AK276">
            <v>4.2590000000000003</v>
          </cell>
          <cell r="AL276">
            <v>4.633</v>
          </cell>
          <cell r="AM276">
            <v>5.1139999999999999</v>
          </cell>
          <cell r="AN276"/>
          <cell r="AO276"/>
          <cell r="AP276"/>
          <cell r="AQ276"/>
          <cell r="AR276"/>
          <cell r="AS276"/>
          <cell r="AT276"/>
          <cell r="AU276"/>
          <cell r="AV276"/>
          <cell r="AW276"/>
          <cell r="AX276">
            <v>1.0069999999999999</v>
          </cell>
          <cell r="AY276">
            <v>2811</v>
          </cell>
          <cell r="AZ276">
            <v>784</v>
          </cell>
        </row>
        <row r="277">
          <cell r="A277">
            <v>37469</v>
          </cell>
          <cell r="B277">
            <v>3.25</v>
          </cell>
          <cell r="C277">
            <v>2.25</v>
          </cell>
          <cell r="D277">
            <v>3.2930000000000001</v>
          </cell>
          <cell r="E277"/>
          <cell r="F277"/>
          <cell r="G277"/>
          <cell r="H277"/>
          <cell r="I277"/>
          <cell r="J277"/>
          <cell r="K277"/>
          <cell r="L277"/>
          <cell r="M277"/>
          <cell r="N277"/>
          <cell r="O277">
            <v>3.3330000000000002</v>
          </cell>
          <cell r="P277">
            <v>3.3519999999999999</v>
          </cell>
          <cell r="Q277">
            <v>3.38</v>
          </cell>
          <cell r="R277">
            <v>3.44</v>
          </cell>
          <cell r="S277">
            <v>3.3580000000000001</v>
          </cell>
          <cell r="T277">
            <v>3.5219999999999998</v>
          </cell>
          <cell r="U277">
            <v>3.7280000000000002</v>
          </cell>
          <cell r="V277">
            <v>4.0819999999999999</v>
          </cell>
          <cell r="W277">
            <v>4.5919999999999996</v>
          </cell>
          <cell r="X277">
            <v>5.0270000000000001</v>
          </cell>
          <cell r="Y277"/>
          <cell r="Z277"/>
          <cell r="AA277"/>
          <cell r="AB277"/>
          <cell r="AC277"/>
          <cell r="AD277"/>
          <cell r="AE277"/>
          <cell r="AF277"/>
          <cell r="AG277"/>
          <cell r="AH277"/>
          <cell r="AI277">
            <v>3.4750000000000001</v>
          </cell>
          <cell r="AJ277">
            <v>3.7069999999999999</v>
          </cell>
          <cell r="AK277">
            <v>3.9649999999999999</v>
          </cell>
          <cell r="AL277">
            <v>4.3470000000000004</v>
          </cell>
          <cell r="AM277">
            <v>4.8540000000000001</v>
          </cell>
          <cell r="AN277"/>
          <cell r="AO277"/>
          <cell r="AP277"/>
          <cell r="AQ277"/>
          <cell r="AR277"/>
          <cell r="AS277"/>
          <cell r="AT277"/>
          <cell r="AU277"/>
          <cell r="AV277"/>
          <cell r="AW277"/>
          <cell r="AX277">
            <v>1.0229999999999999</v>
          </cell>
          <cell r="AY277">
            <v>2697</v>
          </cell>
          <cell r="AZ277">
            <v>771</v>
          </cell>
        </row>
        <row r="278">
          <cell r="A278">
            <v>37500</v>
          </cell>
          <cell r="B278">
            <v>3.25</v>
          </cell>
          <cell r="C278">
            <v>2.25</v>
          </cell>
          <cell r="D278">
            <v>3.319</v>
          </cell>
          <cell r="E278"/>
          <cell r="F278"/>
          <cell r="G278"/>
          <cell r="H278"/>
          <cell r="I278"/>
          <cell r="J278"/>
          <cell r="K278"/>
          <cell r="L278"/>
          <cell r="M278"/>
          <cell r="N278"/>
          <cell r="O278">
            <v>3.3170000000000002</v>
          </cell>
          <cell r="P278">
            <v>3.31</v>
          </cell>
          <cell r="Q278">
            <v>3.27</v>
          </cell>
          <cell r="R278">
            <v>3.2360000000000002</v>
          </cell>
          <cell r="S278">
            <v>3.169</v>
          </cell>
          <cell r="T278">
            <v>3.242</v>
          </cell>
          <cell r="U278">
            <v>3.47</v>
          </cell>
          <cell r="V278">
            <v>3.79</v>
          </cell>
          <cell r="W278">
            <v>4.3819999999999997</v>
          </cell>
          <cell r="X278">
            <v>4.8879999999999999</v>
          </cell>
          <cell r="Y278"/>
          <cell r="Z278"/>
          <cell r="AA278"/>
          <cell r="AB278"/>
          <cell r="AC278"/>
          <cell r="AD278"/>
          <cell r="AE278"/>
          <cell r="AF278"/>
          <cell r="AG278"/>
          <cell r="AH278"/>
          <cell r="AI278">
            <v>3.2480000000000002</v>
          </cell>
          <cell r="AJ278">
            <v>3.423</v>
          </cell>
          <cell r="AK278">
            <v>3.6669999999999998</v>
          </cell>
          <cell r="AL278">
            <v>4.0629999999999997</v>
          </cell>
          <cell r="AM278">
            <v>4.6580000000000004</v>
          </cell>
          <cell r="AN278"/>
          <cell r="AO278"/>
          <cell r="AP278"/>
          <cell r="AQ278"/>
          <cell r="AR278"/>
          <cell r="AS278"/>
          <cell r="AT278"/>
          <cell r="AU278"/>
          <cell r="AV278"/>
          <cell r="AW278"/>
          <cell r="AX278">
            <v>1.0189999999999999</v>
          </cell>
          <cell r="AY278">
            <v>2450</v>
          </cell>
          <cell r="AZ278">
            <v>773</v>
          </cell>
        </row>
        <row r="279">
          <cell r="A279">
            <v>37530</v>
          </cell>
          <cell r="B279">
            <v>3.25</v>
          </cell>
          <cell r="C279">
            <v>2.25</v>
          </cell>
          <cell r="D279">
            <v>3.3</v>
          </cell>
          <cell r="E279"/>
          <cell r="F279"/>
          <cell r="G279"/>
          <cell r="H279"/>
          <cell r="I279"/>
          <cell r="J279"/>
          <cell r="K279"/>
          <cell r="L279"/>
          <cell r="M279"/>
          <cell r="N279"/>
          <cell r="O279">
            <v>3.306</v>
          </cell>
          <cell r="P279">
            <v>3.2610000000000001</v>
          </cell>
          <cell r="Q279">
            <v>3.1680000000000001</v>
          </cell>
          <cell r="R279">
            <v>3.1259999999999999</v>
          </cell>
          <cell r="S279">
            <v>3.0619999999999998</v>
          </cell>
          <cell r="T279">
            <v>3.1669999999999998</v>
          </cell>
          <cell r="U279">
            <v>3.395</v>
          </cell>
          <cell r="V279">
            <v>3.8069999999999999</v>
          </cell>
          <cell r="W279">
            <v>4.4850000000000003</v>
          </cell>
          <cell r="X279">
            <v>5.0490000000000004</v>
          </cell>
          <cell r="Y279"/>
          <cell r="Z279"/>
          <cell r="AA279"/>
          <cell r="AB279"/>
          <cell r="AC279"/>
          <cell r="AD279"/>
          <cell r="AE279"/>
          <cell r="AF279"/>
          <cell r="AG279"/>
          <cell r="AH279"/>
          <cell r="AI279">
            <v>3.145</v>
          </cell>
          <cell r="AJ279">
            <v>3.359</v>
          </cell>
          <cell r="AK279">
            <v>3.645</v>
          </cell>
          <cell r="AL279">
            <v>4.0999999999999996</v>
          </cell>
          <cell r="AM279">
            <v>4.74</v>
          </cell>
          <cell r="AN279"/>
          <cell r="AO279"/>
          <cell r="AP279"/>
          <cell r="AQ279"/>
          <cell r="AR279"/>
          <cell r="AS279"/>
          <cell r="AT279"/>
          <cell r="AU279"/>
          <cell r="AV279"/>
          <cell r="AW279"/>
          <cell r="AX279">
            <v>1.0189999999999999</v>
          </cell>
          <cell r="AY279">
            <v>2385</v>
          </cell>
          <cell r="AZ279">
            <v>798</v>
          </cell>
        </row>
        <row r="280">
          <cell r="A280">
            <v>37561</v>
          </cell>
          <cell r="B280">
            <v>3.25</v>
          </cell>
          <cell r="C280">
            <v>2.25</v>
          </cell>
          <cell r="D280">
            <v>3.3039999999999998</v>
          </cell>
          <cell r="E280"/>
          <cell r="F280"/>
          <cell r="G280"/>
          <cell r="H280"/>
          <cell r="I280"/>
          <cell r="J280"/>
          <cell r="K280"/>
          <cell r="L280"/>
          <cell r="M280"/>
          <cell r="N280"/>
          <cell r="O280">
            <v>3.2309999999999999</v>
          </cell>
          <cell r="P280">
            <v>3.1240000000000001</v>
          </cell>
          <cell r="Q280">
            <v>3.0369999999999999</v>
          </cell>
          <cell r="R280">
            <v>3.0169999999999999</v>
          </cell>
          <cell r="S280">
            <v>2.9769999999999999</v>
          </cell>
          <cell r="T280">
            <v>3.0760000000000001</v>
          </cell>
          <cell r="U280">
            <v>3.3109999999999999</v>
          </cell>
          <cell r="V280">
            <v>3.78</v>
          </cell>
          <cell r="W280">
            <v>4.4969999999999999</v>
          </cell>
          <cell r="X280">
            <v>5.0990000000000002</v>
          </cell>
          <cell r="Y280"/>
          <cell r="Z280"/>
          <cell r="AA280"/>
          <cell r="AB280"/>
          <cell r="AC280"/>
          <cell r="AD280"/>
          <cell r="AE280"/>
          <cell r="AF280"/>
          <cell r="AG280"/>
          <cell r="AH280"/>
          <cell r="AI280">
            <v>3.0409999999999999</v>
          </cell>
          <cell r="AJ280">
            <v>3.2639999999999998</v>
          </cell>
          <cell r="AK280">
            <v>3.55</v>
          </cell>
          <cell r="AL280">
            <v>4.0250000000000004</v>
          </cell>
          <cell r="AM280">
            <v>4.7</v>
          </cell>
          <cell r="AN280"/>
          <cell r="AO280"/>
          <cell r="AP280"/>
          <cell r="AQ280"/>
          <cell r="AR280"/>
          <cell r="AS280"/>
          <cell r="AT280"/>
          <cell r="AU280"/>
          <cell r="AV280"/>
          <cell r="AW280"/>
          <cell r="AX280">
            <v>0.998</v>
          </cell>
          <cell r="AY280">
            <v>2559</v>
          </cell>
          <cell r="AZ280">
            <v>796</v>
          </cell>
        </row>
        <row r="281">
          <cell r="A281">
            <v>37591</v>
          </cell>
          <cell r="B281">
            <v>2.75</v>
          </cell>
          <cell r="C281">
            <v>1.75</v>
          </cell>
          <cell r="D281">
            <v>3.0950000000000002</v>
          </cell>
          <cell r="E281"/>
          <cell r="F281"/>
          <cell r="G281"/>
          <cell r="H281"/>
          <cell r="I281"/>
          <cell r="J281"/>
          <cell r="K281"/>
          <cell r="L281"/>
          <cell r="M281"/>
          <cell r="N281"/>
          <cell r="O281">
            <v>2.98</v>
          </cell>
          <cell r="P281">
            <v>2.9409999999999998</v>
          </cell>
          <cell r="Q281">
            <v>2.8919999999999999</v>
          </cell>
          <cell r="R281">
            <v>2.8719999999999999</v>
          </cell>
          <cell r="S281">
            <v>2.7829999999999999</v>
          </cell>
          <cell r="T281">
            <v>2.8769999999999998</v>
          </cell>
          <cell r="U281">
            <v>3.09</v>
          </cell>
          <cell r="V281">
            <v>3.5830000000000002</v>
          </cell>
          <cell r="W281">
            <v>4.3360000000000003</v>
          </cell>
          <cell r="X281">
            <v>4.9509999999999996</v>
          </cell>
          <cell r="Y281"/>
          <cell r="Z281"/>
          <cell r="AA281"/>
          <cell r="AB281"/>
          <cell r="AC281"/>
          <cell r="AD281"/>
          <cell r="AE281"/>
          <cell r="AF281"/>
          <cell r="AG281"/>
          <cell r="AH281"/>
          <cell r="AI281">
            <v>2.863</v>
          </cell>
          <cell r="AJ281">
            <v>3.0619999999999998</v>
          </cell>
          <cell r="AK281">
            <v>3.3460000000000001</v>
          </cell>
          <cell r="AL281">
            <v>3.819</v>
          </cell>
          <cell r="AM281">
            <v>4.524</v>
          </cell>
          <cell r="AN281"/>
          <cell r="AO281"/>
          <cell r="AP281"/>
          <cell r="AQ281"/>
          <cell r="AR281"/>
          <cell r="AS281"/>
          <cell r="AT281"/>
          <cell r="AU281"/>
          <cell r="AV281"/>
          <cell r="AW281"/>
          <cell r="AX281">
            <v>0.97899999999999998</v>
          </cell>
          <cell r="AY281">
            <v>2477</v>
          </cell>
          <cell r="AZ281">
            <v>833</v>
          </cell>
        </row>
        <row r="282">
          <cell r="A282">
            <v>37622</v>
          </cell>
          <cell r="B282">
            <v>2.75</v>
          </cell>
          <cell r="C282">
            <v>1.75</v>
          </cell>
          <cell r="D282">
            <v>2.7869999999999999</v>
          </cell>
          <cell r="E282"/>
          <cell r="F282"/>
          <cell r="G282"/>
          <cell r="H282"/>
          <cell r="I282"/>
          <cell r="J282"/>
          <cell r="K282"/>
          <cell r="L282"/>
          <cell r="M282"/>
          <cell r="N282"/>
          <cell r="O282">
            <v>2.855</v>
          </cell>
          <cell r="P282">
            <v>2.8319999999999999</v>
          </cell>
          <cell r="Q282">
            <v>2.758</v>
          </cell>
          <cell r="R282">
            <v>2.7050000000000001</v>
          </cell>
          <cell r="S282">
            <v>2.6240000000000001</v>
          </cell>
          <cell r="T282">
            <v>2.6640000000000001</v>
          </cell>
          <cell r="U282">
            <v>2.9590000000000001</v>
          </cell>
          <cell r="V282">
            <v>3.359</v>
          </cell>
          <cell r="W282">
            <v>4.1879999999999997</v>
          </cell>
          <cell r="X282">
            <v>4.8099999999999996</v>
          </cell>
          <cell r="Y282"/>
          <cell r="Z282"/>
          <cell r="AA282"/>
          <cell r="AB282"/>
          <cell r="AC282"/>
          <cell r="AD282"/>
          <cell r="AE282"/>
          <cell r="AF282"/>
          <cell r="AG282"/>
          <cell r="AH282"/>
          <cell r="AI282">
            <v>2.7</v>
          </cell>
          <cell r="AJ282">
            <v>2.8370000000000002</v>
          </cell>
          <cell r="AK282">
            <v>3.0979999999999999</v>
          </cell>
          <cell r="AL282">
            <v>3.597</v>
          </cell>
          <cell r="AM282">
            <v>4.3499999999999996</v>
          </cell>
          <cell r="AN282"/>
          <cell r="AO282"/>
          <cell r="AP282"/>
          <cell r="AQ282"/>
          <cell r="AR282"/>
          <cell r="AS282"/>
          <cell r="AT282"/>
          <cell r="AU282"/>
          <cell r="AV282"/>
          <cell r="AW282"/>
          <cell r="AX282">
            <v>0.94099999999999995</v>
          </cell>
          <cell r="AY282">
            <v>2377</v>
          </cell>
          <cell r="AZ282">
            <v>787</v>
          </cell>
        </row>
        <row r="283">
          <cell r="A283">
            <v>37653</v>
          </cell>
          <cell r="B283">
            <v>2.75</v>
          </cell>
          <cell r="C283">
            <v>1.75</v>
          </cell>
          <cell r="D283">
            <v>2.7639999999999998</v>
          </cell>
          <cell r="E283"/>
          <cell r="F283"/>
          <cell r="G283"/>
          <cell r="H283"/>
          <cell r="I283"/>
          <cell r="J283"/>
          <cell r="K283"/>
          <cell r="L283"/>
          <cell r="M283"/>
          <cell r="N283"/>
          <cell r="O283">
            <v>2.7749999999999999</v>
          </cell>
          <cell r="P283">
            <v>2.6869999999999998</v>
          </cell>
          <cell r="Q283">
            <v>2.5779999999999998</v>
          </cell>
          <cell r="R283">
            <v>2.504</v>
          </cell>
          <cell r="S283">
            <v>2.4300000000000002</v>
          </cell>
          <cell r="T283">
            <v>2.4350000000000001</v>
          </cell>
          <cell r="U283">
            <v>2.718</v>
          </cell>
          <cell r="V283">
            <v>3.1629999999999998</v>
          </cell>
          <cell r="W283">
            <v>3.9660000000000002</v>
          </cell>
          <cell r="X283">
            <v>4.6689999999999996</v>
          </cell>
          <cell r="Y283"/>
          <cell r="Z283"/>
          <cell r="AA283"/>
          <cell r="AB283"/>
          <cell r="AC283"/>
          <cell r="AD283"/>
          <cell r="AE283"/>
          <cell r="AF283"/>
          <cell r="AG283"/>
          <cell r="AH283"/>
          <cell r="AI283">
            <v>2.508</v>
          </cell>
          <cell r="AJ283">
            <v>2.6110000000000002</v>
          </cell>
          <cell r="AK283">
            <v>2.8570000000000002</v>
          </cell>
          <cell r="AL283">
            <v>3.3439999999999999</v>
          </cell>
          <cell r="AM283">
            <v>4.1539999999999999</v>
          </cell>
          <cell r="AN283"/>
          <cell r="AO283"/>
          <cell r="AP283"/>
          <cell r="AQ283"/>
          <cell r="AR283"/>
          <cell r="AS283"/>
          <cell r="AT283"/>
          <cell r="AU283"/>
          <cell r="AV283"/>
          <cell r="AW283"/>
          <cell r="AX283">
            <v>0.92800000000000005</v>
          </cell>
          <cell r="AY283">
            <v>2171</v>
          </cell>
          <cell r="AZ283">
            <v>791</v>
          </cell>
        </row>
        <row r="284">
          <cell r="A284">
            <v>37681</v>
          </cell>
          <cell r="B284">
            <v>2.5</v>
          </cell>
          <cell r="C284">
            <v>1.5</v>
          </cell>
          <cell r="D284">
            <v>2.7490000000000001</v>
          </cell>
          <cell r="E284"/>
          <cell r="F284"/>
          <cell r="G284"/>
          <cell r="H284"/>
          <cell r="I284"/>
          <cell r="J284"/>
          <cell r="K284"/>
          <cell r="L284"/>
          <cell r="M284"/>
          <cell r="N284"/>
          <cell r="O284">
            <v>2.601</v>
          </cell>
          <cell r="P284">
            <v>2.5299999999999998</v>
          </cell>
          <cell r="Q284">
            <v>2.4510000000000001</v>
          </cell>
          <cell r="R284">
            <v>2.411</v>
          </cell>
          <cell r="S284">
            <v>2.3679999999999999</v>
          </cell>
          <cell r="T284">
            <v>2.4369999999999998</v>
          </cell>
          <cell r="U284">
            <v>2.7389999999999999</v>
          </cell>
          <cell r="V284">
            <v>3.246</v>
          </cell>
          <cell r="W284">
            <v>4.0359999999999996</v>
          </cell>
          <cell r="X284">
            <v>4.7839999999999998</v>
          </cell>
          <cell r="Y284"/>
          <cell r="Z284"/>
          <cell r="AA284"/>
          <cell r="AB284"/>
          <cell r="AC284"/>
          <cell r="AD284"/>
          <cell r="AE284"/>
          <cell r="AF284"/>
          <cell r="AG284"/>
          <cell r="AH284"/>
          <cell r="AI284">
            <v>2.4460000000000002</v>
          </cell>
          <cell r="AJ284">
            <v>2.6269999999999998</v>
          </cell>
          <cell r="AK284">
            <v>2.9119999999999999</v>
          </cell>
          <cell r="AL284">
            <v>3.4260000000000002</v>
          </cell>
          <cell r="AM284">
            <v>4.2249999999999996</v>
          </cell>
          <cell r="AN284"/>
          <cell r="AO284"/>
          <cell r="AP284"/>
          <cell r="AQ284"/>
          <cell r="AR284"/>
          <cell r="AS284"/>
          <cell r="AT284"/>
          <cell r="AU284"/>
          <cell r="AV284"/>
          <cell r="AW284"/>
          <cell r="AX284">
            <v>0.92600000000000005</v>
          </cell>
          <cell r="AY284">
            <v>2086</v>
          </cell>
          <cell r="AZ284">
            <v>799</v>
          </cell>
        </row>
        <row r="285">
          <cell r="A285">
            <v>37712</v>
          </cell>
          <cell r="B285">
            <v>2.5</v>
          </cell>
          <cell r="C285">
            <v>1.5</v>
          </cell>
          <cell r="D285">
            <v>2.5609999999999999</v>
          </cell>
          <cell r="E285"/>
          <cell r="F285"/>
          <cell r="G285"/>
          <cell r="H285"/>
          <cell r="I285"/>
          <cell r="J285"/>
          <cell r="K285"/>
          <cell r="L285"/>
          <cell r="M285"/>
          <cell r="N285"/>
          <cell r="O285">
            <v>2.5760000000000001</v>
          </cell>
          <cell r="P285">
            <v>2.5329999999999999</v>
          </cell>
          <cell r="Q285">
            <v>2.4689999999999999</v>
          </cell>
          <cell r="R285">
            <v>2.4470000000000001</v>
          </cell>
          <cell r="S285">
            <v>2.3980000000000001</v>
          </cell>
          <cell r="T285">
            <v>2.52</v>
          </cell>
          <cell r="U285">
            <v>2.8279999999999998</v>
          </cell>
          <cell r="V285">
            <v>3.3679999999999999</v>
          </cell>
          <cell r="W285">
            <v>4.1609999999999996</v>
          </cell>
          <cell r="X285">
            <v>4.8710000000000004</v>
          </cell>
          <cell r="Y285"/>
          <cell r="Z285"/>
          <cell r="AA285"/>
          <cell r="AB285"/>
          <cell r="AC285"/>
          <cell r="AD285"/>
          <cell r="AE285"/>
          <cell r="AF285"/>
          <cell r="AG285"/>
          <cell r="AH285"/>
          <cell r="AI285">
            <v>2.4740000000000002</v>
          </cell>
          <cell r="AJ285">
            <v>2.6970000000000001</v>
          </cell>
          <cell r="AK285">
            <v>3.0150000000000001</v>
          </cell>
          <cell r="AL285">
            <v>3.5390000000000001</v>
          </cell>
          <cell r="AM285">
            <v>4.319</v>
          </cell>
          <cell r="AN285"/>
          <cell r="AO285"/>
          <cell r="AP285"/>
          <cell r="AQ285"/>
          <cell r="AR285"/>
          <cell r="AS285"/>
          <cell r="AT285"/>
          <cell r="AU285"/>
          <cell r="AV285"/>
          <cell r="AW285"/>
          <cell r="AX285">
            <v>0.92</v>
          </cell>
          <cell r="AY285">
            <v>2278</v>
          </cell>
          <cell r="AZ285">
            <v>801</v>
          </cell>
        </row>
        <row r="286">
          <cell r="A286">
            <v>37742</v>
          </cell>
          <cell r="B286">
            <v>2.5</v>
          </cell>
          <cell r="C286">
            <v>1.5</v>
          </cell>
          <cell r="D286">
            <v>2.5569999999999999</v>
          </cell>
          <cell r="E286"/>
          <cell r="F286"/>
          <cell r="G286"/>
          <cell r="H286"/>
          <cell r="I286"/>
          <cell r="J286"/>
          <cell r="K286"/>
          <cell r="L286"/>
          <cell r="M286"/>
          <cell r="N286"/>
          <cell r="O286">
            <v>2.52</v>
          </cell>
          <cell r="P286">
            <v>2.4009999999999998</v>
          </cell>
          <cell r="Q286">
            <v>2.3079999999999998</v>
          </cell>
          <cell r="R286">
            <v>2.2519999999999998</v>
          </cell>
          <cell r="S286">
            <v>2.1970000000000001</v>
          </cell>
          <cell r="T286">
            <v>2.2320000000000002</v>
          </cell>
          <cell r="U286">
            <v>2.4980000000000002</v>
          </cell>
          <cell r="V286">
            <v>3.016</v>
          </cell>
          <cell r="W286">
            <v>3.847</v>
          </cell>
          <cell r="X286">
            <v>4.6639999999999997</v>
          </cell>
          <cell r="Y286"/>
          <cell r="Z286"/>
          <cell r="AA286"/>
          <cell r="AB286"/>
          <cell r="AC286"/>
          <cell r="AD286"/>
          <cell r="AE286"/>
          <cell r="AF286"/>
          <cell r="AG286"/>
          <cell r="AH286"/>
          <cell r="AI286">
            <v>2.2639999999999998</v>
          </cell>
          <cell r="AJ286">
            <v>2.3969999999999998</v>
          </cell>
          <cell r="AK286">
            <v>2.6619999999999999</v>
          </cell>
          <cell r="AL286">
            <v>3.18</v>
          </cell>
          <cell r="AM286">
            <v>4.0030000000000001</v>
          </cell>
          <cell r="AN286"/>
          <cell r="AO286"/>
          <cell r="AP286"/>
          <cell r="AQ286"/>
          <cell r="AR286"/>
          <cell r="AS286"/>
          <cell r="AT286"/>
          <cell r="AU286"/>
          <cell r="AV286"/>
          <cell r="AW286"/>
          <cell r="AX286">
            <v>0.86399999999999999</v>
          </cell>
          <cell r="AY286">
            <v>2303</v>
          </cell>
          <cell r="AZ286">
            <v>801</v>
          </cell>
        </row>
        <row r="287">
          <cell r="A287">
            <v>37773</v>
          </cell>
          <cell r="B287">
            <v>2</v>
          </cell>
          <cell r="C287">
            <v>1</v>
          </cell>
          <cell r="D287">
            <v>2.2130000000000001</v>
          </cell>
          <cell r="E287"/>
          <cell r="F287"/>
          <cell r="G287"/>
          <cell r="H287"/>
          <cell r="I287"/>
          <cell r="J287"/>
          <cell r="K287"/>
          <cell r="L287"/>
          <cell r="M287"/>
          <cell r="N287"/>
          <cell r="O287">
            <v>2.177</v>
          </cell>
          <cell r="P287">
            <v>2.1520000000000001</v>
          </cell>
          <cell r="Q287">
            <v>2.0840000000000001</v>
          </cell>
          <cell r="R287">
            <v>2.0139999999999998</v>
          </cell>
          <cell r="S287">
            <v>1.9470000000000001</v>
          </cell>
          <cell r="T287">
            <v>2.0190000000000001</v>
          </cell>
          <cell r="U287">
            <v>2.242</v>
          </cell>
          <cell r="V287">
            <v>2.786</v>
          </cell>
          <cell r="W287">
            <v>3.6469999999999998</v>
          </cell>
          <cell r="X287">
            <v>4.5620000000000003</v>
          </cell>
          <cell r="Y287"/>
          <cell r="Z287"/>
          <cell r="AA287"/>
          <cell r="AB287"/>
          <cell r="AC287"/>
          <cell r="AD287"/>
          <cell r="AE287"/>
          <cell r="AF287"/>
          <cell r="AG287"/>
          <cell r="AH287"/>
          <cell r="AI287">
            <v>2.0259999999999998</v>
          </cell>
          <cell r="AJ287">
            <v>2.1549999999999998</v>
          </cell>
          <cell r="AK287">
            <v>2.4049999999999998</v>
          </cell>
          <cell r="AL287">
            <v>2.9319999999999999</v>
          </cell>
          <cell r="AM287">
            <v>3.7850000000000001</v>
          </cell>
          <cell r="AN287"/>
          <cell r="AO287"/>
          <cell r="AP287"/>
          <cell r="AQ287"/>
          <cell r="AR287"/>
          <cell r="AS287"/>
          <cell r="AT287"/>
          <cell r="AU287"/>
          <cell r="AV287"/>
          <cell r="AW287"/>
          <cell r="AX287">
            <v>0.85699999999999998</v>
          </cell>
          <cell r="AY287">
            <v>2443</v>
          </cell>
          <cell r="AZ287">
            <v>814</v>
          </cell>
        </row>
        <row r="288">
          <cell r="A288">
            <v>37803</v>
          </cell>
          <cell r="B288">
            <v>2</v>
          </cell>
          <cell r="C288">
            <v>1</v>
          </cell>
          <cell r="D288">
            <v>2.0779999999999998</v>
          </cell>
          <cell r="E288"/>
          <cell r="F288"/>
          <cell r="G288"/>
          <cell r="H288"/>
          <cell r="I288"/>
          <cell r="J288"/>
          <cell r="K288"/>
          <cell r="L288"/>
          <cell r="M288"/>
          <cell r="N288"/>
          <cell r="O288">
            <v>2.1309999999999998</v>
          </cell>
          <cell r="P288">
            <v>2.13</v>
          </cell>
          <cell r="Q288">
            <v>2.093</v>
          </cell>
          <cell r="R288">
            <v>2.0760000000000001</v>
          </cell>
          <cell r="S288">
            <v>2.036</v>
          </cell>
          <cell r="T288">
            <v>2.2349999999999999</v>
          </cell>
          <cell r="U288">
            <v>2.6259999999999999</v>
          </cell>
          <cell r="V288">
            <v>3.1080000000000001</v>
          </cell>
          <cell r="W288">
            <v>4.01</v>
          </cell>
          <cell r="X288">
            <v>4.8600000000000003</v>
          </cell>
          <cell r="Y288"/>
          <cell r="Z288"/>
          <cell r="AA288"/>
          <cell r="AB288"/>
          <cell r="AC288"/>
          <cell r="AD288"/>
          <cell r="AE288"/>
          <cell r="AF288"/>
          <cell r="AG288"/>
          <cell r="AH288"/>
          <cell r="AI288">
            <v>2.1110000000000002</v>
          </cell>
          <cell r="AJ288">
            <v>2.38</v>
          </cell>
          <cell r="AK288">
            <v>2.6890000000000001</v>
          </cell>
          <cell r="AL288">
            <v>3.262</v>
          </cell>
          <cell r="AM288">
            <v>4.0940000000000003</v>
          </cell>
          <cell r="AN288"/>
          <cell r="AO288"/>
          <cell r="AP288"/>
          <cell r="AQ288"/>
          <cell r="AR288"/>
          <cell r="AS288"/>
          <cell r="AT288"/>
          <cell r="AU288"/>
          <cell r="AV288"/>
          <cell r="AW288"/>
          <cell r="AX288">
            <v>0.879</v>
          </cell>
          <cell r="AY288">
            <v>2460</v>
          </cell>
          <cell r="AZ288">
            <v>828</v>
          </cell>
        </row>
        <row r="289">
          <cell r="A289">
            <v>37834</v>
          </cell>
          <cell r="B289">
            <v>2</v>
          </cell>
          <cell r="C289">
            <v>1</v>
          </cell>
          <cell r="D289">
            <v>2.0979999999999999</v>
          </cell>
          <cell r="E289"/>
          <cell r="F289"/>
          <cell r="G289"/>
          <cell r="H289"/>
          <cell r="I289"/>
          <cell r="J289"/>
          <cell r="K289"/>
          <cell r="L289"/>
          <cell r="M289"/>
          <cell r="N289"/>
          <cell r="O289">
            <v>2.1219999999999999</v>
          </cell>
          <cell r="P289">
            <v>2.14</v>
          </cell>
          <cell r="Q289">
            <v>2.1720000000000002</v>
          </cell>
          <cell r="R289">
            <v>2.2789999999999999</v>
          </cell>
          <cell r="S289">
            <v>2.2170000000000001</v>
          </cell>
          <cell r="T289">
            <v>2.5649999999999999</v>
          </cell>
          <cell r="U289">
            <v>2.9769999999999999</v>
          </cell>
          <cell r="V289">
            <v>3.42</v>
          </cell>
          <cell r="W289">
            <v>4.1559999999999997</v>
          </cell>
          <cell r="X289">
            <v>4.87</v>
          </cell>
          <cell r="Y289"/>
          <cell r="Z289"/>
          <cell r="AA289"/>
          <cell r="AB289"/>
          <cell r="AC289"/>
          <cell r="AD289"/>
          <cell r="AE289"/>
          <cell r="AF289"/>
          <cell r="AG289"/>
          <cell r="AH289"/>
          <cell r="AI289">
            <v>2.3260000000000001</v>
          </cell>
          <cell r="AJ289">
            <v>2.754</v>
          </cell>
          <cell r="AK289">
            <v>3.1059999999999999</v>
          </cell>
          <cell r="AL289">
            <v>3.6019999999999999</v>
          </cell>
          <cell r="AM289">
            <v>4.2729999999999997</v>
          </cell>
          <cell r="AN289"/>
          <cell r="AO289"/>
          <cell r="AP289"/>
          <cell r="AQ289"/>
          <cell r="AR289"/>
          <cell r="AS289"/>
          <cell r="AT289"/>
          <cell r="AU289"/>
          <cell r="AV289"/>
          <cell r="AW289"/>
          <cell r="AX289">
            <v>0.89700000000000002</v>
          </cell>
          <cell r="AY289">
            <v>2524</v>
          </cell>
          <cell r="AZ289">
            <v>815</v>
          </cell>
        </row>
        <row r="290">
          <cell r="A290">
            <v>37865</v>
          </cell>
          <cell r="B290">
            <v>2</v>
          </cell>
          <cell r="C290">
            <v>1</v>
          </cell>
          <cell r="D290">
            <v>2.0209999999999999</v>
          </cell>
          <cell r="E290"/>
          <cell r="F290"/>
          <cell r="G290"/>
          <cell r="H290"/>
          <cell r="I290"/>
          <cell r="J290"/>
          <cell r="K290"/>
          <cell r="L290"/>
          <cell r="M290"/>
          <cell r="N290"/>
          <cell r="O290">
            <v>2.1259999999999999</v>
          </cell>
          <cell r="P290">
            <v>2.1469999999999998</v>
          </cell>
          <cell r="Q290">
            <v>2.1779999999999999</v>
          </cell>
          <cell r="R290">
            <v>2.258</v>
          </cell>
          <cell r="S290">
            <v>2.177</v>
          </cell>
          <cell r="T290">
            <v>2.4740000000000002</v>
          </cell>
          <cell r="U290">
            <v>2.8980000000000001</v>
          </cell>
          <cell r="V290">
            <v>3.3780000000000001</v>
          </cell>
          <cell r="W290">
            <v>4.194</v>
          </cell>
          <cell r="X290">
            <v>4.9219999999999997</v>
          </cell>
          <cell r="Y290"/>
          <cell r="Z290"/>
          <cell r="AA290"/>
          <cell r="AB290"/>
          <cell r="AC290"/>
          <cell r="AD290"/>
          <cell r="AE290"/>
          <cell r="AF290"/>
          <cell r="AG290"/>
          <cell r="AH290"/>
          <cell r="AI290">
            <v>2.2789999999999999</v>
          </cell>
          <cell r="AJ290">
            <v>2.681</v>
          </cell>
          <cell r="AK290">
            <v>3.0459999999999998</v>
          </cell>
          <cell r="AL290">
            <v>3.5739999999999998</v>
          </cell>
          <cell r="AM290">
            <v>4.3</v>
          </cell>
          <cell r="AN290"/>
          <cell r="AO290"/>
          <cell r="AP290"/>
          <cell r="AQ290"/>
          <cell r="AR290"/>
          <cell r="AS290"/>
          <cell r="AT290"/>
          <cell r="AU290"/>
          <cell r="AV290"/>
          <cell r="AW290"/>
          <cell r="AX290">
            <v>0.88900000000000001</v>
          </cell>
          <cell r="AY290">
            <v>2553</v>
          </cell>
          <cell r="AZ290">
            <v>829</v>
          </cell>
        </row>
        <row r="291">
          <cell r="A291">
            <v>37895</v>
          </cell>
          <cell r="B291">
            <v>2</v>
          </cell>
          <cell r="C291">
            <v>1</v>
          </cell>
          <cell r="D291">
            <v>2.0150000000000001</v>
          </cell>
          <cell r="E291"/>
          <cell r="F291"/>
          <cell r="G291"/>
          <cell r="H291"/>
          <cell r="I291"/>
          <cell r="J291"/>
          <cell r="K291"/>
          <cell r="L291"/>
          <cell r="M291"/>
          <cell r="N291"/>
          <cell r="O291">
            <v>2.1</v>
          </cell>
          <cell r="P291">
            <v>2.1440000000000001</v>
          </cell>
          <cell r="Q291">
            <v>2.173</v>
          </cell>
          <cell r="R291">
            <v>2.3029999999999999</v>
          </cell>
          <cell r="S291">
            <v>2.2389999999999999</v>
          </cell>
          <cell r="T291">
            <v>2.6030000000000002</v>
          </cell>
          <cell r="U291">
            <v>2.9359999999999999</v>
          </cell>
          <cell r="V291">
            <v>3.5009999999999999</v>
          </cell>
          <cell r="W291">
            <v>4.2549999999999999</v>
          </cell>
          <cell r="X291">
            <v>4.9649999999999999</v>
          </cell>
          <cell r="Y291"/>
          <cell r="Z291"/>
          <cell r="AA291"/>
          <cell r="AB291"/>
          <cell r="AC291"/>
          <cell r="AD291"/>
          <cell r="AE291"/>
          <cell r="AF291"/>
          <cell r="AG291"/>
          <cell r="AH291"/>
          <cell r="AI291">
            <v>2.343</v>
          </cell>
          <cell r="AJ291">
            <v>2.77</v>
          </cell>
          <cell r="AK291">
            <v>3.1419999999999999</v>
          </cell>
          <cell r="AL291">
            <v>3.6680000000000001</v>
          </cell>
          <cell r="AM291">
            <v>4.3710000000000004</v>
          </cell>
          <cell r="AN291"/>
          <cell r="AO291"/>
          <cell r="AP291"/>
          <cell r="AQ291"/>
          <cell r="AR291"/>
          <cell r="AS291"/>
          <cell r="AT291"/>
          <cell r="AU291"/>
          <cell r="AV291"/>
          <cell r="AW291"/>
          <cell r="AX291">
            <v>0.85499999999999998</v>
          </cell>
          <cell r="AY291">
            <v>2523</v>
          </cell>
          <cell r="AZ291">
            <v>819</v>
          </cell>
        </row>
        <row r="292">
          <cell r="A292">
            <v>37926</v>
          </cell>
          <cell r="B292">
            <v>2</v>
          </cell>
          <cell r="C292">
            <v>1</v>
          </cell>
          <cell r="D292">
            <v>1.9730000000000001</v>
          </cell>
          <cell r="E292"/>
          <cell r="F292"/>
          <cell r="G292"/>
          <cell r="H292"/>
          <cell r="I292"/>
          <cell r="J292"/>
          <cell r="K292"/>
          <cell r="L292"/>
          <cell r="M292"/>
          <cell r="N292"/>
          <cell r="O292">
            <v>2.0870000000000002</v>
          </cell>
          <cell r="P292">
            <v>2.1589999999999998</v>
          </cell>
          <cell r="Q292">
            <v>2.2240000000000002</v>
          </cell>
          <cell r="R292">
            <v>2.41</v>
          </cell>
          <cell r="S292">
            <v>2.3119999999999998</v>
          </cell>
          <cell r="T292">
            <v>2.7250000000000001</v>
          </cell>
          <cell r="U292">
            <v>3.0590000000000002</v>
          </cell>
          <cell r="V292">
            <v>3.6720000000000002</v>
          </cell>
          <cell r="W292">
            <v>4.407</v>
          </cell>
          <cell r="X292">
            <v>5.0359999999999996</v>
          </cell>
          <cell r="Y292"/>
          <cell r="Z292"/>
          <cell r="AA292"/>
          <cell r="AB292"/>
          <cell r="AC292"/>
          <cell r="AD292"/>
          <cell r="AE292"/>
          <cell r="AF292"/>
          <cell r="AG292"/>
          <cell r="AH292"/>
          <cell r="AI292">
            <v>2.4540000000000002</v>
          </cell>
          <cell r="AJ292">
            <v>2.92</v>
          </cell>
          <cell r="AK292">
            <v>3.2949999999999999</v>
          </cell>
          <cell r="AL292">
            <v>3.8239999999999998</v>
          </cell>
          <cell r="AM292">
            <v>4.5060000000000002</v>
          </cell>
          <cell r="AN292"/>
          <cell r="AO292"/>
          <cell r="AP292"/>
          <cell r="AQ292"/>
          <cell r="AR292"/>
          <cell r="AS292"/>
          <cell r="AT292"/>
          <cell r="AU292"/>
          <cell r="AV292"/>
          <cell r="AW292"/>
          <cell r="AX292">
            <v>0.85399999999999998</v>
          </cell>
          <cell r="AY292">
            <v>2618</v>
          </cell>
          <cell r="AZ292">
            <v>833</v>
          </cell>
        </row>
        <row r="293">
          <cell r="A293">
            <v>37956</v>
          </cell>
          <cell r="B293">
            <v>2</v>
          </cell>
          <cell r="C293">
            <v>1</v>
          </cell>
          <cell r="D293">
            <v>2.0569999999999999</v>
          </cell>
          <cell r="E293"/>
          <cell r="F293"/>
          <cell r="G293"/>
          <cell r="H293"/>
          <cell r="I293"/>
          <cell r="J293"/>
          <cell r="K293"/>
          <cell r="L293"/>
          <cell r="M293"/>
          <cell r="N293"/>
          <cell r="O293">
            <v>2.1309999999999998</v>
          </cell>
          <cell r="P293">
            <v>2.1459999999999999</v>
          </cell>
          <cell r="Q293">
            <v>2.1989999999999998</v>
          </cell>
          <cell r="R293">
            <v>2.3809999999999998</v>
          </cell>
          <cell r="S293">
            <v>2.282</v>
          </cell>
          <cell r="T293">
            <v>2.669</v>
          </cell>
          <cell r="U293">
            <v>2.9489999999999998</v>
          </cell>
          <cell r="V293">
            <v>3.5649999999999999</v>
          </cell>
          <cell r="W293">
            <v>4.327</v>
          </cell>
          <cell r="X293">
            <v>4.9690000000000003</v>
          </cell>
          <cell r="Y293"/>
          <cell r="Z293"/>
          <cell r="AA293"/>
          <cell r="AB293"/>
          <cell r="AC293"/>
          <cell r="AD293"/>
          <cell r="AE293"/>
          <cell r="AF293"/>
          <cell r="AG293"/>
          <cell r="AH293"/>
          <cell r="AI293">
            <v>2.407</v>
          </cell>
          <cell r="AJ293">
            <v>2.8359999999999999</v>
          </cell>
          <cell r="AK293">
            <v>3.206</v>
          </cell>
          <cell r="AL293">
            <v>3.734</v>
          </cell>
          <cell r="AM293">
            <v>4.4249999999999998</v>
          </cell>
          <cell r="AN293"/>
          <cell r="AO293"/>
          <cell r="AP293"/>
          <cell r="AQ293"/>
          <cell r="AR293"/>
          <cell r="AS293"/>
          <cell r="AT293"/>
          <cell r="AU293"/>
          <cell r="AV293"/>
          <cell r="AW293"/>
          <cell r="AX293">
            <v>0.81200000000000006</v>
          </cell>
          <cell r="AY293">
            <v>2702</v>
          </cell>
          <cell r="AZ293">
            <v>835</v>
          </cell>
        </row>
        <row r="294">
          <cell r="A294">
            <v>37987</v>
          </cell>
          <cell r="B294">
            <v>2</v>
          </cell>
          <cell r="C294">
            <v>1</v>
          </cell>
          <cell r="D294">
            <v>2.0209999999999999</v>
          </cell>
          <cell r="E294"/>
          <cell r="F294"/>
          <cell r="G294"/>
          <cell r="H294"/>
          <cell r="I294"/>
          <cell r="J294"/>
          <cell r="K294"/>
          <cell r="L294"/>
          <cell r="M294"/>
          <cell r="N294"/>
          <cell r="O294">
            <v>2.0760000000000001</v>
          </cell>
          <cell r="P294">
            <v>2.089</v>
          </cell>
          <cell r="Q294">
            <v>2.1150000000000002</v>
          </cell>
          <cell r="R294">
            <v>2.2160000000000002</v>
          </cell>
          <cell r="S294">
            <v>2.117</v>
          </cell>
          <cell r="T294">
            <v>2.4620000000000002</v>
          </cell>
          <cell r="U294">
            <v>2.88</v>
          </cell>
          <cell r="V294">
            <v>3.351</v>
          </cell>
          <cell r="W294">
            <v>4.1909999999999998</v>
          </cell>
          <cell r="X294">
            <v>4.9089999999999998</v>
          </cell>
          <cell r="Y294"/>
          <cell r="Z294"/>
          <cell r="AA294"/>
          <cell r="AB294"/>
          <cell r="AC294"/>
          <cell r="AD294"/>
          <cell r="AE294"/>
          <cell r="AF294"/>
          <cell r="AG294"/>
          <cell r="AH294"/>
          <cell r="AI294">
            <v>2.2410000000000001</v>
          </cell>
          <cell r="AJ294">
            <v>2.6339999999999999</v>
          </cell>
          <cell r="AK294">
            <v>3.0030000000000001</v>
          </cell>
          <cell r="AL294">
            <v>3.5510000000000002</v>
          </cell>
          <cell r="AM294">
            <v>4.3049999999999997</v>
          </cell>
          <cell r="AN294"/>
          <cell r="AO294"/>
          <cell r="AP294"/>
          <cell r="AQ294"/>
          <cell r="AR294"/>
          <cell r="AS294"/>
          <cell r="AT294"/>
          <cell r="AU294"/>
          <cell r="AV294"/>
          <cell r="AW294"/>
          <cell r="AX294">
            <v>0.79400000000000004</v>
          </cell>
          <cell r="AY294">
            <v>2839</v>
          </cell>
          <cell r="AZ294">
            <v>824</v>
          </cell>
        </row>
        <row r="295">
          <cell r="A295">
            <v>38018</v>
          </cell>
          <cell r="B295">
            <v>2</v>
          </cell>
          <cell r="C295">
            <v>1</v>
          </cell>
          <cell r="D295">
            <v>2.032</v>
          </cell>
          <cell r="E295"/>
          <cell r="F295"/>
          <cell r="G295"/>
          <cell r="H295"/>
          <cell r="I295"/>
          <cell r="J295"/>
          <cell r="K295"/>
          <cell r="L295"/>
          <cell r="M295"/>
          <cell r="N295"/>
          <cell r="O295">
            <v>2.0609999999999999</v>
          </cell>
          <cell r="P295">
            <v>2.0710000000000002</v>
          </cell>
          <cell r="Q295">
            <v>2.0859999999999999</v>
          </cell>
          <cell r="R295">
            <v>2.1629999999999998</v>
          </cell>
          <cell r="S295">
            <v>2.073</v>
          </cell>
          <cell r="T295">
            <v>2.3370000000000002</v>
          </cell>
          <cell r="U295">
            <v>2.77</v>
          </cell>
          <cell r="V295">
            <v>3.3039999999999998</v>
          </cell>
          <cell r="W295">
            <v>4.1260000000000003</v>
          </cell>
          <cell r="X295">
            <v>4.875</v>
          </cell>
          <cell r="Y295"/>
          <cell r="Z295"/>
          <cell r="AA295"/>
          <cell r="AB295"/>
          <cell r="AC295"/>
          <cell r="AD295"/>
          <cell r="AE295"/>
          <cell r="AF295"/>
          <cell r="AG295"/>
          <cell r="AH295"/>
          <cell r="AI295">
            <v>2.1850000000000001</v>
          </cell>
          <cell r="AJ295">
            <v>2.5289999999999999</v>
          </cell>
          <cell r="AK295">
            <v>2.8879999999999999</v>
          </cell>
          <cell r="AL295">
            <v>3.4550000000000001</v>
          </cell>
          <cell r="AM295">
            <v>4.26</v>
          </cell>
          <cell r="AN295"/>
          <cell r="AO295"/>
          <cell r="AP295"/>
          <cell r="AQ295"/>
          <cell r="AR295"/>
          <cell r="AS295"/>
          <cell r="AT295"/>
          <cell r="AU295"/>
          <cell r="AV295"/>
          <cell r="AW295"/>
          <cell r="AX295">
            <v>0.79200000000000004</v>
          </cell>
          <cell r="AY295">
            <v>2875</v>
          </cell>
          <cell r="AZ295">
            <v>824</v>
          </cell>
        </row>
        <row r="296">
          <cell r="A296">
            <v>38047</v>
          </cell>
          <cell r="B296">
            <v>2</v>
          </cell>
          <cell r="C296">
            <v>1</v>
          </cell>
          <cell r="D296">
            <v>2.0059999999999998</v>
          </cell>
          <cell r="E296"/>
          <cell r="F296"/>
          <cell r="G296"/>
          <cell r="H296"/>
          <cell r="I296"/>
          <cell r="J296"/>
          <cell r="K296"/>
          <cell r="L296"/>
          <cell r="M296"/>
          <cell r="N296"/>
          <cell r="O296">
            <v>2.0430000000000001</v>
          </cell>
          <cell r="P296">
            <v>2.0289999999999999</v>
          </cell>
          <cell r="Q296">
            <v>2.0190000000000001</v>
          </cell>
          <cell r="R296">
            <v>2.0550000000000002</v>
          </cell>
          <cell r="S296">
            <v>1.9690000000000001</v>
          </cell>
          <cell r="T296">
            <v>2.1589999999999998</v>
          </cell>
          <cell r="U296">
            <v>2.5310000000000001</v>
          </cell>
          <cell r="V296">
            <v>3.1269999999999998</v>
          </cell>
          <cell r="W296">
            <v>3.9359999999999999</v>
          </cell>
          <cell r="X296">
            <v>4.7290000000000001</v>
          </cell>
          <cell r="Y296"/>
          <cell r="Z296"/>
          <cell r="AA296"/>
          <cell r="AB296"/>
          <cell r="AC296"/>
          <cell r="AD296"/>
          <cell r="AE296"/>
          <cell r="AF296"/>
          <cell r="AG296"/>
          <cell r="AH296"/>
          <cell r="AI296">
            <v>2.0680000000000001</v>
          </cell>
          <cell r="AJ296">
            <v>2.347</v>
          </cell>
          <cell r="AK296">
            <v>2.68</v>
          </cell>
          <cell r="AL296">
            <v>3.242</v>
          </cell>
          <cell r="AM296">
            <v>4.0830000000000002</v>
          </cell>
          <cell r="AN296"/>
          <cell r="AO296"/>
          <cell r="AP296"/>
          <cell r="AQ296"/>
          <cell r="AR296"/>
          <cell r="AS296"/>
          <cell r="AT296"/>
          <cell r="AU296"/>
          <cell r="AV296"/>
          <cell r="AW296"/>
          <cell r="AX296">
            <v>0.81499999999999995</v>
          </cell>
          <cell r="AY296">
            <v>2829</v>
          </cell>
          <cell r="AZ296">
            <v>830</v>
          </cell>
        </row>
        <row r="297">
          <cell r="A297">
            <v>38078</v>
          </cell>
          <cell r="B297">
            <v>2</v>
          </cell>
          <cell r="C297">
            <v>1</v>
          </cell>
          <cell r="D297">
            <v>2.0760000000000001</v>
          </cell>
          <cell r="E297"/>
          <cell r="F297"/>
          <cell r="G297"/>
          <cell r="H297"/>
          <cell r="I297"/>
          <cell r="J297"/>
          <cell r="K297"/>
          <cell r="L297"/>
          <cell r="M297"/>
          <cell r="N297"/>
          <cell r="O297">
            <v>2.052</v>
          </cell>
          <cell r="P297">
            <v>2.0489999999999999</v>
          </cell>
          <cell r="Q297">
            <v>2.0609999999999999</v>
          </cell>
          <cell r="R297">
            <v>2.1629999999999998</v>
          </cell>
          <cell r="S297">
            <v>2.08</v>
          </cell>
          <cell r="T297">
            <v>2.37</v>
          </cell>
          <cell r="U297">
            <v>2.7240000000000002</v>
          </cell>
          <cell r="V297">
            <v>3.3420000000000001</v>
          </cell>
          <cell r="W297">
            <v>4.1260000000000003</v>
          </cell>
          <cell r="X297">
            <v>4.8630000000000004</v>
          </cell>
          <cell r="Y297"/>
          <cell r="Z297"/>
          <cell r="AA297"/>
          <cell r="AB297"/>
          <cell r="AC297"/>
          <cell r="AD297"/>
          <cell r="AE297"/>
          <cell r="AF297"/>
          <cell r="AG297"/>
          <cell r="AH297"/>
          <cell r="AI297">
            <v>2.194</v>
          </cell>
          <cell r="AJ297">
            <v>2.556</v>
          </cell>
          <cell r="AK297">
            <v>2.907</v>
          </cell>
          <cell r="AL297">
            <v>3.4630000000000001</v>
          </cell>
          <cell r="AM297">
            <v>4.2679999999999998</v>
          </cell>
          <cell r="AN297"/>
          <cell r="AO297"/>
          <cell r="AP297"/>
          <cell r="AQ297"/>
          <cell r="AR297"/>
          <cell r="AS297"/>
          <cell r="AT297"/>
          <cell r="AU297"/>
          <cell r="AV297"/>
          <cell r="AW297"/>
          <cell r="AX297">
            <v>0.83299999999999996</v>
          </cell>
          <cell r="AY297">
            <v>2861</v>
          </cell>
          <cell r="AZ297">
            <v>854</v>
          </cell>
        </row>
        <row r="298">
          <cell r="A298">
            <v>38108</v>
          </cell>
          <cell r="B298">
            <v>2</v>
          </cell>
          <cell r="C298">
            <v>1</v>
          </cell>
          <cell r="D298">
            <v>2.0150000000000001</v>
          </cell>
          <cell r="E298"/>
          <cell r="F298"/>
          <cell r="G298"/>
          <cell r="H298"/>
          <cell r="I298"/>
          <cell r="J298"/>
          <cell r="K298"/>
          <cell r="L298"/>
          <cell r="M298"/>
          <cell r="N298"/>
          <cell r="O298">
            <v>2.0609999999999999</v>
          </cell>
          <cell r="P298">
            <v>2.0859999999999999</v>
          </cell>
          <cell r="Q298">
            <v>2.1360000000000001</v>
          </cell>
          <cell r="R298">
            <v>2.2970000000000002</v>
          </cell>
          <cell r="S298">
            <v>2.2549999999999999</v>
          </cell>
          <cell r="T298">
            <v>2.5299999999999998</v>
          </cell>
          <cell r="U298">
            <v>2.9049999999999998</v>
          </cell>
          <cell r="V298">
            <v>3.5310000000000001</v>
          </cell>
          <cell r="W298">
            <v>4.2889999999999997</v>
          </cell>
          <cell r="X298">
            <v>4.9790000000000001</v>
          </cell>
          <cell r="Y298"/>
          <cell r="Z298"/>
          <cell r="AA298"/>
          <cell r="AB298"/>
          <cell r="AC298"/>
          <cell r="AD298"/>
          <cell r="AE298"/>
          <cell r="AF298"/>
          <cell r="AG298"/>
          <cell r="AH298"/>
          <cell r="AI298">
            <v>2.3330000000000002</v>
          </cell>
          <cell r="AJ298">
            <v>2.7610000000000001</v>
          </cell>
          <cell r="AK298">
            <v>3.125</v>
          </cell>
          <cell r="AL298">
            <v>3.67</v>
          </cell>
          <cell r="AM298">
            <v>4.4240000000000004</v>
          </cell>
          <cell r="AN298"/>
          <cell r="AO298"/>
          <cell r="AP298"/>
          <cell r="AQ298"/>
          <cell r="AR298"/>
          <cell r="AS298"/>
          <cell r="AT298"/>
          <cell r="AU298"/>
          <cell r="AV298"/>
          <cell r="AW298"/>
          <cell r="AX298">
            <v>0.83199999999999996</v>
          </cell>
          <cell r="AY298">
            <v>2729</v>
          </cell>
          <cell r="AZ298">
            <v>867</v>
          </cell>
        </row>
        <row r="299">
          <cell r="A299">
            <v>38139</v>
          </cell>
          <cell r="B299">
            <v>2</v>
          </cell>
          <cell r="C299">
            <v>1</v>
          </cell>
          <cell r="D299">
            <v>2.028</v>
          </cell>
          <cell r="E299"/>
          <cell r="F299"/>
          <cell r="G299"/>
          <cell r="H299"/>
          <cell r="I299"/>
          <cell r="J299"/>
          <cell r="K299"/>
          <cell r="L299"/>
          <cell r="M299"/>
          <cell r="N299"/>
          <cell r="O299">
            <v>2.0760000000000001</v>
          </cell>
          <cell r="P299">
            <v>2.113</v>
          </cell>
          <cell r="Q299">
            <v>2.1880000000000002</v>
          </cell>
          <cell r="R299">
            <v>2.4039999999999999</v>
          </cell>
          <cell r="S299">
            <v>2.339</v>
          </cell>
          <cell r="T299">
            <v>2.6930000000000001</v>
          </cell>
          <cell r="U299">
            <v>3.0619999999999998</v>
          </cell>
          <cell r="V299">
            <v>3.62</v>
          </cell>
          <cell r="W299">
            <v>4.37</v>
          </cell>
          <cell r="X299">
            <v>4.9710000000000001</v>
          </cell>
          <cell r="Y299"/>
          <cell r="Z299"/>
          <cell r="AA299"/>
          <cell r="AB299"/>
          <cell r="AC299"/>
          <cell r="AD299"/>
          <cell r="AE299"/>
          <cell r="AF299"/>
          <cell r="AG299"/>
          <cell r="AH299"/>
          <cell r="AI299">
            <v>2.4329999999999998</v>
          </cell>
          <cell r="AJ299">
            <v>2.8969999999999998</v>
          </cell>
          <cell r="AK299">
            <v>3.2559999999999998</v>
          </cell>
          <cell r="AL299">
            <v>3.7749999999999999</v>
          </cell>
          <cell r="AM299">
            <v>4.4729999999999999</v>
          </cell>
          <cell r="AN299"/>
          <cell r="AO299"/>
          <cell r="AP299"/>
          <cell r="AQ299"/>
          <cell r="AR299"/>
          <cell r="AS299"/>
          <cell r="AT299"/>
          <cell r="AU299"/>
          <cell r="AV299"/>
          <cell r="AW299"/>
          <cell r="AX299">
            <v>0.82299999999999995</v>
          </cell>
          <cell r="AY299">
            <v>2792</v>
          </cell>
          <cell r="AZ299">
            <v>896</v>
          </cell>
        </row>
        <row r="300">
          <cell r="A300">
            <v>38169</v>
          </cell>
          <cell r="B300">
            <v>2</v>
          </cell>
          <cell r="C300">
            <v>1</v>
          </cell>
          <cell r="D300">
            <v>2.0680000000000001</v>
          </cell>
          <cell r="E300"/>
          <cell r="F300"/>
          <cell r="G300"/>
          <cell r="H300"/>
          <cell r="I300"/>
          <cell r="J300"/>
          <cell r="K300"/>
          <cell r="L300"/>
          <cell r="M300"/>
          <cell r="N300"/>
          <cell r="O300">
            <v>2.0760000000000001</v>
          </cell>
          <cell r="P300">
            <v>2.1160000000000001</v>
          </cell>
          <cell r="Q300">
            <v>2.1880000000000002</v>
          </cell>
          <cell r="R300">
            <v>2.3610000000000002</v>
          </cell>
          <cell r="S300">
            <v>2.254</v>
          </cell>
          <cell r="T300">
            <v>2.641</v>
          </cell>
          <cell r="U300">
            <v>3.0539999999999998</v>
          </cell>
          <cell r="V300">
            <v>3.4870000000000001</v>
          </cell>
          <cell r="W300">
            <v>4.2519999999999998</v>
          </cell>
          <cell r="X300">
            <v>4.8760000000000003</v>
          </cell>
          <cell r="Y300"/>
          <cell r="Z300"/>
          <cell r="AA300"/>
          <cell r="AB300"/>
          <cell r="AC300"/>
          <cell r="AD300"/>
          <cell r="AE300"/>
          <cell r="AF300"/>
          <cell r="AG300"/>
          <cell r="AH300"/>
          <cell r="AI300">
            <v>2.39</v>
          </cell>
          <cell r="AJ300">
            <v>2.8010000000000002</v>
          </cell>
          <cell r="AK300">
            <v>3.1520000000000001</v>
          </cell>
          <cell r="AL300">
            <v>3.6629999999999998</v>
          </cell>
          <cell r="AM300">
            <v>4.3620000000000001</v>
          </cell>
          <cell r="AN300"/>
          <cell r="AO300"/>
          <cell r="AP300"/>
          <cell r="AQ300"/>
          <cell r="AR300"/>
          <cell r="AS300"/>
          <cell r="AT300"/>
          <cell r="AU300"/>
          <cell r="AV300"/>
          <cell r="AW300"/>
          <cell r="AX300">
            <v>0.81499999999999995</v>
          </cell>
          <cell r="AY300">
            <v>2730</v>
          </cell>
          <cell r="AZ300">
            <v>884</v>
          </cell>
        </row>
        <row r="301">
          <cell r="A301">
            <v>38200</v>
          </cell>
          <cell r="B301">
            <v>2</v>
          </cell>
          <cell r="C301">
            <v>1</v>
          </cell>
          <cell r="D301">
            <v>2.04</v>
          </cell>
          <cell r="E301"/>
          <cell r="F301"/>
          <cell r="G301"/>
          <cell r="H301"/>
          <cell r="I301"/>
          <cell r="J301"/>
          <cell r="K301"/>
          <cell r="L301"/>
          <cell r="M301"/>
          <cell r="N301"/>
          <cell r="O301">
            <v>2.077</v>
          </cell>
          <cell r="P301">
            <v>2.1139999999999999</v>
          </cell>
          <cell r="Q301">
            <v>2.169</v>
          </cell>
          <cell r="R301">
            <v>2.302</v>
          </cell>
          <cell r="S301">
            <v>2.2229999999999999</v>
          </cell>
          <cell r="T301">
            <v>2.48</v>
          </cell>
          <cell r="U301">
            <v>2.88</v>
          </cell>
          <cell r="V301">
            <v>3.3260000000000001</v>
          </cell>
          <cell r="W301">
            <v>4.0940000000000003</v>
          </cell>
          <cell r="X301">
            <v>4.7389999999999999</v>
          </cell>
          <cell r="Y301"/>
          <cell r="Z301"/>
          <cell r="AA301"/>
          <cell r="AB301"/>
          <cell r="AC301"/>
          <cell r="AD301"/>
          <cell r="AE301"/>
          <cell r="AF301"/>
          <cell r="AG301"/>
          <cell r="AH301"/>
          <cell r="AI301">
            <v>2.306</v>
          </cell>
          <cell r="AJ301">
            <v>2.6760000000000002</v>
          </cell>
          <cell r="AK301">
            <v>3.004</v>
          </cell>
          <cell r="AL301">
            <v>3.496</v>
          </cell>
          <cell r="AM301">
            <v>4.2089999999999996</v>
          </cell>
          <cell r="AN301"/>
          <cell r="AO301"/>
          <cell r="AP301"/>
          <cell r="AQ301"/>
          <cell r="AR301"/>
          <cell r="AS301"/>
          <cell r="AT301"/>
          <cell r="AU301"/>
          <cell r="AV301"/>
          <cell r="AW301"/>
          <cell r="AX301">
            <v>0.82</v>
          </cell>
          <cell r="AY301">
            <v>2647</v>
          </cell>
          <cell r="AZ301">
            <v>882</v>
          </cell>
        </row>
        <row r="302">
          <cell r="A302">
            <v>38231</v>
          </cell>
          <cell r="B302">
            <v>2</v>
          </cell>
          <cell r="C302">
            <v>1</v>
          </cell>
          <cell r="D302">
            <v>2.052</v>
          </cell>
          <cell r="E302"/>
          <cell r="F302"/>
          <cell r="G302"/>
          <cell r="H302"/>
          <cell r="I302"/>
          <cell r="J302"/>
          <cell r="K302"/>
          <cell r="L302"/>
          <cell r="M302"/>
          <cell r="N302"/>
          <cell r="O302">
            <v>2.0779999999999998</v>
          </cell>
          <cell r="P302">
            <v>2.1190000000000002</v>
          </cell>
          <cell r="Q302">
            <v>2.2000000000000002</v>
          </cell>
          <cell r="R302">
            <v>2.3769999999999998</v>
          </cell>
          <cell r="S302">
            <v>2.3319999999999999</v>
          </cell>
          <cell r="T302">
            <v>2.5779999999999998</v>
          </cell>
          <cell r="U302">
            <v>2.8889999999999998</v>
          </cell>
          <cell r="V302">
            <v>3.375</v>
          </cell>
          <cell r="W302">
            <v>4.04</v>
          </cell>
          <cell r="X302">
            <v>4.6710000000000003</v>
          </cell>
          <cell r="Y302"/>
          <cell r="Z302"/>
          <cell r="AA302"/>
          <cell r="AB302"/>
          <cell r="AC302"/>
          <cell r="AD302"/>
          <cell r="AE302"/>
          <cell r="AF302"/>
          <cell r="AG302"/>
          <cell r="AH302"/>
          <cell r="AI302">
            <v>2.4</v>
          </cell>
          <cell r="AJ302">
            <v>2.7490000000000001</v>
          </cell>
          <cell r="AK302">
            <v>3.0339999999999998</v>
          </cell>
          <cell r="AL302">
            <v>3.4769999999999999</v>
          </cell>
          <cell r="AM302">
            <v>4.1520000000000001</v>
          </cell>
          <cell r="AN302"/>
          <cell r="AO302"/>
          <cell r="AP302"/>
          <cell r="AQ302"/>
          <cell r="AR302"/>
          <cell r="AS302"/>
          <cell r="AT302"/>
          <cell r="AU302"/>
          <cell r="AV302"/>
          <cell r="AW302"/>
          <cell r="AX302">
            <v>0.81799999999999995</v>
          </cell>
          <cell r="AY302">
            <v>2749</v>
          </cell>
          <cell r="AZ302">
            <v>886</v>
          </cell>
        </row>
        <row r="303">
          <cell r="A303">
            <v>38261</v>
          </cell>
          <cell r="B303">
            <v>2</v>
          </cell>
          <cell r="C303">
            <v>1</v>
          </cell>
          <cell r="D303">
            <v>2.1110000000000002</v>
          </cell>
          <cell r="E303"/>
          <cell r="F303"/>
          <cell r="G303"/>
          <cell r="H303"/>
          <cell r="I303"/>
          <cell r="J303"/>
          <cell r="K303"/>
          <cell r="L303"/>
          <cell r="M303"/>
          <cell r="N303"/>
          <cell r="O303">
            <v>2.0859999999999999</v>
          </cell>
          <cell r="P303">
            <v>2.1469999999999998</v>
          </cell>
          <cell r="Q303">
            <v>2.1909999999999998</v>
          </cell>
          <cell r="R303">
            <v>2.3159999999999998</v>
          </cell>
          <cell r="S303">
            <v>2.2490000000000001</v>
          </cell>
          <cell r="T303">
            <v>2.4710000000000001</v>
          </cell>
          <cell r="U303">
            <v>2.72</v>
          </cell>
          <cell r="V303">
            <v>3.2160000000000002</v>
          </cell>
          <cell r="W303">
            <v>3.9159999999999999</v>
          </cell>
          <cell r="X303">
            <v>4.5860000000000003</v>
          </cell>
          <cell r="Y303"/>
          <cell r="Z303"/>
          <cell r="AA303"/>
          <cell r="AB303"/>
          <cell r="AC303"/>
          <cell r="AD303"/>
          <cell r="AE303"/>
          <cell r="AF303"/>
          <cell r="AG303"/>
          <cell r="AH303"/>
          <cell r="AI303">
            <v>2.343</v>
          </cell>
          <cell r="AJ303">
            <v>2.6190000000000002</v>
          </cell>
          <cell r="AK303">
            <v>2.8860000000000001</v>
          </cell>
          <cell r="AL303">
            <v>3.3330000000000002</v>
          </cell>
          <cell r="AM303">
            <v>4.0369999999999999</v>
          </cell>
          <cell r="AN303"/>
          <cell r="AO303"/>
          <cell r="AP303"/>
          <cell r="AQ303"/>
          <cell r="AR303"/>
          <cell r="AS303"/>
          <cell r="AT303"/>
          <cell r="AU303"/>
          <cell r="AV303"/>
          <cell r="AW303"/>
          <cell r="AX303">
            <v>0.8</v>
          </cell>
          <cell r="AY303">
            <v>2794</v>
          </cell>
          <cell r="AZ303">
            <v>894</v>
          </cell>
        </row>
        <row r="304">
          <cell r="A304">
            <v>38292</v>
          </cell>
          <cell r="B304">
            <v>2</v>
          </cell>
          <cell r="C304">
            <v>1</v>
          </cell>
          <cell r="D304">
            <v>2.085</v>
          </cell>
          <cell r="E304"/>
          <cell r="F304"/>
          <cell r="G304"/>
          <cell r="H304"/>
          <cell r="I304"/>
          <cell r="J304"/>
          <cell r="K304"/>
          <cell r="L304"/>
          <cell r="M304"/>
          <cell r="N304"/>
          <cell r="O304">
            <v>2.11</v>
          </cell>
          <cell r="P304">
            <v>2.17</v>
          </cell>
          <cell r="Q304">
            <v>2.2170000000000001</v>
          </cell>
          <cell r="R304">
            <v>2.3279999999999998</v>
          </cell>
          <cell r="S304">
            <v>2.2730000000000001</v>
          </cell>
          <cell r="T304">
            <v>2.4119999999999999</v>
          </cell>
          <cell r="U304">
            <v>2.629</v>
          </cell>
          <cell r="V304">
            <v>3.105</v>
          </cell>
          <cell r="W304">
            <v>3.819</v>
          </cell>
          <cell r="X304">
            <v>4.47</v>
          </cell>
          <cell r="Y304"/>
          <cell r="Z304"/>
          <cell r="AA304"/>
          <cell r="AB304"/>
          <cell r="AC304"/>
          <cell r="AD304"/>
          <cell r="AE304"/>
          <cell r="AF304"/>
          <cell r="AG304"/>
          <cell r="AH304"/>
          <cell r="AI304">
            <v>2.351</v>
          </cell>
          <cell r="AJ304">
            <v>2.5720000000000001</v>
          </cell>
          <cell r="AK304">
            <v>2.8140000000000001</v>
          </cell>
          <cell r="AL304">
            <v>3.2269999999999999</v>
          </cell>
          <cell r="AM304">
            <v>3.919</v>
          </cell>
          <cell r="AN304"/>
          <cell r="AO304"/>
          <cell r="AP304"/>
          <cell r="AQ304"/>
          <cell r="AR304"/>
          <cell r="AS304"/>
          <cell r="AT304"/>
          <cell r="AU304"/>
          <cell r="AV304"/>
          <cell r="AW304"/>
          <cell r="AX304">
            <v>0.76900000000000002</v>
          </cell>
          <cell r="AY304">
            <v>2883</v>
          </cell>
          <cell r="AZ304">
            <v>899</v>
          </cell>
        </row>
        <row r="305">
          <cell r="A305">
            <v>38322</v>
          </cell>
          <cell r="B305">
            <v>2</v>
          </cell>
          <cell r="C305">
            <v>1</v>
          </cell>
          <cell r="D305">
            <v>2.0529999999999999</v>
          </cell>
          <cell r="E305"/>
          <cell r="F305"/>
          <cell r="G305"/>
          <cell r="H305"/>
          <cell r="I305"/>
          <cell r="J305"/>
          <cell r="K305"/>
          <cell r="L305"/>
          <cell r="M305"/>
          <cell r="N305"/>
          <cell r="O305">
            <v>2.1669999999999998</v>
          </cell>
          <cell r="P305">
            <v>2.173</v>
          </cell>
          <cell r="Q305">
            <v>2.206</v>
          </cell>
          <cell r="R305">
            <v>2.3010000000000002</v>
          </cell>
          <cell r="S305">
            <v>2.2519999999999998</v>
          </cell>
          <cell r="T305">
            <v>2.3839999999999999</v>
          </cell>
          <cell r="U305">
            <v>2.5329999999999999</v>
          </cell>
          <cell r="V305">
            <v>2.9630000000000001</v>
          </cell>
          <cell r="W305">
            <v>3.6509999999999998</v>
          </cell>
          <cell r="X305">
            <v>4.2549999999999999</v>
          </cell>
          <cell r="Y305"/>
          <cell r="Z305"/>
          <cell r="AA305"/>
          <cell r="AB305"/>
          <cell r="AC305"/>
          <cell r="AD305"/>
          <cell r="AE305"/>
          <cell r="AF305"/>
          <cell r="AG305"/>
          <cell r="AH305"/>
          <cell r="AI305">
            <v>2.3279999999999998</v>
          </cell>
          <cell r="AJ305">
            <v>2.524</v>
          </cell>
          <cell r="AK305">
            <v>2.734</v>
          </cell>
          <cell r="AL305">
            <v>3.0939999999999999</v>
          </cell>
          <cell r="AM305">
            <v>3.72</v>
          </cell>
          <cell r="AN305"/>
          <cell r="AO305"/>
          <cell r="AP305"/>
          <cell r="AQ305"/>
          <cell r="AR305"/>
          <cell r="AS305"/>
          <cell r="AT305"/>
          <cell r="AU305"/>
          <cell r="AV305"/>
          <cell r="AW305"/>
          <cell r="AX305">
            <v>0.746</v>
          </cell>
          <cell r="AY305">
            <v>2926</v>
          </cell>
          <cell r="AZ305">
            <v>884</v>
          </cell>
        </row>
        <row r="306">
          <cell r="A306">
            <v>38353</v>
          </cell>
          <cell r="B306">
            <v>2</v>
          </cell>
          <cell r="C306">
            <v>1</v>
          </cell>
          <cell r="D306">
            <v>2.077</v>
          </cell>
          <cell r="E306"/>
          <cell r="F306"/>
          <cell r="G306"/>
          <cell r="H306"/>
          <cell r="I306"/>
          <cell r="J306"/>
          <cell r="K306"/>
          <cell r="L306"/>
          <cell r="M306"/>
          <cell r="N306"/>
          <cell r="O306">
            <v>2.1110000000000002</v>
          </cell>
          <cell r="P306">
            <v>2.145</v>
          </cell>
          <cell r="Q306">
            <v>2.1920000000000002</v>
          </cell>
          <cell r="R306">
            <v>2.3119999999999998</v>
          </cell>
          <cell r="S306">
            <v>2.2360000000000002</v>
          </cell>
          <cell r="T306">
            <v>2.4180000000000001</v>
          </cell>
          <cell r="U306">
            <v>2.548</v>
          </cell>
          <cell r="V306">
            <v>2.95</v>
          </cell>
          <cell r="W306">
            <v>3.581</v>
          </cell>
          <cell r="X306">
            <v>4.13</v>
          </cell>
          <cell r="Y306"/>
          <cell r="Z306"/>
          <cell r="AA306"/>
          <cell r="AB306"/>
          <cell r="AC306"/>
          <cell r="AD306"/>
          <cell r="AE306"/>
          <cell r="AF306"/>
          <cell r="AG306"/>
          <cell r="AH306"/>
          <cell r="AI306">
            <v>2.3359999999999999</v>
          </cell>
          <cell r="AJ306">
            <v>2.5649999999999999</v>
          </cell>
          <cell r="AK306">
            <v>2.762</v>
          </cell>
          <cell r="AL306">
            <v>3.0840000000000001</v>
          </cell>
          <cell r="AM306">
            <v>3.6549999999999998</v>
          </cell>
          <cell r="AN306"/>
          <cell r="AO306"/>
          <cell r="AP306"/>
          <cell r="AQ306"/>
          <cell r="AR306"/>
          <cell r="AS306"/>
          <cell r="AT306"/>
          <cell r="AU306"/>
          <cell r="AV306"/>
          <cell r="AW306"/>
          <cell r="AX306">
            <v>0.76300000000000001</v>
          </cell>
          <cell r="AY306">
            <v>2957</v>
          </cell>
          <cell r="AZ306">
            <v>895</v>
          </cell>
        </row>
        <row r="307">
          <cell r="A307">
            <v>38384</v>
          </cell>
          <cell r="B307">
            <v>2</v>
          </cell>
          <cell r="C307">
            <v>1</v>
          </cell>
          <cell r="D307">
            <v>2.0590000000000002</v>
          </cell>
          <cell r="E307"/>
          <cell r="F307"/>
          <cell r="G307"/>
          <cell r="H307"/>
          <cell r="I307"/>
          <cell r="J307"/>
          <cell r="K307"/>
          <cell r="L307"/>
          <cell r="M307"/>
          <cell r="N307"/>
          <cell r="O307">
            <v>2.1040000000000001</v>
          </cell>
          <cell r="P307">
            <v>2.1379999999999999</v>
          </cell>
          <cell r="Q307">
            <v>2.1850000000000001</v>
          </cell>
          <cell r="R307">
            <v>2.31</v>
          </cell>
          <cell r="S307">
            <v>2.2189999999999999</v>
          </cell>
          <cell r="T307">
            <v>2.4390000000000001</v>
          </cell>
          <cell r="U307">
            <v>2.5760000000000001</v>
          </cell>
          <cell r="V307">
            <v>2.97</v>
          </cell>
          <cell r="W307">
            <v>3.573</v>
          </cell>
          <cell r="X307">
            <v>4.0209999999999999</v>
          </cell>
          <cell r="Y307"/>
          <cell r="Z307"/>
          <cell r="AA307"/>
          <cell r="AB307"/>
          <cell r="AC307"/>
          <cell r="AD307"/>
          <cell r="AE307"/>
          <cell r="AF307"/>
          <cell r="AG307"/>
          <cell r="AH307"/>
          <cell r="AI307">
            <v>2.343</v>
          </cell>
          <cell r="AJ307">
            <v>2.5990000000000002</v>
          </cell>
          <cell r="AK307">
            <v>2.8050000000000002</v>
          </cell>
          <cell r="AL307">
            <v>3.1230000000000002</v>
          </cell>
          <cell r="AM307">
            <v>3.6520000000000001</v>
          </cell>
          <cell r="AN307"/>
          <cell r="AO307"/>
          <cell r="AP307"/>
          <cell r="AQ307"/>
          <cell r="AR307"/>
          <cell r="AS307"/>
          <cell r="AT307"/>
          <cell r="AU307"/>
          <cell r="AV307"/>
          <cell r="AW307"/>
          <cell r="AX307">
            <v>0.76800000000000002</v>
          </cell>
          <cell r="AY307">
            <v>3050</v>
          </cell>
          <cell r="AZ307">
            <v>914</v>
          </cell>
        </row>
        <row r="308">
          <cell r="A308">
            <v>38412</v>
          </cell>
          <cell r="B308">
            <v>2</v>
          </cell>
          <cell r="C308">
            <v>1</v>
          </cell>
          <cell r="D308">
            <v>2.0569999999999999</v>
          </cell>
          <cell r="E308"/>
          <cell r="F308"/>
          <cell r="G308"/>
          <cell r="H308"/>
          <cell r="I308"/>
          <cell r="J308"/>
          <cell r="K308"/>
          <cell r="L308"/>
          <cell r="M308"/>
          <cell r="N308"/>
          <cell r="O308">
            <v>2.1030000000000002</v>
          </cell>
          <cell r="P308">
            <v>2.137</v>
          </cell>
          <cell r="Q308">
            <v>2.1920000000000002</v>
          </cell>
          <cell r="R308">
            <v>2.335</v>
          </cell>
          <cell r="S308">
            <v>2.2490000000000001</v>
          </cell>
          <cell r="T308">
            <v>2.504</v>
          </cell>
          <cell r="U308">
            <v>2.6749999999999998</v>
          </cell>
          <cell r="V308">
            <v>3.0590000000000002</v>
          </cell>
          <cell r="W308">
            <v>3.7160000000000002</v>
          </cell>
          <cell r="X308">
            <v>4.1909999999999998</v>
          </cell>
          <cell r="Y308"/>
          <cell r="Z308"/>
          <cell r="AA308"/>
          <cell r="AB308"/>
          <cell r="AC308"/>
          <cell r="AD308"/>
          <cell r="AE308"/>
          <cell r="AF308"/>
          <cell r="AG308"/>
          <cell r="AH308"/>
          <cell r="AI308">
            <v>2.363</v>
          </cell>
          <cell r="AJ308">
            <v>2.653</v>
          </cell>
          <cell r="AK308">
            <v>2.8780000000000001</v>
          </cell>
          <cell r="AL308">
            <v>3.2250000000000001</v>
          </cell>
          <cell r="AM308">
            <v>3.8</v>
          </cell>
          <cell r="AN308"/>
          <cell r="AO308"/>
          <cell r="AP308"/>
          <cell r="AQ308"/>
          <cell r="AR308"/>
          <cell r="AS308"/>
          <cell r="AT308"/>
          <cell r="AU308"/>
          <cell r="AV308"/>
          <cell r="AW308"/>
          <cell r="AX308">
            <v>0.75900000000000001</v>
          </cell>
          <cell r="AY308">
            <v>3066</v>
          </cell>
          <cell r="AZ308">
            <v>926</v>
          </cell>
        </row>
        <row r="309">
          <cell r="A309">
            <v>38443</v>
          </cell>
          <cell r="B309">
            <v>2</v>
          </cell>
          <cell r="C309">
            <v>1</v>
          </cell>
          <cell r="D309">
            <v>2.0760000000000001</v>
          </cell>
          <cell r="E309"/>
          <cell r="F309"/>
          <cell r="G309"/>
          <cell r="H309"/>
          <cell r="I309"/>
          <cell r="J309"/>
          <cell r="K309"/>
          <cell r="L309"/>
          <cell r="M309"/>
          <cell r="N309"/>
          <cell r="O309">
            <v>2.105</v>
          </cell>
          <cell r="P309">
            <v>2.137</v>
          </cell>
          <cell r="Q309">
            <v>2.1720000000000002</v>
          </cell>
          <cell r="R309">
            <v>2.2650000000000001</v>
          </cell>
          <cell r="S309">
            <v>2.177</v>
          </cell>
          <cell r="T309">
            <v>2.3620000000000001</v>
          </cell>
          <cell r="U309">
            <v>2.552</v>
          </cell>
          <cell r="V309">
            <v>2.9140000000000001</v>
          </cell>
          <cell r="W309">
            <v>3.5030000000000001</v>
          </cell>
          <cell r="X309">
            <v>4.0579999999999998</v>
          </cell>
          <cell r="Y309"/>
          <cell r="Z309"/>
          <cell r="AA309"/>
          <cell r="AB309"/>
          <cell r="AC309"/>
          <cell r="AD309"/>
          <cell r="AE309"/>
          <cell r="AF309"/>
          <cell r="AG309"/>
          <cell r="AH309"/>
          <cell r="AI309">
            <v>2.2850000000000001</v>
          </cell>
          <cell r="AJ309">
            <v>2.5009999999999999</v>
          </cell>
          <cell r="AK309">
            <v>2.6989999999999998</v>
          </cell>
          <cell r="AL309">
            <v>3.0259999999999998</v>
          </cell>
          <cell r="AM309">
            <v>3.61</v>
          </cell>
          <cell r="AN309"/>
          <cell r="AO309"/>
          <cell r="AP309"/>
          <cell r="AQ309"/>
          <cell r="AR309"/>
          <cell r="AS309"/>
          <cell r="AT309"/>
          <cell r="AU309"/>
          <cell r="AV309"/>
          <cell r="AW309"/>
          <cell r="AX309">
            <v>0.77300000000000002</v>
          </cell>
          <cell r="AY309">
            <v>3014</v>
          </cell>
          <cell r="AZ309">
            <v>934</v>
          </cell>
        </row>
        <row r="310">
          <cell r="A310">
            <v>38473</v>
          </cell>
          <cell r="B310">
            <v>2</v>
          </cell>
          <cell r="C310">
            <v>1</v>
          </cell>
          <cell r="D310">
            <v>2.0699999999999998</v>
          </cell>
          <cell r="E310"/>
          <cell r="F310"/>
          <cell r="G310"/>
          <cell r="H310"/>
          <cell r="I310"/>
          <cell r="J310"/>
          <cell r="K310"/>
          <cell r="L310"/>
          <cell r="M310"/>
          <cell r="N310"/>
          <cell r="O310">
            <v>2.1040000000000001</v>
          </cell>
          <cell r="P310">
            <v>2.1259999999999999</v>
          </cell>
          <cell r="Q310">
            <v>2.1440000000000001</v>
          </cell>
          <cell r="R310">
            <v>2.1930000000000001</v>
          </cell>
          <cell r="S310">
            <v>2.105</v>
          </cell>
          <cell r="T310">
            <v>2.222</v>
          </cell>
          <cell r="U310">
            <v>2.387</v>
          </cell>
          <cell r="V310">
            <v>2.74</v>
          </cell>
          <cell r="W310">
            <v>3.3479999999999999</v>
          </cell>
          <cell r="X310">
            <v>3.8730000000000002</v>
          </cell>
          <cell r="Y310"/>
          <cell r="Z310"/>
          <cell r="AA310"/>
          <cell r="AB310"/>
          <cell r="AC310"/>
          <cell r="AD310"/>
          <cell r="AE310"/>
          <cell r="AF310"/>
          <cell r="AG310"/>
          <cell r="AH310"/>
          <cell r="AI310">
            <v>2.2090000000000001</v>
          </cell>
          <cell r="AJ310">
            <v>2.375</v>
          </cell>
          <cell r="AK310">
            <v>2.5539999999999998</v>
          </cell>
          <cell r="AL310">
            <v>2.8769999999999998</v>
          </cell>
          <cell r="AM310">
            <v>3.4649999999999999</v>
          </cell>
          <cell r="AN310"/>
          <cell r="AO310"/>
          <cell r="AP310"/>
          <cell r="AQ310"/>
          <cell r="AR310"/>
          <cell r="AS310"/>
          <cell r="AT310"/>
          <cell r="AU310"/>
          <cell r="AV310"/>
          <cell r="AW310"/>
          <cell r="AX310">
            <v>0.78800000000000003</v>
          </cell>
          <cell r="AY310">
            <v>3023</v>
          </cell>
          <cell r="AZ310">
            <v>928</v>
          </cell>
        </row>
        <row r="311">
          <cell r="A311">
            <v>38504</v>
          </cell>
          <cell r="B311">
            <v>2</v>
          </cell>
          <cell r="C311">
            <v>1</v>
          </cell>
          <cell r="D311">
            <v>2.0619999999999998</v>
          </cell>
          <cell r="E311"/>
          <cell r="F311"/>
          <cell r="G311"/>
          <cell r="H311"/>
          <cell r="I311"/>
          <cell r="J311"/>
          <cell r="K311"/>
          <cell r="L311"/>
          <cell r="M311"/>
          <cell r="N311"/>
          <cell r="O311">
            <v>2.1040000000000001</v>
          </cell>
          <cell r="P311">
            <v>2.1110000000000002</v>
          </cell>
          <cell r="Q311">
            <v>2.1070000000000002</v>
          </cell>
          <cell r="R311">
            <v>2.1030000000000002</v>
          </cell>
          <cell r="S311">
            <v>2.0350000000000001</v>
          </cell>
          <cell r="T311">
            <v>2.0779999999999998</v>
          </cell>
          <cell r="U311">
            <v>2.1869999999999998</v>
          </cell>
          <cell r="V311">
            <v>2.5529999999999999</v>
          </cell>
          <cell r="W311">
            <v>3.1960000000000002</v>
          </cell>
          <cell r="X311">
            <v>3.706</v>
          </cell>
          <cell r="Y311"/>
          <cell r="Z311"/>
          <cell r="AA311"/>
          <cell r="AB311"/>
          <cell r="AC311"/>
          <cell r="AD311"/>
          <cell r="AE311"/>
          <cell r="AF311"/>
          <cell r="AG311"/>
          <cell r="AH311"/>
          <cell r="AI311">
            <v>2.1190000000000002</v>
          </cell>
          <cell r="AJ311">
            <v>2.2149999999999999</v>
          </cell>
          <cell r="AK311">
            <v>2.3769999999999998</v>
          </cell>
          <cell r="AL311">
            <v>2.6960000000000002</v>
          </cell>
          <cell r="AM311">
            <v>3.2850000000000001</v>
          </cell>
          <cell r="AN311"/>
          <cell r="AO311"/>
          <cell r="AP311"/>
          <cell r="AQ311"/>
          <cell r="AR311"/>
          <cell r="AS311"/>
          <cell r="AT311"/>
          <cell r="AU311"/>
          <cell r="AV311"/>
          <cell r="AW311"/>
          <cell r="AX311">
            <v>0.82299999999999995</v>
          </cell>
          <cell r="AY311">
            <v>3152</v>
          </cell>
          <cell r="AZ311">
            <v>968</v>
          </cell>
        </row>
        <row r="312">
          <cell r="A312">
            <v>38534</v>
          </cell>
          <cell r="B312">
            <v>2</v>
          </cell>
          <cell r="C312">
            <v>1</v>
          </cell>
          <cell r="D312">
            <v>2.073</v>
          </cell>
          <cell r="E312"/>
          <cell r="F312"/>
          <cell r="G312"/>
          <cell r="H312"/>
          <cell r="I312"/>
          <cell r="J312"/>
          <cell r="K312"/>
          <cell r="L312"/>
          <cell r="M312"/>
          <cell r="N312"/>
          <cell r="O312">
            <v>2.1059999999999999</v>
          </cell>
          <cell r="P312">
            <v>2.1190000000000002</v>
          </cell>
          <cell r="Q312">
            <v>2.1349999999999998</v>
          </cell>
          <cell r="R312">
            <v>2.1680000000000001</v>
          </cell>
          <cell r="S312">
            <v>2.105</v>
          </cell>
          <cell r="T312">
            <v>2.1880000000000002</v>
          </cell>
          <cell r="U312">
            <v>2.2709999999999999</v>
          </cell>
          <cell r="V312">
            <v>2.6160000000000001</v>
          </cell>
          <cell r="W312">
            <v>3.234</v>
          </cell>
          <cell r="X312">
            <v>3.7450000000000001</v>
          </cell>
          <cell r="Y312"/>
          <cell r="Z312"/>
          <cell r="AA312"/>
          <cell r="AB312"/>
          <cell r="AC312"/>
          <cell r="AD312"/>
          <cell r="AE312"/>
          <cell r="AF312"/>
          <cell r="AG312"/>
          <cell r="AH312"/>
          <cell r="AI312">
            <v>2.1920000000000002</v>
          </cell>
          <cell r="AJ312">
            <v>2.327</v>
          </cell>
          <cell r="AK312">
            <v>2.484</v>
          </cell>
          <cell r="AL312">
            <v>2.7709999999999999</v>
          </cell>
          <cell r="AM312">
            <v>3.3319999999999999</v>
          </cell>
          <cell r="AN312"/>
          <cell r="AO312"/>
          <cell r="AP312"/>
          <cell r="AQ312"/>
          <cell r="AR312"/>
          <cell r="AS312"/>
          <cell r="AT312"/>
          <cell r="AU312"/>
          <cell r="AV312"/>
          <cell r="AW312"/>
          <cell r="AX312">
            <v>0.83</v>
          </cell>
          <cell r="AY312">
            <v>3267</v>
          </cell>
          <cell r="AZ312">
            <v>997</v>
          </cell>
        </row>
        <row r="313">
          <cell r="A313">
            <v>38565</v>
          </cell>
          <cell r="B313">
            <v>2</v>
          </cell>
          <cell r="C313">
            <v>1</v>
          </cell>
          <cell r="D313">
            <v>2.0609999999999999</v>
          </cell>
          <cell r="E313"/>
          <cell r="F313"/>
          <cell r="G313"/>
          <cell r="H313"/>
          <cell r="I313"/>
          <cell r="J313"/>
          <cell r="K313"/>
          <cell r="L313"/>
          <cell r="M313"/>
          <cell r="N313"/>
          <cell r="O313">
            <v>2.113</v>
          </cell>
          <cell r="P313">
            <v>2.1320000000000001</v>
          </cell>
          <cell r="Q313">
            <v>2.16</v>
          </cell>
          <cell r="R313">
            <v>2.2229999999999999</v>
          </cell>
          <cell r="S313">
            <v>2.1589999999999998</v>
          </cell>
          <cell r="T313">
            <v>2.254</v>
          </cell>
          <cell r="U313">
            <v>2.33</v>
          </cell>
          <cell r="V313">
            <v>2.6629999999999998</v>
          </cell>
          <cell r="W313">
            <v>3.2519999999999998</v>
          </cell>
          <cell r="X313">
            <v>3.7280000000000002</v>
          </cell>
          <cell r="Y313"/>
          <cell r="Z313"/>
          <cell r="AA313"/>
          <cell r="AB313"/>
          <cell r="AC313"/>
          <cell r="AD313"/>
          <cell r="AE313"/>
          <cell r="AF313"/>
          <cell r="AG313"/>
          <cell r="AH313"/>
          <cell r="AI313">
            <v>2.246</v>
          </cell>
          <cell r="AJ313">
            <v>2.3980000000000001</v>
          </cell>
          <cell r="AK313">
            <v>2.5470000000000002</v>
          </cell>
          <cell r="AL313">
            <v>2.8170000000000002</v>
          </cell>
          <cell r="AM313">
            <v>3.347</v>
          </cell>
          <cell r="AN313"/>
          <cell r="AO313"/>
          <cell r="AP313"/>
          <cell r="AQ313"/>
          <cell r="AR313"/>
          <cell r="AS313"/>
          <cell r="AT313"/>
          <cell r="AU313"/>
          <cell r="AV313"/>
          <cell r="AW313"/>
          <cell r="AX313">
            <v>0.81299999999999994</v>
          </cell>
          <cell r="AY313">
            <v>3303</v>
          </cell>
          <cell r="AZ313">
            <v>992</v>
          </cell>
        </row>
        <row r="314">
          <cell r="A314">
            <v>38596</v>
          </cell>
          <cell r="B314">
            <v>2</v>
          </cell>
          <cell r="C314">
            <v>1</v>
          </cell>
          <cell r="D314">
            <v>2.0939999999999999</v>
          </cell>
          <cell r="E314"/>
          <cell r="F314"/>
          <cell r="G314"/>
          <cell r="H314"/>
          <cell r="I314"/>
          <cell r="J314"/>
          <cell r="K314"/>
          <cell r="L314"/>
          <cell r="M314"/>
          <cell r="N314"/>
          <cell r="O314">
            <v>2.1150000000000002</v>
          </cell>
          <cell r="P314">
            <v>2.1389999999999998</v>
          </cell>
          <cell r="Q314">
            <v>2.1669999999999998</v>
          </cell>
          <cell r="R314">
            <v>2.2200000000000002</v>
          </cell>
          <cell r="S314">
            <v>2.1579999999999999</v>
          </cell>
          <cell r="T314">
            <v>2.234</v>
          </cell>
          <cell r="U314">
            <v>2.3010000000000002</v>
          </cell>
          <cell r="V314">
            <v>2.5670000000000002</v>
          </cell>
          <cell r="W314">
            <v>3.09</v>
          </cell>
          <cell r="X314">
            <v>3.573</v>
          </cell>
          <cell r="Y314"/>
          <cell r="Z314"/>
          <cell r="AA314"/>
          <cell r="AB314"/>
          <cell r="AC314"/>
          <cell r="AD314"/>
          <cell r="AE314"/>
          <cell r="AF314"/>
          <cell r="AG314"/>
          <cell r="AH314"/>
          <cell r="AI314">
            <v>2.2480000000000002</v>
          </cell>
          <cell r="AJ314">
            <v>2.371</v>
          </cell>
          <cell r="AK314">
            <v>2.4910000000000001</v>
          </cell>
          <cell r="AL314">
            <v>2.7130000000000001</v>
          </cell>
          <cell r="AM314">
            <v>3.1949999999999998</v>
          </cell>
          <cell r="AN314"/>
          <cell r="AO314"/>
          <cell r="AP314"/>
          <cell r="AQ314"/>
          <cell r="AR314"/>
          <cell r="AS314"/>
          <cell r="AT314"/>
          <cell r="AU314"/>
          <cell r="AV314"/>
          <cell r="AW314"/>
          <cell r="AX314">
            <v>0.81699999999999995</v>
          </cell>
          <cell r="AY314">
            <v>3352</v>
          </cell>
          <cell r="AZ314">
            <v>996</v>
          </cell>
        </row>
        <row r="315">
          <cell r="A315">
            <v>38626</v>
          </cell>
          <cell r="B315">
            <v>2</v>
          </cell>
          <cell r="C315">
            <v>1</v>
          </cell>
          <cell r="D315">
            <v>2.0670000000000002</v>
          </cell>
          <cell r="E315"/>
          <cell r="F315"/>
          <cell r="G315"/>
          <cell r="H315"/>
          <cell r="I315"/>
          <cell r="J315"/>
          <cell r="K315"/>
          <cell r="L315"/>
          <cell r="M315"/>
          <cell r="N315"/>
          <cell r="O315">
            <v>2.121</v>
          </cell>
          <cell r="P315">
            <v>2.1970000000000001</v>
          </cell>
          <cell r="Q315">
            <v>2.2719999999999998</v>
          </cell>
          <cell r="R315">
            <v>2.4140000000000001</v>
          </cell>
          <cell r="S315">
            <v>2.3420000000000001</v>
          </cell>
          <cell r="T315">
            <v>2.5</v>
          </cell>
          <cell r="U315">
            <v>2.621</v>
          </cell>
          <cell r="V315">
            <v>2.847</v>
          </cell>
          <cell r="W315">
            <v>3.2639999999999998</v>
          </cell>
          <cell r="X315">
            <v>3.6890000000000001</v>
          </cell>
          <cell r="Y315"/>
          <cell r="Z315"/>
          <cell r="AA315"/>
          <cell r="AB315"/>
          <cell r="AC315"/>
          <cell r="AD315"/>
          <cell r="AE315"/>
          <cell r="AF315"/>
          <cell r="AG315"/>
          <cell r="AH315"/>
          <cell r="AI315">
            <v>2.4510000000000001</v>
          </cell>
          <cell r="AJ315">
            <v>2.645</v>
          </cell>
          <cell r="AK315">
            <v>2.7679999999999998</v>
          </cell>
          <cell r="AL315">
            <v>2.9689999999999999</v>
          </cell>
          <cell r="AM315">
            <v>3.3769999999999998</v>
          </cell>
          <cell r="AN315"/>
          <cell r="AO315"/>
          <cell r="AP315"/>
          <cell r="AQ315"/>
          <cell r="AR315"/>
          <cell r="AS315"/>
          <cell r="AT315"/>
          <cell r="AU315"/>
          <cell r="AV315"/>
          <cell r="AW315"/>
          <cell r="AX315">
            <v>0.83099999999999996</v>
          </cell>
          <cell r="AY315">
            <v>3340</v>
          </cell>
          <cell r="AZ315">
            <v>1004</v>
          </cell>
        </row>
        <row r="316">
          <cell r="A316">
            <v>38657</v>
          </cell>
          <cell r="B316">
            <v>2</v>
          </cell>
          <cell r="C316">
            <v>1</v>
          </cell>
          <cell r="D316">
            <v>2.0859999999999999</v>
          </cell>
          <cell r="E316"/>
          <cell r="F316"/>
          <cell r="G316"/>
          <cell r="H316"/>
          <cell r="I316"/>
          <cell r="J316"/>
          <cell r="K316"/>
          <cell r="L316"/>
          <cell r="M316"/>
          <cell r="N316"/>
          <cell r="O316">
            <v>2.2229999999999999</v>
          </cell>
          <cell r="P316">
            <v>2.3610000000000002</v>
          </cell>
          <cell r="Q316">
            <v>2.5</v>
          </cell>
          <cell r="R316">
            <v>2.6840000000000002</v>
          </cell>
          <cell r="S316">
            <v>2.5710000000000002</v>
          </cell>
          <cell r="T316">
            <v>2.7280000000000002</v>
          </cell>
          <cell r="U316">
            <v>2.8660000000000001</v>
          </cell>
          <cell r="V316">
            <v>3.101</v>
          </cell>
          <cell r="W316">
            <v>3.476</v>
          </cell>
          <cell r="X316">
            <v>3.8170000000000002</v>
          </cell>
          <cell r="Y316"/>
          <cell r="Z316"/>
          <cell r="AA316"/>
          <cell r="AB316"/>
          <cell r="AC316"/>
          <cell r="AD316"/>
          <cell r="AE316"/>
          <cell r="AF316"/>
          <cell r="AG316"/>
          <cell r="AH316"/>
          <cell r="AI316">
            <v>2.72</v>
          </cell>
          <cell r="AJ316">
            <v>2.9060000000000001</v>
          </cell>
          <cell r="AK316">
            <v>3.0310000000000001</v>
          </cell>
          <cell r="AL316">
            <v>3.2250000000000001</v>
          </cell>
          <cell r="AM316">
            <v>3.5870000000000002</v>
          </cell>
          <cell r="AN316"/>
          <cell r="AO316"/>
          <cell r="AP316"/>
          <cell r="AQ316"/>
          <cell r="AR316"/>
          <cell r="AS316"/>
          <cell r="AT316"/>
          <cell r="AU316"/>
          <cell r="AV316"/>
          <cell r="AW316"/>
          <cell r="AX316">
            <v>0.84799999999999998</v>
          </cell>
          <cell r="AY316">
            <v>3405</v>
          </cell>
          <cell r="AZ316">
            <v>1017</v>
          </cell>
        </row>
        <row r="317">
          <cell r="A317">
            <v>38687</v>
          </cell>
          <cell r="B317">
            <v>2.25</v>
          </cell>
          <cell r="C317">
            <v>1.25</v>
          </cell>
          <cell r="D317">
            <v>2.2759999999999998</v>
          </cell>
          <cell r="E317"/>
          <cell r="F317"/>
          <cell r="G317"/>
          <cell r="H317"/>
          <cell r="I317"/>
          <cell r="J317"/>
          <cell r="K317"/>
          <cell r="L317"/>
          <cell r="M317"/>
          <cell r="N317"/>
          <cell r="O317">
            <v>2.411</v>
          </cell>
          <cell r="P317">
            <v>2.4729999999999999</v>
          </cell>
          <cell r="Q317">
            <v>2.6</v>
          </cell>
          <cell r="R317">
            <v>2.7829999999999999</v>
          </cell>
          <cell r="S317">
            <v>2.6669999999999998</v>
          </cell>
          <cell r="T317">
            <v>2.8010000000000002</v>
          </cell>
          <cell r="U317">
            <v>2.8860000000000001</v>
          </cell>
          <cell r="V317">
            <v>3.0630000000000002</v>
          </cell>
          <cell r="W317">
            <v>3.3679999999999999</v>
          </cell>
          <cell r="X317">
            <v>3.6720000000000002</v>
          </cell>
          <cell r="Y317"/>
          <cell r="Z317"/>
          <cell r="AA317"/>
          <cell r="AB317"/>
          <cell r="AC317"/>
          <cell r="AD317"/>
          <cell r="AE317"/>
          <cell r="AF317"/>
          <cell r="AG317"/>
          <cell r="AH317"/>
          <cell r="AI317">
            <v>2.8170000000000002</v>
          </cell>
          <cell r="AJ317">
            <v>2.9740000000000002</v>
          </cell>
          <cell r="AK317">
            <v>3.0659999999999998</v>
          </cell>
          <cell r="AL317">
            <v>3.198</v>
          </cell>
          <cell r="AM317">
            <v>3.488</v>
          </cell>
          <cell r="AN317"/>
          <cell r="AO317"/>
          <cell r="AP317"/>
          <cell r="AQ317"/>
          <cell r="AR317"/>
          <cell r="AS317"/>
          <cell r="AT317"/>
          <cell r="AU317"/>
          <cell r="AV317"/>
          <cell r="AW317"/>
          <cell r="AX317">
            <v>0.84299999999999997</v>
          </cell>
          <cell r="AY317">
            <v>3550</v>
          </cell>
          <cell r="AZ317">
            <v>1038</v>
          </cell>
        </row>
        <row r="318">
          <cell r="A318">
            <v>38718</v>
          </cell>
          <cell r="B318">
            <v>2.25</v>
          </cell>
          <cell r="C318">
            <v>1.25</v>
          </cell>
          <cell r="D318">
            <v>2.3260000000000001</v>
          </cell>
          <cell r="E318"/>
          <cell r="F318"/>
          <cell r="G318"/>
          <cell r="H318"/>
          <cell r="I318"/>
          <cell r="J318"/>
          <cell r="K318"/>
          <cell r="L318"/>
          <cell r="M318"/>
          <cell r="N318"/>
          <cell r="O318">
            <v>2.3879999999999999</v>
          </cell>
          <cell r="P318">
            <v>2.512</v>
          </cell>
          <cell r="Q318">
            <v>2.6509999999999998</v>
          </cell>
          <cell r="R318">
            <v>2.8330000000000002</v>
          </cell>
          <cell r="S318">
            <v>2.7040000000000002</v>
          </cell>
          <cell r="T318">
            <v>2.8679999999999999</v>
          </cell>
          <cell r="U318">
            <v>2.93</v>
          </cell>
          <cell r="V318">
            <v>3.0859999999999999</v>
          </cell>
          <cell r="W318">
            <v>3.3410000000000002</v>
          </cell>
          <cell r="X318">
            <v>3.601</v>
          </cell>
          <cell r="Y318"/>
          <cell r="Z318"/>
          <cell r="AA318"/>
          <cell r="AB318"/>
          <cell r="AC318"/>
          <cell r="AD318"/>
          <cell r="AE318"/>
          <cell r="AF318"/>
          <cell r="AG318"/>
          <cell r="AH318"/>
          <cell r="AI318">
            <v>2.86</v>
          </cell>
          <cell r="AJ318">
            <v>3.0329999999999999</v>
          </cell>
          <cell r="AK318">
            <v>3.12</v>
          </cell>
          <cell r="AL318">
            <v>3.2410000000000001</v>
          </cell>
          <cell r="AM318">
            <v>3.488</v>
          </cell>
          <cell r="AN318"/>
          <cell r="AO318"/>
          <cell r="AP318"/>
          <cell r="AQ318"/>
          <cell r="AR318"/>
          <cell r="AS318"/>
          <cell r="AT318"/>
          <cell r="AU318"/>
          <cell r="AV318"/>
          <cell r="AW318"/>
          <cell r="AX318">
            <v>0.82499999999999996</v>
          </cell>
          <cell r="AY318">
            <v>3627</v>
          </cell>
          <cell r="AZ318">
            <v>1055</v>
          </cell>
        </row>
        <row r="319">
          <cell r="A319">
            <v>38749</v>
          </cell>
          <cell r="B319">
            <v>2.25</v>
          </cell>
          <cell r="C319">
            <v>1.25</v>
          </cell>
          <cell r="D319">
            <v>2.35</v>
          </cell>
          <cell r="E319"/>
          <cell r="F319"/>
          <cell r="G319"/>
          <cell r="H319"/>
          <cell r="I319"/>
          <cell r="J319"/>
          <cell r="K319"/>
          <cell r="L319"/>
          <cell r="M319"/>
          <cell r="N319"/>
          <cell r="O319">
            <v>2.4590000000000001</v>
          </cell>
          <cell r="P319">
            <v>2.6</v>
          </cell>
          <cell r="Q319">
            <v>2.7250000000000001</v>
          </cell>
          <cell r="R319">
            <v>2.9140000000000001</v>
          </cell>
          <cell r="S319">
            <v>2.7610000000000001</v>
          </cell>
          <cell r="T319">
            <v>2.9489999999999998</v>
          </cell>
          <cell r="U319">
            <v>3.0390000000000001</v>
          </cell>
          <cell r="V319">
            <v>3.2269999999999999</v>
          </cell>
          <cell r="W319">
            <v>3.4860000000000002</v>
          </cell>
          <cell r="X319">
            <v>3.742</v>
          </cell>
          <cell r="Y319"/>
          <cell r="Z319"/>
          <cell r="AA319"/>
          <cell r="AB319"/>
          <cell r="AC319"/>
          <cell r="AD319"/>
          <cell r="AE319"/>
          <cell r="AF319"/>
          <cell r="AG319"/>
          <cell r="AH319"/>
          <cell r="AI319">
            <v>2.9470000000000001</v>
          </cell>
          <cell r="AJ319">
            <v>3.1379999999999999</v>
          </cell>
          <cell r="AK319">
            <v>3.246</v>
          </cell>
          <cell r="AL319">
            <v>3.3959999999999999</v>
          </cell>
          <cell r="AM319">
            <v>3.657</v>
          </cell>
          <cell r="AN319"/>
          <cell r="AO319"/>
          <cell r="AP319"/>
          <cell r="AQ319"/>
          <cell r="AR319"/>
          <cell r="AS319"/>
          <cell r="AT319"/>
          <cell r="AU319"/>
          <cell r="AV319"/>
          <cell r="AW319"/>
          <cell r="AX319">
            <v>0.83699999999999997</v>
          </cell>
          <cell r="AY319">
            <v>3744</v>
          </cell>
          <cell r="AZ319">
            <v>1063</v>
          </cell>
        </row>
        <row r="320">
          <cell r="A320">
            <v>38777</v>
          </cell>
          <cell r="B320">
            <v>2.5</v>
          </cell>
          <cell r="C320">
            <v>1.5</v>
          </cell>
          <cell r="D320">
            <v>2.52</v>
          </cell>
          <cell r="E320"/>
          <cell r="F320"/>
          <cell r="G320"/>
          <cell r="H320"/>
          <cell r="I320"/>
          <cell r="J320"/>
          <cell r="K320"/>
          <cell r="L320"/>
          <cell r="M320"/>
          <cell r="N320"/>
          <cell r="O320">
            <v>2.633</v>
          </cell>
          <cell r="P320">
            <v>2.7229999999999999</v>
          </cell>
          <cell r="Q320">
            <v>2.8719999999999999</v>
          </cell>
          <cell r="R320">
            <v>3.105</v>
          </cell>
          <cell r="S320">
            <v>2.9910000000000001</v>
          </cell>
          <cell r="T320">
            <v>3.1869999999999998</v>
          </cell>
          <cell r="U320">
            <v>3.262</v>
          </cell>
          <cell r="V320">
            <v>3.4510000000000001</v>
          </cell>
          <cell r="W320">
            <v>3.661</v>
          </cell>
          <cell r="X320">
            <v>3.887</v>
          </cell>
          <cell r="Y320"/>
          <cell r="Z320"/>
          <cell r="AA320"/>
          <cell r="AB320"/>
          <cell r="AC320"/>
          <cell r="AD320"/>
          <cell r="AE320"/>
          <cell r="AF320"/>
          <cell r="AG320"/>
          <cell r="AH320"/>
          <cell r="AI320">
            <v>3.1480000000000001</v>
          </cell>
          <cell r="AJ320">
            <v>3.3759999999999999</v>
          </cell>
          <cell r="AK320">
            <v>3.4849999999999999</v>
          </cell>
          <cell r="AL320">
            <v>3.62</v>
          </cell>
          <cell r="AM320">
            <v>3.8439999999999999</v>
          </cell>
          <cell r="AN320"/>
          <cell r="AO320"/>
          <cell r="AP320"/>
          <cell r="AQ320"/>
          <cell r="AR320"/>
          <cell r="AS320"/>
          <cell r="AT320"/>
          <cell r="AU320"/>
          <cell r="AV320"/>
          <cell r="AW320"/>
          <cell r="AX320">
            <v>0.83099999999999996</v>
          </cell>
          <cell r="AY320">
            <v>3815</v>
          </cell>
          <cell r="AZ320">
            <v>1067</v>
          </cell>
        </row>
        <row r="321">
          <cell r="A321">
            <v>38808</v>
          </cell>
          <cell r="B321">
            <v>2.5</v>
          </cell>
          <cell r="C321">
            <v>1.5</v>
          </cell>
          <cell r="D321">
            <v>2.6280000000000001</v>
          </cell>
          <cell r="E321"/>
          <cell r="F321"/>
          <cell r="G321"/>
          <cell r="H321"/>
          <cell r="I321"/>
          <cell r="J321"/>
          <cell r="K321"/>
          <cell r="L321"/>
          <cell r="M321"/>
          <cell r="N321"/>
          <cell r="O321">
            <v>2.649</v>
          </cell>
          <cell r="P321">
            <v>2.794</v>
          </cell>
          <cell r="Q321">
            <v>2.956</v>
          </cell>
          <cell r="R321">
            <v>3.2210000000000001</v>
          </cell>
          <cell r="S321">
            <v>3.0830000000000002</v>
          </cell>
          <cell r="T321">
            <v>3.3220000000000001</v>
          </cell>
          <cell r="U321">
            <v>3.48</v>
          </cell>
          <cell r="V321">
            <v>3.6909999999999998</v>
          </cell>
          <cell r="W321">
            <v>3.9220000000000002</v>
          </cell>
          <cell r="X321">
            <v>4.1870000000000003</v>
          </cell>
          <cell r="Y321"/>
          <cell r="Z321"/>
          <cell r="AA321"/>
          <cell r="AB321"/>
          <cell r="AC321"/>
          <cell r="AD321"/>
          <cell r="AE321"/>
          <cell r="AF321"/>
          <cell r="AG321"/>
          <cell r="AH321"/>
          <cell r="AI321">
            <v>3.26</v>
          </cell>
          <cell r="AJ321">
            <v>3.5310000000000001</v>
          </cell>
          <cell r="AK321">
            <v>3.6760000000000002</v>
          </cell>
          <cell r="AL321">
            <v>3.8580000000000001</v>
          </cell>
          <cell r="AM321">
            <v>4.1420000000000003</v>
          </cell>
          <cell r="AN321"/>
          <cell r="AO321"/>
          <cell r="AP321"/>
          <cell r="AQ321"/>
          <cell r="AR321"/>
          <cell r="AS321"/>
          <cell r="AT321"/>
          <cell r="AU321"/>
          <cell r="AV321"/>
          <cell r="AW321"/>
          <cell r="AX321">
            <v>0.81399999999999995</v>
          </cell>
          <cell r="AY321">
            <v>3835</v>
          </cell>
          <cell r="AZ321">
            <v>1080</v>
          </cell>
        </row>
        <row r="322">
          <cell r="A322">
            <v>38838</v>
          </cell>
          <cell r="B322">
            <v>2.5</v>
          </cell>
          <cell r="C322">
            <v>1.5</v>
          </cell>
          <cell r="D322">
            <v>2.577</v>
          </cell>
          <cell r="E322"/>
          <cell r="F322"/>
          <cell r="G322"/>
          <cell r="H322"/>
          <cell r="I322"/>
          <cell r="J322"/>
          <cell r="K322"/>
          <cell r="L322"/>
          <cell r="M322"/>
          <cell r="N322"/>
          <cell r="O322">
            <v>2.6930000000000001</v>
          </cell>
          <cell r="P322">
            <v>2.8889999999999998</v>
          </cell>
          <cell r="Q322">
            <v>3.0579999999999998</v>
          </cell>
          <cell r="R322">
            <v>3.3079999999999998</v>
          </cell>
          <cell r="S322">
            <v>3.141</v>
          </cell>
          <cell r="T322">
            <v>3.343</v>
          </cell>
          <cell r="U322">
            <v>3.4980000000000002</v>
          </cell>
          <cell r="V322">
            <v>3.7040000000000002</v>
          </cell>
          <cell r="W322">
            <v>3.9809999999999999</v>
          </cell>
          <cell r="X322">
            <v>4.2530000000000001</v>
          </cell>
          <cell r="Y322"/>
          <cell r="Z322"/>
          <cell r="AA322"/>
          <cell r="AB322"/>
          <cell r="AC322"/>
          <cell r="AD322"/>
          <cell r="AE322"/>
          <cell r="AF322"/>
          <cell r="AG322"/>
          <cell r="AH322"/>
          <cell r="AI322">
            <v>3.3450000000000002</v>
          </cell>
          <cell r="AJ322">
            <v>3.5790000000000002</v>
          </cell>
          <cell r="AK322">
            <v>3.7130000000000001</v>
          </cell>
          <cell r="AL322">
            <v>3.891</v>
          </cell>
          <cell r="AM322">
            <v>4.1859999999999999</v>
          </cell>
          <cell r="AN322"/>
          <cell r="AO322"/>
          <cell r="AP322"/>
          <cell r="AQ322"/>
          <cell r="AR322"/>
          <cell r="AS322"/>
          <cell r="AT322"/>
          <cell r="AU322"/>
          <cell r="AV322"/>
          <cell r="AW322"/>
          <cell r="AX322">
            <v>0.78300000000000003</v>
          </cell>
          <cell r="AY322">
            <v>3727</v>
          </cell>
          <cell r="AZ322">
            <v>1084</v>
          </cell>
        </row>
        <row r="323">
          <cell r="A323">
            <v>38869</v>
          </cell>
          <cell r="B323">
            <v>2.75</v>
          </cell>
          <cell r="C323">
            <v>1.75</v>
          </cell>
          <cell r="D323">
            <v>2.698</v>
          </cell>
          <cell r="E323"/>
          <cell r="F323"/>
          <cell r="G323"/>
          <cell r="H323"/>
          <cell r="I323"/>
          <cell r="J323"/>
          <cell r="K323"/>
          <cell r="L323"/>
          <cell r="M323"/>
          <cell r="N323"/>
          <cell r="O323">
            <v>2.8690000000000002</v>
          </cell>
          <cell r="P323">
            <v>2.9860000000000002</v>
          </cell>
          <cell r="Q323">
            <v>3.1579999999999999</v>
          </cell>
          <cell r="R323">
            <v>3.4009999999999998</v>
          </cell>
          <cell r="S323">
            <v>3.238</v>
          </cell>
          <cell r="T323">
            <v>3.4460000000000002</v>
          </cell>
          <cell r="U323">
            <v>3.552</v>
          </cell>
          <cell r="V323">
            <v>3.734</v>
          </cell>
          <cell r="W323">
            <v>3.9940000000000002</v>
          </cell>
          <cell r="X323">
            <v>4.2649999999999997</v>
          </cell>
          <cell r="Y323"/>
          <cell r="Z323"/>
          <cell r="AA323"/>
          <cell r="AB323"/>
          <cell r="AC323"/>
          <cell r="AD323"/>
          <cell r="AE323"/>
          <cell r="AF323"/>
          <cell r="AG323"/>
          <cell r="AH323"/>
          <cell r="AI323">
            <v>3.4460000000000002</v>
          </cell>
          <cell r="AJ323">
            <v>3.6619999999999999</v>
          </cell>
          <cell r="AK323">
            <v>3.7810000000000001</v>
          </cell>
          <cell r="AL323">
            <v>3.9409999999999998</v>
          </cell>
          <cell r="AM323">
            <v>4.21</v>
          </cell>
          <cell r="AN323"/>
          <cell r="AO323"/>
          <cell r="AP323"/>
          <cell r="AQ323"/>
          <cell r="AR323"/>
          <cell r="AS323"/>
          <cell r="AT323"/>
          <cell r="AU323"/>
          <cell r="AV323"/>
          <cell r="AW323"/>
          <cell r="AX323">
            <v>0.79</v>
          </cell>
          <cell r="AY323">
            <v>3529</v>
          </cell>
          <cell r="AZ323">
            <v>1113</v>
          </cell>
        </row>
        <row r="324">
          <cell r="A324">
            <v>38899</v>
          </cell>
          <cell r="B324">
            <v>2.75</v>
          </cell>
          <cell r="C324">
            <v>1.75</v>
          </cell>
          <cell r="D324">
            <v>2.8140000000000001</v>
          </cell>
          <cell r="E324"/>
          <cell r="F324"/>
          <cell r="G324"/>
          <cell r="H324"/>
          <cell r="I324"/>
          <cell r="J324"/>
          <cell r="K324"/>
          <cell r="L324"/>
          <cell r="M324"/>
          <cell r="N324"/>
          <cell r="O324">
            <v>2.9390000000000001</v>
          </cell>
          <cell r="P324">
            <v>3.1019999999999999</v>
          </cell>
          <cell r="Q324">
            <v>3.2879999999999998</v>
          </cell>
          <cell r="R324">
            <v>3.5390000000000001</v>
          </cell>
          <cell r="S324">
            <v>3.3839999999999999</v>
          </cell>
          <cell r="T324">
            <v>3.5649999999999999</v>
          </cell>
          <cell r="U324">
            <v>3.6429999999999998</v>
          </cell>
          <cell r="V324">
            <v>3.79</v>
          </cell>
          <cell r="W324">
            <v>4.0170000000000003</v>
          </cell>
          <cell r="X324">
            <v>4.274</v>
          </cell>
          <cell r="Y324"/>
          <cell r="Z324"/>
          <cell r="AA324"/>
          <cell r="AB324"/>
          <cell r="AC324"/>
          <cell r="AD324"/>
          <cell r="AE324"/>
          <cell r="AF324"/>
          <cell r="AG324"/>
          <cell r="AH324"/>
          <cell r="AI324">
            <v>3.5819999999999999</v>
          </cell>
          <cell r="AJ324">
            <v>3.7759999999999998</v>
          </cell>
          <cell r="AK324">
            <v>3.8769999999999998</v>
          </cell>
          <cell r="AL324">
            <v>4.0069999999999997</v>
          </cell>
          <cell r="AM324">
            <v>4.2450000000000001</v>
          </cell>
          <cell r="AN324"/>
          <cell r="AO324"/>
          <cell r="AP324"/>
          <cell r="AQ324"/>
          <cell r="AR324"/>
          <cell r="AS324"/>
          <cell r="AT324"/>
          <cell r="AU324"/>
          <cell r="AV324"/>
          <cell r="AW324"/>
          <cell r="AX324">
            <v>0.78800000000000003</v>
          </cell>
          <cell r="AY324">
            <v>3617</v>
          </cell>
          <cell r="AZ324">
            <v>1128</v>
          </cell>
        </row>
        <row r="325">
          <cell r="A325">
            <v>38930</v>
          </cell>
          <cell r="B325">
            <v>3</v>
          </cell>
          <cell r="C325">
            <v>2</v>
          </cell>
          <cell r="D325">
            <v>2.968</v>
          </cell>
          <cell r="E325"/>
          <cell r="F325"/>
          <cell r="G325"/>
          <cell r="H325"/>
          <cell r="I325"/>
          <cell r="J325"/>
          <cell r="K325"/>
          <cell r="L325"/>
          <cell r="M325"/>
          <cell r="N325"/>
          <cell r="O325">
            <v>3.0939999999999999</v>
          </cell>
          <cell r="P325">
            <v>3.226</v>
          </cell>
          <cell r="Q325">
            <v>3.41</v>
          </cell>
          <cell r="R325">
            <v>3.6150000000000002</v>
          </cell>
          <cell r="S325">
            <v>3.4470000000000001</v>
          </cell>
          <cell r="T325">
            <v>3.5619999999999998</v>
          </cell>
          <cell r="U325">
            <v>3.6059999999999999</v>
          </cell>
          <cell r="V325">
            <v>3.694</v>
          </cell>
          <cell r="W325">
            <v>3.8879999999999999</v>
          </cell>
          <cell r="X325">
            <v>4.1379999999999999</v>
          </cell>
          <cell r="Y325"/>
          <cell r="Z325"/>
          <cell r="AA325"/>
          <cell r="AB325"/>
          <cell r="AC325"/>
          <cell r="AD325"/>
          <cell r="AE325"/>
          <cell r="AF325"/>
          <cell r="AG325"/>
          <cell r="AH325"/>
          <cell r="AI325">
            <v>3.6549999999999998</v>
          </cell>
          <cell r="AJ325">
            <v>3.7730000000000001</v>
          </cell>
          <cell r="AK325">
            <v>3.823</v>
          </cell>
          <cell r="AL325">
            <v>3.91</v>
          </cell>
          <cell r="AM325">
            <v>4.12</v>
          </cell>
          <cell r="AN325"/>
          <cell r="AO325"/>
          <cell r="AP325"/>
          <cell r="AQ325"/>
          <cell r="AR325"/>
          <cell r="AS325"/>
          <cell r="AT325"/>
          <cell r="AU325"/>
          <cell r="AV325"/>
          <cell r="AW325"/>
          <cell r="AX325">
            <v>0.78100000000000003</v>
          </cell>
          <cell r="AY325">
            <v>3744</v>
          </cell>
          <cell r="AZ325">
            <v>1113</v>
          </cell>
        </row>
        <row r="326">
          <cell r="A326">
            <v>38961</v>
          </cell>
          <cell r="B326">
            <v>3</v>
          </cell>
          <cell r="C326">
            <v>2</v>
          </cell>
          <cell r="D326">
            <v>3.0409999999999999</v>
          </cell>
          <cell r="E326"/>
          <cell r="F326"/>
          <cell r="G326"/>
          <cell r="H326"/>
          <cell r="I326"/>
          <cell r="J326"/>
          <cell r="K326"/>
          <cell r="L326"/>
          <cell r="M326"/>
          <cell r="N326"/>
          <cell r="O326">
            <v>3.157</v>
          </cell>
          <cell r="P326">
            <v>3.335</v>
          </cell>
          <cell r="Q326">
            <v>3.5270000000000001</v>
          </cell>
          <cell r="R326">
            <v>3.7149999999999999</v>
          </cell>
          <cell r="S326">
            <v>3.5760000000000001</v>
          </cell>
          <cell r="T326">
            <v>3.609</v>
          </cell>
          <cell r="U326">
            <v>3.6019999999999999</v>
          </cell>
          <cell r="V326">
            <v>3.6419999999999999</v>
          </cell>
          <cell r="W326">
            <v>3.7589999999999999</v>
          </cell>
          <cell r="X326">
            <v>3.968</v>
          </cell>
          <cell r="Y326"/>
          <cell r="Z326"/>
          <cell r="AA326"/>
          <cell r="AB326"/>
          <cell r="AC326"/>
          <cell r="AD326"/>
          <cell r="AE326"/>
          <cell r="AF326"/>
          <cell r="AG326"/>
          <cell r="AH326"/>
          <cell r="AI326">
            <v>3.7570000000000001</v>
          </cell>
          <cell r="AJ326">
            <v>3.8119999999999998</v>
          </cell>
          <cell r="AK326">
            <v>3.8149999999999999</v>
          </cell>
          <cell r="AL326">
            <v>3.8450000000000002</v>
          </cell>
          <cell r="AM326">
            <v>3.9929999999999999</v>
          </cell>
          <cell r="AN326"/>
          <cell r="AO326"/>
          <cell r="AP326"/>
          <cell r="AQ326"/>
          <cell r="AR326"/>
          <cell r="AS326"/>
          <cell r="AT326"/>
          <cell r="AU326"/>
          <cell r="AV326"/>
          <cell r="AW326"/>
          <cell r="AX326">
            <v>0.78600000000000003</v>
          </cell>
          <cell r="AY326">
            <v>3818</v>
          </cell>
          <cell r="AZ326">
            <v>1118</v>
          </cell>
        </row>
        <row r="327">
          <cell r="A327">
            <v>38991</v>
          </cell>
          <cell r="B327">
            <v>3.25</v>
          </cell>
          <cell r="C327">
            <v>2.25</v>
          </cell>
          <cell r="D327">
            <v>3.278</v>
          </cell>
          <cell r="E327"/>
          <cell r="F327"/>
          <cell r="G327"/>
          <cell r="H327"/>
          <cell r="I327"/>
          <cell r="J327"/>
          <cell r="K327"/>
          <cell r="L327"/>
          <cell r="M327"/>
          <cell r="N327"/>
          <cell r="O327">
            <v>3.35</v>
          </cell>
          <cell r="P327">
            <v>3.5019999999999998</v>
          </cell>
          <cell r="Q327">
            <v>3.645</v>
          </cell>
          <cell r="R327">
            <v>3.7989999999999999</v>
          </cell>
          <cell r="S327">
            <v>3.661</v>
          </cell>
          <cell r="T327">
            <v>3.6680000000000001</v>
          </cell>
          <cell r="U327">
            <v>3.673</v>
          </cell>
          <cell r="V327">
            <v>3.714</v>
          </cell>
          <cell r="W327">
            <v>3.798</v>
          </cell>
          <cell r="X327">
            <v>3.9529999999999998</v>
          </cell>
          <cell r="Y327"/>
          <cell r="Z327"/>
          <cell r="AA327"/>
          <cell r="AB327"/>
          <cell r="AC327"/>
          <cell r="AD327"/>
          <cell r="AE327"/>
          <cell r="AF327"/>
          <cell r="AG327"/>
          <cell r="AH327"/>
          <cell r="AI327">
            <v>3.8460000000000001</v>
          </cell>
          <cell r="AJ327">
            <v>3.883</v>
          </cell>
          <cell r="AK327">
            <v>3.887</v>
          </cell>
          <cell r="AL327">
            <v>3.9140000000000001</v>
          </cell>
          <cell r="AM327">
            <v>4.0369999999999999</v>
          </cell>
          <cell r="AN327"/>
          <cell r="AO327"/>
          <cell r="AP327"/>
          <cell r="AQ327"/>
          <cell r="AR327"/>
          <cell r="AS327"/>
          <cell r="AT327"/>
          <cell r="AU327"/>
          <cell r="AV327"/>
          <cell r="AW327"/>
          <cell r="AX327">
            <v>0.79200000000000004</v>
          </cell>
          <cell r="AY327">
            <v>3976</v>
          </cell>
          <cell r="AZ327">
            <v>1119</v>
          </cell>
        </row>
        <row r="328">
          <cell r="A328">
            <v>39022</v>
          </cell>
          <cell r="B328">
            <v>3.25</v>
          </cell>
          <cell r="C328">
            <v>2.25</v>
          </cell>
          <cell r="D328">
            <v>3.3279999999999998</v>
          </cell>
          <cell r="E328"/>
          <cell r="F328"/>
          <cell r="G328"/>
          <cell r="H328"/>
          <cell r="I328"/>
          <cell r="J328"/>
          <cell r="K328"/>
          <cell r="L328"/>
          <cell r="M328"/>
          <cell r="N328"/>
          <cell r="O328">
            <v>3.4209999999999998</v>
          </cell>
          <cell r="P328">
            <v>3.597</v>
          </cell>
          <cell r="Q328">
            <v>3.7280000000000002</v>
          </cell>
          <cell r="R328">
            <v>3.8639999999999999</v>
          </cell>
          <cell r="S328">
            <v>3.7120000000000002</v>
          </cell>
          <cell r="T328">
            <v>3.698</v>
          </cell>
          <cell r="U328">
            <v>3.665</v>
          </cell>
          <cell r="V328">
            <v>3.6829999999999998</v>
          </cell>
          <cell r="W328">
            <v>3.7309999999999999</v>
          </cell>
          <cell r="X328">
            <v>3.8490000000000002</v>
          </cell>
          <cell r="Y328"/>
          <cell r="Z328"/>
          <cell r="AA328"/>
          <cell r="AB328"/>
          <cell r="AC328"/>
          <cell r="AD328"/>
          <cell r="AE328"/>
          <cell r="AF328"/>
          <cell r="AG328"/>
          <cell r="AH328"/>
          <cell r="AI328">
            <v>3.9060000000000001</v>
          </cell>
          <cell r="AJ328">
            <v>3.903</v>
          </cell>
          <cell r="AK328">
            <v>3.8839999999999999</v>
          </cell>
          <cell r="AL328">
            <v>3.8820000000000001</v>
          </cell>
          <cell r="AM328">
            <v>3.95</v>
          </cell>
          <cell r="AN328"/>
          <cell r="AO328"/>
          <cell r="AP328"/>
          <cell r="AQ328"/>
          <cell r="AR328"/>
          <cell r="AS328"/>
          <cell r="AT328"/>
          <cell r="AU328"/>
          <cell r="AV328"/>
          <cell r="AW328"/>
          <cell r="AX328">
            <v>0.77600000000000002</v>
          </cell>
          <cell r="AY328">
            <v>4053</v>
          </cell>
          <cell r="AZ328">
            <v>1133</v>
          </cell>
        </row>
        <row r="329">
          <cell r="A329">
            <v>39052</v>
          </cell>
          <cell r="B329">
            <v>3.5</v>
          </cell>
          <cell r="C329">
            <v>2.5</v>
          </cell>
          <cell r="D329">
            <v>3.5009999999999999</v>
          </cell>
          <cell r="E329"/>
          <cell r="F329"/>
          <cell r="G329"/>
          <cell r="H329"/>
          <cell r="I329"/>
          <cell r="J329"/>
          <cell r="K329"/>
          <cell r="L329"/>
          <cell r="M329"/>
          <cell r="N329"/>
          <cell r="O329">
            <v>3.64</v>
          </cell>
          <cell r="P329">
            <v>3.6840000000000002</v>
          </cell>
          <cell r="Q329">
            <v>3.7890000000000001</v>
          </cell>
          <cell r="R329">
            <v>3.9209999999999998</v>
          </cell>
          <cell r="S329">
            <v>3.7890000000000001</v>
          </cell>
          <cell r="T329">
            <v>3.7839999999999998</v>
          </cell>
          <cell r="U329">
            <v>3.758</v>
          </cell>
          <cell r="V329">
            <v>3.7810000000000001</v>
          </cell>
          <cell r="W329">
            <v>3.802</v>
          </cell>
          <cell r="X329">
            <v>3.93</v>
          </cell>
          <cell r="Y329"/>
          <cell r="Z329"/>
          <cell r="AA329"/>
          <cell r="AB329"/>
          <cell r="AC329"/>
          <cell r="AD329"/>
          <cell r="AE329"/>
          <cell r="AF329"/>
          <cell r="AG329"/>
          <cell r="AH329"/>
          <cell r="AI329">
            <v>3.9710000000000001</v>
          </cell>
          <cell r="AJ329">
            <v>3.9929999999999999</v>
          </cell>
          <cell r="AK329">
            <v>3.9849999999999999</v>
          </cell>
          <cell r="AL329">
            <v>3.9780000000000002</v>
          </cell>
          <cell r="AM329">
            <v>4.0419999999999998</v>
          </cell>
          <cell r="AN329"/>
          <cell r="AO329"/>
          <cell r="AP329"/>
          <cell r="AQ329"/>
          <cell r="AR329"/>
          <cell r="AS329"/>
          <cell r="AT329"/>
          <cell r="AU329"/>
          <cell r="AV329"/>
          <cell r="AW329"/>
          <cell r="AX329">
            <v>0.75800000000000001</v>
          </cell>
          <cell r="AY329">
            <v>4070</v>
          </cell>
          <cell r="AZ329">
            <v>1151</v>
          </cell>
        </row>
        <row r="330">
          <cell r="A330">
            <v>39083</v>
          </cell>
          <cell r="B330">
            <v>3.5</v>
          </cell>
          <cell r="C330">
            <v>2.5</v>
          </cell>
          <cell r="D330">
            <v>3.5630000000000002</v>
          </cell>
          <cell r="E330"/>
          <cell r="F330"/>
          <cell r="G330"/>
          <cell r="H330"/>
          <cell r="I330"/>
          <cell r="J330"/>
          <cell r="K330"/>
          <cell r="L330"/>
          <cell r="M330"/>
          <cell r="N330"/>
          <cell r="O330">
            <v>3.6160000000000001</v>
          </cell>
          <cell r="P330">
            <v>3.7519999999999998</v>
          </cell>
          <cell r="Q330">
            <v>3.89</v>
          </cell>
          <cell r="R330">
            <v>4.0640000000000001</v>
          </cell>
          <cell r="S330">
            <v>3.9119999999999999</v>
          </cell>
          <cell r="T330">
            <v>3.9420000000000002</v>
          </cell>
          <cell r="U330">
            <v>3.9359999999999999</v>
          </cell>
          <cell r="V330">
            <v>3.98</v>
          </cell>
          <cell r="W330">
            <v>4.0279999999999996</v>
          </cell>
          <cell r="X330">
            <v>4.1470000000000002</v>
          </cell>
          <cell r="Y330"/>
          <cell r="Z330"/>
          <cell r="AA330"/>
          <cell r="AB330"/>
          <cell r="AC330"/>
          <cell r="AD330"/>
          <cell r="AE330"/>
          <cell r="AF330"/>
          <cell r="AG330"/>
          <cell r="AH330"/>
          <cell r="AI330">
            <v>4.117</v>
          </cell>
          <cell r="AJ330">
            <v>4.165</v>
          </cell>
          <cell r="AK330">
            <v>4.1669999999999998</v>
          </cell>
          <cell r="AL330">
            <v>4.1769999999999996</v>
          </cell>
          <cell r="AM330">
            <v>4.2619999999999996</v>
          </cell>
          <cell r="AN330"/>
          <cell r="AO330"/>
          <cell r="AP330"/>
          <cell r="AQ330"/>
          <cell r="AR330"/>
          <cell r="AS330"/>
          <cell r="AT330"/>
          <cell r="AU330"/>
          <cell r="AV330"/>
          <cell r="AW330"/>
          <cell r="AX330">
            <v>0.76900000000000002</v>
          </cell>
          <cell r="AY330">
            <v>4158</v>
          </cell>
          <cell r="AZ330">
            <v>1148</v>
          </cell>
        </row>
        <row r="331">
          <cell r="A331">
            <v>39114</v>
          </cell>
          <cell r="B331">
            <v>3.5</v>
          </cell>
          <cell r="C331">
            <v>2.5</v>
          </cell>
          <cell r="D331">
            <v>3.57</v>
          </cell>
          <cell r="E331"/>
          <cell r="F331"/>
          <cell r="G331"/>
          <cell r="H331"/>
          <cell r="I331"/>
          <cell r="J331"/>
          <cell r="K331"/>
          <cell r="L331"/>
          <cell r="M331"/>
          <cell r="N331"/>
          <cell r="O331">
            <v>3.6509999999999998</v>
          </cell>
          <cell r="P331">
            <v>3.8180000000000001</v>
          </cell>
          <cell r="Q331">
            <v>3.944</v>
          </cell>
          <cell r="R331">
            <v>4.0940000000000003</v>
          </cell>
          <cell r="S331">
            <v>3.9540000000000002</v>
          </cell>
          <cell r="T331">
            <v>3.944</v>
          </cell>
          <cell r="U331">
            <v>3.9569999999999999</v>
          </cell>
          <cell r="V331">
            <v>3.988</v>
          </cell>
          <cell r="W331">
            <v>4.0519999999999996</v>
          </cell>
          <cell r="X331">
            <v>4.165</v>
          </cell>
          <cell r="Y331"/>
          <cell r="Z331"/>
          <cell r="AA331"/>
          <cell r="AB331"/>
          <cell r="AC331"/>
          <cell r="AD331"/>
          <cell r="AE331"/>
          <cell r="AF331"/>
          <cell r="AG331"/>
          <cell r="AH331"/>
          <cell r="AI331">
            <v>4.1449999999999996</v>
          </cell>
          <cell r="AJ331">
            <v>4.17</v>
          </cell>
          <cell r="AK331">
            <v>4.1740000000000004</v>
          </cell>
          <cell r="AL331">
            <v>4.1859999999999999</v>
          </cell>
          <cell r="AM331">
            <v>4.2789999999999999</v>
          </cell>
          <cell r="AN331"/>
          <cell r="AO331"/>
          <cell r="AP331"/>
          <cell r="AQ331"/>
          <cell r="AR331"/>
          <cell r="AS331"/>
          <cell r="AT331"/>
          <cell r="AU331"/>
          <cell r="AV331"/>
          <cell r="AW331"/>
          <cell r="AX331">
            <v>0.76400000000000001</v>
          </cell>
          <cell r="AY331">
            <v>4230</v>
          </cell>
          <cell r="AZ331">
            <v>1150</v>
          </cell>
        </row>
        <row r="332">
          <cell r="A332">
            <v>39142</v>
          </cell>
          <cell r="B332">
            <v>3.75</v>
          </cell>
          <cell r="C332">
            <v>2.75</v>
          </cell>
          <cell r="D332">
            <v>3.6909999999999998</v>
          </cell>
          <cell r="E332"/>
          <cell r="F332"/>
          <cell r="G332"/>
          <cell r="H332"/>
          <cell r="I332"/>
          <cell r="J332"/>
          <cell r="K332"/>
          <cell r="L332"/>
          <cell r="M332"/>
          <cell r="N332"/>
          <cell r="O332">
            <v>3.8439999999999999</v>
          </cell>
          <cell r="P332">
            <v>3.891</v>
          </cell>
          <cell r="Q332">
            <v>3.996</v>
          </cell>
          <cell r="R332">
            <v>4.1059999999999999</v>
          </cell>
          <cell r="S332">
            <v>3.9980000000000002</v>
          </cell>
          <cell r="T332">
            <v>3.9220000000000002</v>
          </cell>
          <cell r="U332">
            <v>3.91</v>
          </cell>
          <cell r="V332">
            <v>3.9039999999999999</v>
          </cell>
          <cell r="W332">
            <v>3.952</v>
          </cell>
          <cell r="X332">
            <v>4.1070000000000002</v>
          </cell>
          <cell r="Y332"/>
          <cell r="Z332"/>
          <cell r="AA332"/>
          <cell r="AB332"/>
          <cell r="AC332"/>
          <cell r="AD332"/>
          <cell r="AE332"/>
          <cell r="AF332"/>
          <cell r="AG332"/>
          <cell r="AH332"/>
          <cell r="AI332">
            <v>4.1719999999999997</v>
          </cell>
          <cell r="AJ332">
            <v>4.1429999999999998</v>
          </cell>
          <cell r="AK332">
            <v>4.1260000000000003</v>
          </cell>
          <cell r="AL332">
            <v>4.1230000000000002</v>
          </cell>
          <cell r="AM332">
            <v>4.2089999999999996</v>
          </cell>
          <cell r="AN332"/>
          <cell r="AO332"/>
          <cell r="AP332"/>
          <cell r="AQ332"/>
          <cell r="AR332"/>
          <cell r="AS332"/>
          <cell r="AT332"/>
          <cell r="AU332"/>
          <cell r="AV332"/>
          <cell r="AW332"/>
          <cell r="AX332">
            <v>0.755</v>
          </cell>
          <cell r="AY332">
            <v>4070</v>
          </cell>
          <cell r="AZ332">
            <v>1163</v>
          </cell>
        </row>
        <row r="333">
          <cell r="A333">
            <v>39173</v>
          </cell>
          <cell r="B333">
            <v>3.75</v>
          </cell>
          <cell r="C333">
            <v>2.75</v>
          </cell>
          <cell r="D333">
            <v>3.819</v>
          </cell>
          <cell r="E333"/>
          <cell r="F333"/>
          <cell r="G333"/>
          <cell r="H333"/>
          <cell r="I333"/>
          <cell r="J333"/>
          <cell r="K333"/>
          <cell r="L333"/>
          <cell r="M333"/>
          <cell r="N333"/>
          <cell r="O333">
            <v>3.859</v>
          </cell>
          <cell r="P333">
            <v>3.9750000000000001</v>
          </cell>
          <cell r="Q333">
            <v>4.0970000000000004</v>
          </cell>
          <cell r="R333">
            <v>4.2530000000000001</v>
          </cell>
          <cell r="S333">
            <v>4.133</v>
          </cell>
          <cell r="T333">
            <v>4.101</v>
          </cell>
          <cell r="U333">
            <v>4.1029999999999998</v>
          </cell>
          <cell r="V333">
            <v>4.1150000000000002</v>
          </cell>
          <cell r="W333">
            <v>4.1559999999999997</v>
          </cell>
          <cell r="X333">
            <v>4.3280000000000003</v>
          </cell>
          <cell r="Y333"/>
          <cell r="Z333"/>
          <cell r="AA333"/>
          <cell r="AB333"/>
          <cell r="AC333"/>
          <cell r="AD333"/>
          <cell r="AE333"/>
          <cell r="AF333"/>
          <cell r="AG333"/>
          <cell r="AH333"/>
          <cell r="AI333">
            <v>4.3230000000000004</v>
          </cell>
          <cell r="AJ333">
            <v>4.327</v>
          </cell>
          <cell r="AK333">
            <v>4.319</v>
          </cell>
          <cell r="AL333">
            <v>4.3369999999999997</v>
          </cell>
          <cell r="AM333">
            <v>4.4249999999999998</v>
          </cell>
          <cell r="AN333"/>
          <cell r="AO333"/>
          <cell r="AP333"/>
          <cell r="AQ333"/>
          <cell r="AR333"/>
          <cell r="AS333"/>
          <cell r="AT333"/>
          <cell r="AU333"/>
          <cell r="AV333"/>
          <cell r="AW333"/>
          <cell r="AX333">
            <v>0.74</v>
          </cell>
          <cell r="AY333">
            <v>4331</v>
          </cell>
          <cell r="AZ333">
            <v>1176</v>
          </cell>
        </row>
        <row r="334">
          <cell r="A334">
            <v>39203</v>
          </cell>
          <cell r="B334">
            <v>3.75</v>
          </cell>
          <cell r="C334">
            <v>2.75</v>
          </cell>
          <cell r="D334">
            <v>3.79</v>
          </cell>
          <cell r="E334"/>
          <cell r="F334"/>
          <cell r="G334"/>
          <cell r="H334"/>
          <cell r="I334"/>
          <cell r="J334"/>
          <cell r="K334"/>
          <cell r="L334"/>
          <cell r="M334"/>
          <cell r="N334"/>
          <cell r="O334">
            <v>3.919</v>
          </cell>
          <cell r="P334">
            <v>4.0709999999999997</v>
          </cell>
          <cell r="Q334">
            <v>4.1970000000000001</v>
          </cell>
          <cell r="R334">
            <v>4.3730000000000002</v>
          </cell>
          <cell r="S334">
            <v>4.24</v>
          </cell>
          <cell r="T334">
            <v>4.2549999999999999</v>
          </cell>
          <cell r="U334">
            <v>4.26</v>
          </cell>
          <cell r="V334">
            <v>4.2690000000000001</v>
          </cell>
          <cell r="W334">
            <v>4.2919999999999998</v>
          </cell>
          <cell r="X334">
            <v>4.4290000000000003</v>
          </cell>
          <cell r="Y334"/>
          <cell r="Z334"/>
          <cell r="AA334"/>
          <cell r="AB334"/>
          <cell r="AC334"/>
          <cell r="AD334"/>
          <cell r="AE334"/>
          <cell r="AF334"/>
          <cell r="AG334"/>
          <cell r="AH334"/>
          <cell r="AI334">
            <v>4.4459999999999997</v>
          </cell>
          <cell r="AJ334">
            <v>4.4870000000000001</v>
          </cell>
          <cell r="AK334">
            <v>4.4859999999999998</v>
          </cell>
          <cell r="AL334">
            <v>4.4889999999999999</v>
          </cell>
          <cell r="AM334">
            <v>4.5540000000000003</v>
          </cell>
          <cell r="AN334"/>
          <cell r="AO334"/>
          <cell r="AP334"/>
          <cell r="AQ334"/>
          <cell r="AR334"/>
          <cell r="AS334"/>
          <cell r="AT334"/>
          <cell r="AU334"/>
          <cell r="AV334"/>
          <cell r="AW334"/>
          <cell r="AX334">
            <v>0.74</v>
          </cell>
          <cell r="AY334">
            <v>4445</v>
          </cell>
          <cell r="AZ334">
            <v>1187</v>
          </cell>
        </row>
        <row r="335">
          <cell r="A335">
            <v>39234</v>
          </cell>
          <cell r="B335">
            <v>4</v>
          </cell>
          <cell r="C335">
            <v>3</v>
          </cell>
          <cell r="D335">
            <v>3.956</v>
          </cell>
          <cell r="E335"/>
          <cell r="F335"/>
          <cell r="G335"/>
          <cell r="H335"/>
          <cell r="I335"/>
          <cell r="J335"/>
          <cell r="K335"/>
          <cell r="L335"/>
          <cell r="M335"/>
          <cell r="N335"/>
          <cell r="O335">
            <v>4.0979999999999999</v>
          </cell>
          <cell r="P335">
            <v>4.1479999999999997</v>
          </cell>
          <cell r="Q335">
            <v>4.2830000000000004</v>
          </cell>
          <cell r="R335">
            <v>4.5049999999999999</v>
          </cell>
          <cell r="S335">
            <v>4.3739999999999997</v>
          </cell>
          <cell r="T335">
            <v>4.4630000000000001</v>
          </cell>
          <cell r="U335">
            <v>4.4909999999999997</v>
          </cell>
          <cell r="V335">
            <v>4.532</v>
          </cell>
          <cell r="W335">
            <v>4.5830000000000002</v>
          </cell>
          <cell r="X335">
            <v>4.7030000000000003</v>
          </cell>
          <cell r="Y335"/>
          <cell r="Z335"/>
          <cell r="AA335"/>
          <cell r="AB335"/>
          <cell r="AC335"/>
          <cell r="AD335"/>
          <cell r="AE335"/>
          <cell r="AF335"/>
          <cell r="AG335"/>
          <cell r="AH335"/>
          <cell r="AI335">
            <v>4.5780000000000003</v>
          </cell>
          <cell r="AJ335">
            <v>4.6970000000000001</v>
          </cell>
          <cell r="AK335">
            <v>4.7309999999999999</v>
          </cell>
          <cell r="AL335">
            <v>4.7679999999999998</v>
          </cell>
          <cell r="AM335">
            <v>4.8570000000000002</v>
          </cell>
          <cell r="AN335"/>
          <cell r="AO335"/>
          <cell r="AP335"/>
          <cell r="AQ335"/>
          <cell r="AR335"/>
          <cell r="AS335"/>
          <cell r="AT335"/>
          <cell r="AU335"/>
          <cell r="AV335"/>
          <cell r="AW335"/>
          <cell r="AX335">
            <v>0.745</v>
          </cell>
          <cell r="AY335">
            <v>4470</v>
          </cell>
          <cell r="AZ335">
            <v>1208</v>
          </cell>
        </row>
        <row r="336">
          <cell r="A336">
            <v>39264</v>
          </cell>
          <cell r="B336">
            <v>4</v>
          </cell>
          <cell r="C336">
            <v>3</v>
          </cell>
          <cell r="D336">
            <v>4.0629999999999997</v>
          </cell>
          <cell r="E336"/>
          <cell r="F336"/>
          <cell r="G336"/>
          <cell r="H336"/>
          <cell r="I336"/>
          <cell r="J336"/>
          <cell r="K336"/>
          <cell r="L336"/>
          <cell r="M336"/>
          <cell r="N336"/>
          <cell r="O336">
            <v>4.1050000000000004</v>
          </cell>
          <cell r="P336">
            <v>4.2160000000000002</v>
          </cell>
          <cell r="Q336">
            <v>4.359</v>
          </cell>
          <cell r="R336">
            <v>4.5640000000000001</v>
          </cell>
          <cell r="S336">
            <v>4.4169999999999998</v>
          </cell>
          <cell r="T336">
            <v>4.4349999999999996</v>
          </cell>
          <cell r="U336">
            <v>4.468</v>
          </cell>
          <cell r="V336">
            <v>4.4880000000000004</v>
          </cell>
          <cell r="W336">
            <v>4.516</v>
          </cell>
          <cell r="X336">
            <v>4.6219999999999999</v>
          </cell>
          <cell r="Y336"/>
          <cell r="Z336"/>
          <cell r="AA336"/>
          <cell r="AB336"/>
          <cell r="AC336"/>
          <cell r="AD336"/>
          <cell r="AE336"/>
          <cell r="AF336"/>
          <cell r="AG336"/>
          <cell r="AH336"/>
          <cell r="AI336">
            <v>4.6310000000000002</v>
          </cell>
          <cell r="AJ336">
            <v>4.7220000000000004</v>
          </cell>
          <cell r="AK336">
            <v>4.7489999999999997</v>
          </cell>
          <cell r="AL336">
            <v>4.7759999999999998</v>
          </cell>
          <cell r="AM336">
            <v>4.8520000000000003</v>
          </cell>
          <cell r="AN336"/>
          <cell r="AO336"/>
          <cell r="AP336"/>
          <cell r="AQ336"/>
          <cell r="AR336"/>
          <cell r="AS336"/>
          <cell r="AT336"/>
          <cell r="AU336"/>
          <cell r="AV336"/>
          <cell r="AW336"/>
          <cell r="AX336">
            <v>0.72899999999999998</v>
          </cell>
          <cell r="AY336">
            <v>4449</v>
          </cell>
          <cell r="AZ336">
            <v>1213</v>
          </cell>
        </row>
        <row r="337">
          <cell r="A337">
            <v>39295</v>
          </cell>
          <cell r="B337">
            <v>4</v>
          </cell>
          <cell r="C337">
            <v>3</v>
          </cell>
          <cell r="D337">
            <v>4.0469999999999997</v>
          </cell>
          <cell r="E337"/>
          <cell r="F337"/>
          <cell r="G337"/>
          <cell r="H337"/>
          <cell r="I337"/>
          <cell r="J337"/>
          <cell r="K337"/>
          <cell r="L337"/>
          <cell r="M337"/>
          <cell r="N337"/>
          <cell r="O337">
            <v>4.3079999999999998</v>
          </cell>
          <cell r="P337">
            <v>4.5439999999999996</v>
          </cell>
          <cell r="Q337">
            <v>4.5940000000000003</v>
          </cell>
          <cell r="R337">
            <v>4.6660000000000004</v>
          </cell>
          <cell r="S337">
            <v>4.2220000000000004</v>
          </cell>
          <cell r="T337">
            <v>4.1159999999999997</v>
          </cell>
          <cell r="U337">
            <v>4.1539999999999999</v>
          </cell>
          <cell r="V337">
            <v>4.1920000000000002</v>
          </cell>
          <cell r="W337">
            <v>4.3029999999999999</v>
          </cell>
          <cell r="X337">
            <v>4.4829999999999997</v>
          </cell>
          <cell r="Y337"/>
          <cell r="Z337"/>
          <cell r="AA337"/>
          <cell r="AB337"/>
          <cell r="AC337"/>
          <cell r="AD337"/>
          <cell r="AE337"/>
          <cell r="AF337"/>
          <cell r="AG337"/>
          <cell r="AH337"/>
          <cell r="AI337">
            <v>4.6239999999999997</v>
          </cell>
          <cell r="AJ337">
            <v>4.5570000000000004</v>
          </cell>
          <cell r="AK337">
            <v>4.5579999999999998</v>
          </cell>
          <cell r="AL337">
            <v>4.577</v>
          </cell>
          <cell r="AM337">
            <v>4.6920000000000002</v>
          </cell>
          <cell r="AN337"/>
          <cell r="AO337"/>
          <cell r="AP337"/>
          <cell r="AQ337"/>
          <cell r="AR337"/>
          <cell r="AS337"/>
          <cell r="AT337"/>
          <cell r="AU337"/>
          <cell r="AV337"/>
          <cell r="AW337"/>
          <cell r="AX337">
            <v>0.73399999999999999</v>
          </cell>
          <cell r="AY337">
            <v>4221</v>
          </cell>
          <cell r="AZ337">
            <v>1158</v>
          </cell>
        </row>
        <row r="338">
          <cell r="A338">
            <v>39326</v>
          </cell>
          <cell r="B338">
            <v>4</v>
          </cell>
          <cell r="C338">
            <v>3</v>
          </cell>
          <cell r="D338">
            <v>4.0289999999999999</v>
          </cell>
          <cell r="E338"/>
          <cell r="F338"/>
          <cell r="G338"/>
          <cell r="H338"/>
          <cell r="I338"/>
          <cell r="J338"/>
          <cell r="K338"/>
          <cell r="L338"/>
          <cell r="M338"/>
          <cell r="N338"/>
          <cell r="O338">
            <v>4.4340000000000002</v>
          </cell>
          <cell r="P338">
            <v>4.742</v>
          </cell>
          <cell r="Q338">
            <v>4.7510000000000003</v>
          </cell>
          <cell r="R338">
            <v>4.7249999999999996</v>
          </cell>
          <cell r="S338">
            <v>4.0739999999999998</v>
          </cell>
          <cell r="T338">
            <v>4.0090000000000003</v>
          </cell>
          <cell r="U338">
            <v>4.0419999999999998</v>
          </cell>
          <cell r="V338">
            <v>4.1070000000000002</v>
          </cell>
          <cell r="W338">
            <v>4.242</v>
          </cell>
          <cell r="X338">
            <v>4.5060000000000002</v>
          </cell>
          <cell r="Y338"/>
          <cell r="Z338"/>
          <cell r="AA338"/>
          <cell r="AB338"/>
          <cell r="AC338"/>
          <cell r="AD338"/>
          <cell r="AE338"/>
          <cell r="AF338"/>
          <cell r="AG338"/>
          <cell r="AH338"/>
          <cell r="AI338">
            <v>4.6550000000000002</v>
          </cell>
          <cell r="AJ338">
            <v>4.4909999999999997</v>
          </cell>
          <cell r="AK338">
            <v>4.4660000000000002</v>
          </cell>
          <cell r="AL338">
            <v>4.484</v>
          </cell>
          <cell r="AM338">
            <v>4.62</v>
          </cell>
          <cell r="AN338"/>
          <cell r="AO338"/>
          <cell r="AP338"/>
          <cell r="AQ338"/>
          <cell r="AR338"/>
          <cell r="AS338"/>
          <cell r="AT338"/>
          <cell r="AU338"/>
          <cell r="AV338"/>
          <cell r="AW338"/>
          <cell r="AX338">
            <v>0.71899999999999997</v>
          </cell>
          <cell r="AY338">
            <v>4284</v>
          </cell>
          <cell r="AZ338">
            <v>1250</v>
          </cell>
        </row>
        <row r="339">
          <cell r="A339">
            <v>39356</v>
          </cell>
          <cell r="B339">
            <v>4</v>
          </cell>
          <cell r="C339">
            <v>3</v>
          </cell>
          <cell r="D339">
            <v>3.9409999999999998</v>
          </cell>
          <cell r="E339"/>
          <cell r="F339"/>
          <cell r="G339"/>
          <cell r="H339"/>
          <cell r="I339"/>
          <cell r="J339"/>
          <cell r="K339"/>
          <cell r="L339"/>
          <cell r="M339"/>
          <cell r="N339"/>
          <cell r="O339">
            <v>4.2359999999999998</v>
          </cell>
          <cell r="P339">
            <v>4.6870000000000003</v>
          </cell>
          <cell r="Q339">
            <v>4.6630000000000003</v>
          </cell>
          <cell r="R339">
            <v>4.6470000000000002</v>
          </cell>
          <cell r="S339">
            <v>4.0819999999999999</v>
          </cell>
          <cell r="T339">
            <v>4.0369999999999999</v>
          </cell>
          <cell r="U339">
            <v>4.1079999999999997</v>
          </cell>
          <cell r="V339">
            <v>4.1500000000000004</v>
          </cell>
          <cell r="W339">
            <v>4.2930000000000001</v>
          </cell>
          <cell r="X339">
            <v>4.54</v>
          </cell>
          <cell r="Y339"/>
          <cell r="Z339"/>
          <cell r="AA339"/>
          <cell r="AB339"/>
          <cell r="AC339"/>
          <cell r="AD339"/>
          <cell r="AE339"/>
          <cell r="AF339"/>
          <cell r="AG339"/>
          <cell r="AH339"/>
          <cell r="AI339">
            <v>4.6379999999999999</v>
          </cell>
          <cell r="AJ339">
            <v>4.516</v>
          </cell>
          <cell r="AK339">
            <v>4.4950000000000001</v>
          </cell>
          <cell r="AL339">
            <v>4.508</v>
          </cell>
          <cell r="AM339">
            <v>4.6420000000000003</v>
          </cell>
          <cell r="AN339"/>
          <cell r="AO339"/>
          <cell r="AP339"/>
          <cell r="AQ339"/>
          <cell r="AR339"/>
          <cell r="AS339"/>
          <cell r="AT339"/>
          <cell r="AU339"/>
          <cell r="AV339"/>
          <cell r="AW339"/>
          <cell r="AX339">
            <v>0.70299999999999996</v>
          </cell>
          <cell r="AY339">
            <v>4431</v>
          </cell>
          <cell r="AZ339">
            <v>1264</v>
          </cell>
        </row>
        <row r="340">
          <cell r="A340">
            <v>39387</v>
          </cell>
          <cell r="B340">
            <v>4</v>
          </cell>
          <cell r="C340">
            <v>3</v>
          </cell>
          <cell r="D340">
            <v>4.0220000000000002</v>
          </cell>
          <cell r="E340"/>
          <cell r="F340"/>
          <cell r="G340"/>
          <cell r="H340"/>
          <cell r="I340"/>
          <cell r="J340"/>
          <cell r="K340"/>
          <cell r="L340"/>
          <cell r="M340"/>
          <cell r="N340"/>
          <cell r="O340">
            <v>4.2160000000000002</v>
          </cell>
          <cell r="P340">
            <v>4.6390000000000002</v>
          </cell>
          <cell r="Q340">
            <v>4.63</v>
          </cell>
          <cell r="R340">
            <v>4.6070000000000002</v>
          </cell>
          <cell r="S340">
            <v>4.0460000000000003</v>
          </cell>
          <cell r="T340">
            <v>3.8010000000000002</v>
          </cell>
          <cell r="U340">
            <v>3.87</v>
          </cell>
          <cell r="V340">
            <v>3.9039999999999999</v>
          </cell>
          <cell r="W340">
            <v>4.0999999999999996</v>
          </cell>
          <cell r="X340">
            <v>4.4630000000000001</v>
          </cell>
          <cell r="Y340"/>
          <cell r="Z340"/>
          <cell r="AA340"/>
          <cell r="AB340"/>
          <cell r="AC340"/>
          <cell r="AD340"/>
          <cell r="AE340"/>
          <cell r="AF340"/>
          <cell r="AG340"/>
          <cell r="AH340"/>
          <cell r="AI340">
            <v>4.5570000000000004</v>
          </cell>
          <cell r="AJ340">
            <v>4.3949999999999996</v>
          </cell>
          <cell r="AK340">
            <v>4.3630000000000004</v>
          </cell>
          <cell r="AL340">
            <v>4.375</v>
          </cell>
          <cell r="AM340">
            <v>4.5389999999999997</v>
          </cell>
          <cell r="AN340"/>
          <cell r="AO340"/>
          <cell r="AP340"/>
          <cell r="AQ340"/>
          <cell r="AR340"/>
          <cell r="AS340"/>
          <cell r="AT340"/>
          <cell r="AU340"/>
          <cell r="AV340"/>
          <cell r="AW340"/>
          <cell r="AX340">
            <v>0.68100000000000005</v>
          </cell>
          <cell r="AY340">
            <v>4315</v>
          </cell>
          <cell r="AZ340">
            <v>1297</v>
          </cell>
        </row>
        <row r="341">
          <cell r="A341">
            <v>39417</v>
          </cell>
          <cell r="B341">
            <v>4</v>
          </cell>
          <cell r="C341">
            <v>3</v>
          </cell>
          <cell r="D341">
            <v>3.879</v>
          </cell>
          <cell r="E341"/>
          <cell r="F341"/>
          <cell r="G341"/>
          <cell r="H341"/>
          <cell r="I341"/>
          <cell r="J341"/>
          <cell r="K341"/>
          <cell r="L341"/>
          <cell r="M341"/>
          <cell r="N341"/>
          <cell r="O341">
            <v>4.7110000000000003</v>
          </cell>
          <cell r="P341">
            <v>4.8479999999999999</v>
          </cell>
          <cell r="Q341">
            <v>4.819</v>
          </cell>
          <cell r="R341">
            <v>4.7930000000000001</v>
          </cell>
          <cell r="S341">
            <v>4.08</v>
          </cell>
          <cell r="T341">
            <v>3.9430000000000001</v>
          </cell>
          <cell r="U341">
            <v>3.9649999999999999</v>
          </cell>
          <cell r="V341">
            <v>4.0430000000000001</v>
          </cell>
          <cell r="W341">
            <v>4.2430000000000003</v>
          </cell>
          <cell r="X341">
            <v>4.5810000000000004</v>
          </cell>
          <cell r="Y341"/>
          <cell r="Z341"/>
          <cell r="AA341"/>
          <cell r="AB341"/>
          <cell r="AC341"/>
          <cell r="AD341"/>
          <cell r="AE341"/>
          <cell r="AF341"/>
          <cell r="AG341"/>
          <cell r="AH341"/>
          <cell r="AI341">
            <v>4.7560000000000002</v>
          </cell>
          <cell r="AJ341">
            <v>4.5540000000000003</v>
          </cell>
          <cell r="AK341">
            <v>4.5019999999999998</v>
          </cell>
          <cell r="AL341">
            <v>4.5090000000000003</v>
          </cell>
          <cell r="AM341">
            <v>4.6660000000000004</v>
          </cell>
          <cell r="AN341"/>
          <cell r="AO341"/>
          <cell r="AP341"/>
          <cell r="AQ341"/>
          <cell r="AR341"/>
          <cell r="AS341"/>
          <cell r="AT341"/>
          <cell r="AU341"/>
          <cell r="AV341"/>
          <cell r="AW341"/>
          <cell r="AX341">
            <v>0.68700000000000006</v>
          </cell>
          <cell r="AY341">
            <v>4386</v>
          </cell>
          <cell r="AZ341">
            <v>1511</v>
          </cell>
        </row>
        <row r="342">
          <cell r="A342">
            <v>39448</v>
          </cell>
          <cell r="B342">
            <v>4</v>
          </cell>
          <cell r="C342">
            <v>3</v>
          </cell>
          <cell r="D342">
            <v>4.0220000000000002</v>
          </cell>
          <cell r="E342"/>
          <cell r="F342"/>
          <cell r="G342"/>
          <cell r="H342"/>
          <cell r="I342"/>
          <cell r="J342"/>
          <cell r="K342"/>
          <cell r="L342"/>
          <cell r="M342"/>
          <cell r="N342"/>
          <cell r="O342">
            <v>4.1970000000000001</v>
          </cell>
          <cell r="P342">
            <v>4.4820000000000002</v>
          </cell>
          <cell r="Q342">
            <v>4.5010000000000003</v>
          </cell>
          <cell r="R342">
            <v>4.4980000000000002</v>
          </cell>
          <cell r="S342">
            <v>3.8820000000000001</v>
          </cell>
          <cell r="T342">
            <v>3.5939999999999999</v>
          </cell>
          <cell r="U342">
            <v>3.6779999999999999</v>
          </cell>
          <cell r="V342">
            <v>3.7320000000000002</v>
          </cell>
          <cell r="W342">
            <v>4.0449999999999999</v>
          </cell>
          <cell r="X342">
            <v>4.4870000000000001</v>
          </cell>
          <cell r="Y342"/>
          <cell r="Z342"/>
          <cell r="AA342"/>
          <cell r="AB342"/>
          <cell r="AC342"/>
          <cell r="AD342"/>
          <cell r="AE342"/>
          <cell r="AF342"/>
          <cell r="AG342"/>
          <cell r="AH342"/>
          <cell r="AI342">
            <v>4.4130000000000003</v>
          </cell>
          <cell r="AJ342">
            <v>4.165</v>
          </cell>
          <cell r="AK342">
            <v>4.1369999999999996</v>
          </cell>
          <cell r="AL342">
            <v>4.2030000000000003</v>
          </cell>
          <cell r="AM342">
            <v>4.4610000000000003</v>
          </cell>
          <cell r="AN342"/>
          <cell r="AO342"/>
          <cell r="AP342"/>
          <cell r="AQ342"/>
          <cell r="AR342"/>
          <cell r="AS342"/>
          <cell r="AT342"/>
          <cell r="AU342"/>
          <cell r="AV342"/>
          <cell r="AW342"/>
          <cell r="AX342">
            <v>0.68</v>
          </cell>
          <cell r="AY342">
            <v>4042</v>
          </cell>
          <cell r="AZ342">
            <v>1338</v>
          </cell>
        </row>
        <row r="343">
          <cell r="A343">
            <v>39479</v>
          </cell>
          <cell r="B343">
            <v>4</v>
          </cell>
          <cell r="C343">
            <v>3</v>
          </cell>
          <cell r="D343">
            <v>4.0279999999999996</v>
          </cell>
          <cell r="E343"/>
          <cell r="F343"/>
          <cell r="G343"/>
          <cell r="H343"/>
          <cell r="I343"/>
          <cell r="J343"/>
          <cell r="K343"/>
          <cell r="L343"/>
          <cell r="M343"/>
          <cell r="N343"/>
          <cell r="O343">
            <v>4.1820000000000004</v>
          </cell>
          <cell r="P343">
            <v>4.3620000000000001</v>
          </cell>
          <cell r="Q343">
            <v>4.3559999999999999</v>
          </cell>
          <cell r="R343">
            <v>4.3490000000000002</v>
          </cell>
          <cell r="S343">
            <v>3.6560000000000001</v>
          </cell>
          <cell r="T343">
            <v>3.2330000000000001</v>
          </cell>
          <cell r="U343">
            <v>3.3580000000000001</v>
          </cell>
          <cell r="V343">
            <v>3.48</v>
          </cell>
          <cell r="W343">
            <v>3.9620000000000002</v>
          </cell>
          <cell r="X343">
            <v>4.4779999999999998</v>
          </cell>
          <cell r="Y343"/>
          <cell r="Z343"/>
          <cell r="AA343"/>
          <cell r="AB343"/>
          <cell r="AC343"/>
          <cell r="AD343"/>
          <cell r="AE343"/>
          <cell r="AF343"/>
          <cell r="AG343"/>
          <cell r="AH343"/>
          <cell r="AI343">
            <v>4.1550000000000002</v>
          </cell>
          <cell r="AJ343">
            <v>3.8889999999999998</v>
          </cell>
          <cell r="AK343">
            <v>3.8929999999999998</v>
          </cell>
          <cell r="AL343">
            <v>4.016</v>
          </cell>
          <cell r="AM343">
            <v>4.3959999999999999</v>
          </cell>
          <cell r="AN343"/>
          <cell r="AO343"/>
          <cell r="AP343"/>
          <cell r="AQ343"/>
          <cell r="AR343"/>
          <cell r="AS343"/>
          <cell r="AT343"/>
          <cell r="AU343"/>
          <cell r="AV343"/>
          <cell r="AW343"/>
          <cell r="AX343">
            <v>0.67800000000000005</v>
          </cell>
          <cell r="AY343">
            <v>3777</v>
          </cell>
          <cell r="AZ343">
            <v>1337</v>
          </cell>
        </row>
        <row r="344">
          <cell r="A344">
            <v>39508</v>
          </cell>
          <cell r="B344">
            <v>4</v>
          </cell>
          <cell r="C344">
            <v>3</v>
          </cell>
          <cell r="D344">
            <v>4.0910000000000002</v>
          </cell>
          <cell r="E344"/>
          <cell r="F344"/>
          <cell r="G344"/>
          <cell r="H344"/>
          <cell r="I344"/>
          <cell r="J344"/>
          <cell r="K344"/>
          <cell r="L344"/>
          <cell r="M344"/>
          <cell r="N344"/>
          <cell r="O344">
            <v>4.3049999999999997</v>
          </cell>
          <cell r="P344">
            <v>4.5960000000000001</v>
          </cell>
          <cell r="Q344">
            <v>4.593</v>
          </cell>
          <cell r="R344">
            <v>4.59</v>
          </cell>
          <cell r="S344">
            <v>3.6930000000000001</v>
          </cell>
          <cell r="T344">
            <v>3.2869999999999999</v>
          </cell>
          <cell r="U344">
            <v>3.323</v>
          </cell>
          <cell r="V344">
            <v>3.44</v>
          </cell>
          <cell r="W344">
            <v>3.8050000000000002</v>
          </cell>
          <cell r="X344">
            <v>4.4710000000000001</v>
          </cell>
          <cell r="Y344"/>
          <cell r="Z344"/>
          <cell r="AA344"/>
          <cell r="AB344"/>
          <cell r="AC344"/>
          <cell r="AD344"/>
          <cell r="AE344"/>
          <cell r="AF344"/>
          <cell r="AG344"/>
          <cell r="AH344"/>
          <cell r="AI344">
            <v>4.3860000000000001</v>
          </cell>
          <cell r="AJ344">
            <v>4.0609999999999999</v>
          </cell>
          <cell r="AK344">
            <v>3.9969999999999999</v>
          </cell>
          <cell r="AL344">
            <v>4.0380000000000003</v>
          </cell>
          <cell r="AM344">
            <v>4.3470000000000004</v>
          </cell>
          <cell r="AN344"/>
          <cell r="AO344"/>
          <cell r="AP344"/>
          <cell r="AQ344"/>
          <cell r="AR344"/>
          <cell r="AS344"/>
          <cell r="AT344"/>
          <cell r="AU344"/>
          <cell r="AV344"/>
          <cell r="AW344"/>
          <cell r="AX344">
            <v>0.64400000000000002</v>
          </cell>
          <cell r="AY344">
            <v>3587</v>
          </cell>
          <cell r="AZ344">
            <v>1391</v>
          </cell>
        </row>
        <row r="345">
          <cell r="A345">
            <v>39539</v>
          </cell>
          <cell r="B345">
            <v>4</v>
          </cell>
          <cell r="C345">
            <v>3</v>
          </cell>
          <cell r="D345">
            <v>3.9870000000000001</v>
          </cell>
          <cell r="E345"/>
          <cell r="F345"/>
          <cell r="G345"/>
          <cell r="H345"/>
          <cell r="I345"/>
          <cell r="J345"/>
          <cell r="K345"/>
          <cell r="L345"/>
          <cell r="M345"/>
          <cell r="N345"/>
          <cell r="O345">
            <v>4.3689999999999998</v>
          </cell>
          <cell r="P345">
            <v>4.7839999999999998</v>
          </cell>
          <cell r="Q345">
            <v>4.7949999999999999</v>
          </cell>
          <cell r="R345">
            <v>4.82</v>
          </cell>
          <cell r="S345">
            <v>3.9390000000000001</v>
          </cell>
          <cell r="T345">
            <v>3.6440000000000001</v>
          </cell>
          <cell r="U345">
            <v>3.6970000000000001</v>
          </cell>
          <cell r="V345">
            <v>3.7679999999999998</v>
          </cell>
          <cell r="W345">
            <v>4.0529999999999999</v>
          </cell>
          <cell r="X345">
            <v>4.5979999999999999</v>
          </cell>
          <cell r="Y345"/>
          <cell r="Z345"/>
          <cell r="AA345"/>
          <cell r="AB345"/>
          <cell r="AC345"/>
          <cell r="AD345"/>
          <cell r="AE345"/>
          <cell r="AF345"/>
          <cell r="AG345"/>
          <cell r="AH345"/>
          <cell r="AI345">
            <v>4.7160000000000002</v>
          </cell>
          <cell r="AJ345">
            <v>4.4279999999999999</v>
          </cell>
          <cell r="AK345">
            <v>4.3380000000000001</v>
          </cell>
          <cell r="AL345">
            <v>4.3090000000000002</v>
          </cell>
          <cell r="AM345">
            <v>4.5359999999999996</v>
          </cell>
          <cell r="AN345"/>
          <cell r="AO345"/>
          <cell r="AP345"/>
          <cell r="AQ345"/>
          <cell r="AR345"/>
          <cell r="AS345"/>
          <cell r="AT345"/>
          <cell r="AU345"/>
          <cell r="AV345"/>
          <cell r="AW345"/>
          <cell r="AX345">
            <v>0.63400000000000001</v>
          </cell>
          <cell r="AY345">
            <v>3768</v>
          </cell>
          <cell r="AZ345">
            <v>1406</v>
          </cell>
        </row>
        <row r="346">
          <cell r="A346">
            <v>39569</v>
          </cell>
          <cell r="B346">
            <v>4</v>
          </cell>
          <cell r="C346">
            <v>3</v>
          </cell>
          <cell r="D346">
            <v>4.01</v>
          </cell>
          <cell r="E346"/>
          <cell r="F346"/>
          <cell r="G346"/>
          <cell r="H346"/>
          <cell r="I346"/>
          <cell r="J346"/>
          <cell r="K346"/>
          <cell r="L346"/>
          <cell r="M346"/>
          <cell r="N346"/>
          <cell r="O346">
            <v>4.3869999999999996</v>
          </cell>
          <cell r="P346">
            <v>4.8570000000000002</v>
          </cell>
          <cell r="Q346">
            <v>4.8970000000000002</v>
          </cell>
          <cell r="R346">
            <v>4.9939999999999998</v>
          </cell>
          <cell r="S346">
            <v>4.1040000000000001</v>
          </cell>
          <cell r="T346">
            <v>3.9849999999999999</v>
          </cell>
          <cell r="U346">
            <v>3.9569999999999999</v>
          </cell>
          <cell r="V346">
            <v>4.024</v>
          </cell>
          <cell r="W346">
            <v>4.2050000000000001</v>
          </cell>
          <cell r="X346">
            <v>4.6740000000000004</v>
          </cell>
          <cell r="Y346"/>
          <cell r="Z346"/>
          <cell r="AA346"/>
          <cell r="AB346"/>
          <cell r="AC346"/>
          <cell r="AD346"/>
          <cell r="AE346"/>
          <cell r="AF346"/>
          <cell r="AG346"/>
          <cell r="AH346"/>
          <cell r="AI346">
            <v>4.9269999999999996</v>
          </cell>
          <cell r="AJ346">
            <v>4.6879999999999997</v>
          </cell>
          <cell r="AK346">
            <v>4.5650000000000004</v>
          </cell>
          <cell r="AL346">
            <v>4.4809999999999999</v>
          </cell>
          <cell r="AM346">
            <v>4.641</v>
          </cell>
          <cell r="AN346"/>
          <cell r="AO346"/>
          <cell r="AP346"/>
          <cell r="AQ346"/>
          <cell r="AR346"/>
          <cell r="AS346"/>
          <cell r="AT346"/>
          <cell r="AU346"/>
          <cell r="AV346"/>
          <cell r="AW346"/>
          <cell r="AX346">
            <v>0.64300000000000002</v>
          </cell>
          <cell r="AY346">
            <v>3813</v>
          </cell>
          <cell r="AZ346">
            <v>1423</v>
          </cell>
        </row>
        <row r="347">
          <cell r="A347">
            <v>39600</v>
          </cell>
          <cell r="B347">
            <v>4</v>
          </cell>
          <cell r="C347">
            <v>3</v>
          </cell>
          <cell r="D347">
            <v>4.0069999999999997</v>
          </cell>
          <cell r="E347"/>
          <cell r="F347"/>
          <cell r="G347"/>
          <cell r="H347"/>
          <cell r="I347"/>
          <cell r="J347"/>
          <cell r="K347"/>
          <cell r="L347"/>
          <cell r="M347"/>
          <cell r="N347"/>
          <cell r="O347">
            <v>4.4720000000000004</v>
          </cell>
          <cell r="P347">
            <v>4.9409999999999998</v>
          </cell>
          <cell r="Q347">
            <v>5.0880000000000001</v>
          </cell>
          <cell r="R347">
            <v>5.3609999999999998</v>
          </cell>
          <cell r="S347">
            <v>4.5460000000000003</v>
          </cell>
          <cell r="T347">
            <v>4.5640000000000001</v>
          </cell>
          <cell r="U347">
            <v>4.5259999999999998</v>
          </cell>
          <cell r="V347">
            <v>4.5469999999999997</v>
          </cell>
          <cell r="W347">
            <v>4.5469999999999997</v>
          </cell>
          <cell r="X347">
            <v>4.7850000000000001</v>
          </cell>
          <cell r="Y347"/>
          <cell r="Z347"/>
          <cell r="AA347"/>
          <cell r="AB347"/>
          <cell r="AC347"/>
          <cell r="AD347"/>
          <cell r="AE347"/>
          <cell r="AF347"/>
          <cell r="AG347"/>
          <cell r="AH347"/>
          <cell r="AI347">
            <v>5.343</v>
          </cell>
          <cell r="AJ347">
            <v>5.3040000000000003</v>
          </cell>
          <cell r="AK347">
            <v>5.2160000000000002</v>
          </cell>
          <cell r="AL347">
            <v>5.0389999999999997</v>
          </cell>
          <cell r="AM347">
            <v>4.9580000000000002</v>
          </cell>
          <cell r="AN347"/>
          <cell r="AO347"/>
          <cell r="AP347"/>
          <cell r="AQ347"/>
          <cell r="AR347"/>
          <cell r="AS347"/>
          <cell r="AT347"/>
          <cell r="AU347"/>
          <cell r="AV347"/>
          <cell r="AW347"/>
          <cell r="AX347">
            <v>0.64200000000000002</v>
          </cell>
          <cell r="AY347">
            <v>3528</v>
          </cell>
          <cell r="AZ347">
            <v>1463</v>
          </cell>
        </row>
        <row r="348">
          <cell r="A348">
            <v>39630</v>
          </cell>
          <cell r="B348">
            <v>4.25</v>
          </cell>
          <cell r="C348">
            <v>3.25</v>
          </cell>
          <cell r="D348">
            <v>4.1909999999999998</v>
          </cell>
          <cell r="E348"/>
          <cell r="F348"/>
          <cell r="G348"/>
          <cell r="H348"/>
          <cell r="I348"/>
          <cell r="J348"/>
          <cell r="K348"/>
          <cell r="L348"/>
          <cell r="M348"/>
          <cell r="N348"/>
          <cell r="O348">
            <v>4.4720000000000004</v>
          </cell>
          <cell r="P348">
            <v>4.9610000000000003</v>
          </cell>
          <cell r="Q348">
            <v>5.1479999999999997</v>
          </cell>
          <cell r="R348">
            <v>5.3929999999999998</v>
          </cell>
          <cell r="S348">
            <v>4.5220000000000002</v>
          </cell>
          <cell r="T348">
            <v>4.4320000000000004</v>
          </cell>
          <cell r="U348">
            <v>4.4210000000000003</v>
          </cell>
          <cell r="V348">
            <v>4.4770000000000003</v>
          </cell>
          <cell r="W348">
            <v>4.4980000000000002</v>
          </cell>
          <cell r="X348">
            <v>4.7839999999999998</v>
          </cell>
          <cell r="Y348"/>
          <cell r="Z348"/>
          <cell r="AA348"/>
          <cell r="AB348"/>
          <cell r="AC348"/>
          <cell r="AD348"/>
          <cell r="AE348"/>
          <cell r="AF348"/>
          <cell r="AG348"/>
          <cell r="AH348"/>
          <cell r="AI348">
            <v>5.2679999999999998</v>
          </cell>
          <cell r="AJ348">
            <v>5.181</v>
          </cell>
          <cell r="AK348">
            <v>5.1289999999999996</v>
          </cell>
          <cell r="AL348">
            <v>5.0279999999999996</v>
          </cell>
          <cell r="AM348">
            <v>4.9770000000000003</v>
          </cell>
          <cell r="AN348"/>
          <cell r="AO348"/>
          <cell r="AP348"/>
          <cell r="AQ348"/>
          <cell r="AR348"/>
          <cell r="AS348"/>
          <cell r="AT348"/>
          <cell r="AU348"/>
          <cell r="AV348"/>
          <cell r="AW348"/>
          <cell r="AX348">
            <v>0.63400000000000001</v>
          </cell>
          <cell r="AY348">
            <v>3299</v>
          </cell>
          <cell r="AZ348">
            <v>1451</v>
          </cell>
        </row>
        <row r="349">
          <cell r="A349">
            <v>39661</v>
          </cell>
          <cell r="B349">
            <v>4.25</v>
          </cell>
          <cell r="C349">
            <v>3.25</v>
          </cell>
          <cell r="D349">
            <v>4.2990000000000004</v>
          </cell>
          <cell r="E349"/>
          <cell r="F349"/>
          <cell r="G349"/>
          <cell r="H349"/>
          <cell r="I349"/>
          <cell r="J349"/>
          <cell r="K349"/>
          <cell r="L349"/>
          <cell r="M349"/>
          <cell r="N349"/>
          <cell r="O349">
            <v>4.4870000000000001</v>
          </cell>
          <cell r="P349">
            <v>4.9649999999999999</v>
          </cell>
          <cell r="Q349">
            <v>5.16</v>
          </cell>
          <cell r="R349">
            <v>5.3230000000000004</v>
          </cell>
          <cell r="S349">
            <v>4.3940000000000001</v>
          </cell>
          <cell r="T349">
            <v>4.0890000000000004</v>
          </cell>
          <cell r="U349">
            <v>4.0380000000000003</v>
          </cell>
          <cell r="V349">
            <v>4.077</v>
          </cell>
          <cell r="W349">
            <v>4.2149999999999999</v>
          </cell>
          <cell r="X349">
            <v>4.6239999999999997</v>
          </cell>
          <cell r="Y349"/>
          <cell r="Z349"/>
          <cell r="AA349"/>
          <cell r="AB349"/>
          <cell r="AC349"/>
          <cell r="AD349"/>
          <cell r="AE349"/>
          <cell r="AF349"/>
          <cell r="AG349"/>
          <cell r="AH349"/>
          <cell r="AI349">
            <v>5.1050000000000004</v>
          </cell>
          <cell r="AJ349">
            <v>4.8220000000000001</v>
          </cell>
          <cell r="AK349">
            <v>4.7270000000000003</v>
          </cell>
          <cell r="AL349">
            <v>4.6529999999999996</v>
          </cell>
          <cell r="AM349">
            <v>4.7220000000000004</v>
          </cell>
          <cell r="AN349"/>
          <cell r="AO349"/>
          <cell r="AP349"/>
          <cell r="AQ349"/>
          <cell r="AR349"/>
          <cell r="AS349"/>
          <cell r="AT349"/>
          <cell r="AU349"/>
          <cell r="AV349"/>
          <cell r="AW349"/>
          <cell r="AX349">
            <v>0.66900000000000004</v>
          </cell>
          <cell r="AY349">
            <v>3346</v>
          </cell>
          <cell r="AZ349">
            <v>1449</v>
          </cell>
        </row>
        <row r="350">
          <cell r="A350">
            <v>39692</v>
          </cell>
          <cell r="B350">
            <v>4.25</v>
          </cell>
          <cell r="C350">
            <v>3.25</v>
          </cell>
          <cell r="D350">
            <v>4.2729999999999997</v>
          </cell>
          <cell r="E350"/>
          <cell r="F350"/>
          <cell r="G350"/>
          <cell r="H350"/>
          <cell r="I350"/>
          <cell r="J350"/>
          <cell r="K350"/>
          <cell r="L350"/>
          <cell r="M350"/>
          <cell r="N350"/>
          <cell r="O350">
            <v>4.66</v>
          </cell>
          <cell r="P350">
            <v>5.0190000000000001</v>
          </cell>
          <cell r="Q350">
            <v>5.2190000000000003</v>
          </cell>
          <cell r="R350">
            <v>5.3840000000000003</v>
          </cell>
          <cell r="S350">
            <v>4.1360000000000001</v>
          </cell>
          <cell r="T350">
            <v>3.8679999999999999</v>
          </cell>
          <cell r="U350">
            <v>3.843</v>
          </cell>
          <cell r="V350">
            <v>3.9180000000000001</v>
          </cell>
          <cell r="W350">
            <v>4.1029999999999998</v>
          </cell>
          <cell r="X350">
            <v>4.6449999999999996</v>
          </cell>
          <cell r="Y350"/>
          <cell r="Z350"/>
          <cell r="AA350"/>
          <cell r="AB350"/>
          <cell r="AC350"/>
          <cell r="AD350"/>
          <cell r="AE350"/>
          <cell r="AF350"/>
          <cell r="AG350"/>
          <cell r="AH350"/>
          <cell r="AI350">
            <v>5.1109999999999998</v>
          </cell>
          <cell r="AJ350">
            <v>4.7880000000000003</v>
          </cell>
          <cell r="AK350">
            <v>4.7229999999999999</v>
          </cell>
          <cell r="AL350">
            <v>4.6719999999999997</v>
          </cell>
          <cell r="AM350">
            <v>4.7300000000000004</v>
          </cell>
          <cell r="AN350"/>
          <cell r="AO350"/>
          <cell r="AP350"/>
          <cell r="AQ350"/>
          <cell r="AR350"/>
          <cell r="AS350"/>
          <cell r="AT350"/>
          <cell r="AU350"/>
          <cell r="AV350"/>
          <cell r="AW350"/>
          <cell r="AX350">
            <v>0.69599999999999995</v>
          </cell>
          <cell r="AY350">
            <v>3194</v>
          </cell>
          <cell r="AZ350">
            <v>1519</v>
          </cell>
        </row>
        <row r="351">
          <cell r="A351">
            <v>39722</v>
          </cell>
          <cell r="B351">
            <v>3.75</v>
          </cell>
          <cell r="C351">
            <v>3.25</v>
          </cell>
          <cell r="D351">
            <v>3.82</v>
          </cell>
          <cell r="E351"/>
          <cell r="F351"/>
          <cell r="G351"/>
          <cell r="H351"/>
          <cell r="I351"/>
          <cell r="J351"/>
          <cell r="K351"/>
          <cell r="L351"/>
          <cell r="M351"/>
          <cell r="N351"/>
          <cell r="O351">
            <v>4.8310000000000004</v>
          </cell>
          <cell r="P351">
            <v>5.1130000000000004</v>
          </cell>
          <cell r="Q351">
            <v>5.1779999999999999</v>
          </cell>
          <cell r="R351">
            <v>5.2480000000000002</v>
          </cell>
          <cell r="S351">
            <v>2.7229999999999999</v>
          </cell>
          <cell r="T351">
            <v>2.9340000000000002</v>
          </cell>
          <cell r="U351">
            <v>3.1560000000000001</v>
          </cell>
          <cell r="V351">
            <v>3.456</v>
          </cell>
          <cell r="W351">
            <v>3.899</v>
          </cell>
          <cell r="X351">
            <v>4.3789999999999996</v>
          </cell>
          <cell r="Y351"/>
          <cell r="Z351"/>
          <cell r="AA351"/>
          <cell r="AB351"/>
          <cell r="AC351"/>
          <cell r="AD351"/>
          <cell r="AE351"/>
          <cell r="AF351"/>
          <cell r="AG351"/>
          <cell r="AH351"/>
          <cell r="AI351">
            <v>4.4290000000000003</v>
          </cell>
          <cell r="AJ351">
            <v>4.0810000000000004</v>
          </cell>
          <cell r="AK351">
            <v>4.16</v>
          </cell>
          <cell r="AL351">
            <v>4.2880000000000003</v>
          </cell>
          <cell r="AM351">
            <v>4.5049999999999999</v>
          </cell>
          <cell r="AN351"/>
          <cell r="AO351"/>
          <cell r="AP351"/>
          <cell r="AQ351"/>
          <cell r="AR351"/>
          <cell r="AS351"/>
          <cell r="AT351"/>
          <cell r="AU351"/>
          <cell r="AV351"/>
          <cell r="AW351"/>
          <cell r="AX351">
            <v>0.754</v>
          </cell>
          <cell r="AY351">
            <v>2627</v>
          </cell>
          <cell r="AZ351">
            <v>2031</v>
          </cell>
        </row>
        <row r="352">
          <cell r="A352">
            <v>39753</v>
          </cell>
          <cell r="B352">
            <v>3.25</v>
          </cell>
          <cell r="C352">
            <v>2.75</v>
          </cell>
          <cell r="D352">
            <v>3.15</v>
          </cell>
          <cell r="E352"/>
          <cell r="F352"/>
          <cell r="G352"/>
          <cell r="H352"/>
          <cell r="I352"/>
          <cell r="J352"/>
          <cell r="K352"/>
          <cell r="L352"/>
          <cell r="M352"/>
          <cell r="N352"/>
          <cell r="O352">
            <v>3.843</v>
          </cell>
          <cell r="P352">
            <v>4.2380000000000004</v>
          </cell>
          <cell r="Q352">
            <v>4.2949999999999999</v>
          </cell>
          <cell r="R352">
            <v>4.3499999999999996</v>
          </cell>
          <cell r="S352">
            <v>2.1579999999999999</v>
          </cell>
          <cell r="T352">
            <v>2.286</v>
          </cell>
          <cell r="U352">
            <v>2.456</v>
          </cell>
          <cell r="V352">
            <v>2.8370000000000002</v>
          </cell>
          <cell r="W352">
            <v>3.5670000000000002</v>
          </cell>
          <cell r="X352">
            <v>4.149</v>
          </cell>
          <cell r="Y352"/>
          <cell r="Z352"/>
          <cell r="AA352"/>
          <cell r="AB352"/>
          <cell r="AC352"/>
          <cell r="AD352"/>
          <cell r="AE352"/>
          <cell r="AF352"/>
          <cell r="AG352"/>
          <cell r="AH352"/>
          <cell r="AI352">
            <v>3.6019999999999999</v>
          </cell>
          <cell r="AJ352">
            <v>3.3580000000000001</v>
          </cell>
          <cell r="AK352">
            <v>3.4729999999999999</v>
          </cell>
          <cell r="AL352">
            <v>3.6920000000000002</v>
          </cell>
          <cell r="AM352">
            <v>4.1520000000000001</v>
          </cell>
          <cell r="AN352"/>
          <cell r="AO352"/>
          <cell r="AP352"/>
          <cell r="AQ352"/>
          <cell r="AR352"/>
          <cell r="AS352"/>
          <cell r="AT352"/>
          <cell r="AU352"/>
          <cell r="AV352"/>
          <cell r="AW352"/>
          <cell r="AX352">
            <v>0.78600000000000003</v>
          </cell>
          <cell r="AY352">
            <v>2453</v>
          </cell>
          <cell r="AZ352">
            <v>1979</v>
          </cell>
        </row>
        <row r="353">
          <cell r="A353">
            <v>39783</v>
          </cell>
          <cell r="B353">
            <v>2.5</v>
          </cell>
          <cell r="C353">
            <v>2</v>
          </cell>
          <cell r="D353">
            <v>2.4860000000000002</v>
          </cell>
          <cell r="E353"/>
          <cell r="F353"/>
          <cell r="G353"/>
          <cell r="H353"/>
          <cell r="I353"/>
          <cell r="J353"/>
          <cell r="K353"/>
          <cell r="L353"/>
          <cell r="M353"/>
          <cell r="N353"/>
          <cell r="O353">
            <v>2.9929999999999999</v>
          </cell>
          <cell r="P353">
            <v>3.2930000000000001</v>
          </cell>
          <cell r="Q353">
            <v>3.3650000000000002</v>
          </cell>
          <cell r="R353">
            <v>3.452</v>
          </cell>
          <cell r="S353">
            <v>1.883</v>
          </cell>
          <cell r="T353">
            <v>1.982</v>
          </cell>
          <cell r="U353">
            <v>2.073</v>
          </cell>
          <cell r="V353">
            <v>2.504</v>
          </cell>
          <cell r="W353">
            <v>3.056</v>
          </cell>
          <cell r="X353">
            <v>3.5609999999999999</v>
          </cell>
          <cell r="Y353"/>
          <cell r="Z353"/>
          <cell r="AA353"/>
          <cell r="AB353"/>
          <cell r="AC353"/>
          <cell r="AD353"/>
          <cell r="AE353"/>
          <cell r="AF353"/>
          <cell r="AG353"/>
          <cell r="AH353"/>
          <cell r="AI353">
            <v>2.9670000000000001</v>
          </cell>
          <cell r="AJ353">
            <v>2.915</v>
          </cell>
          <cell r="AK353">
            <v>3.0579999999999998</v>
          </cell>
          <cell r="AL353">
            <v>3.3149999999999999</v>
          </cell>
          <cell r="AM353">
            <v>3.754</v>
          </cell>
          <cell r="AN353"/>
          <cell r="AO353"/>
          <cell r="AP353"/>
          <cell r="AQ353"/>
          <cell r="AR353"/>
          <cell r="AS353"/>
          <cell r="AT353"/>
          <cell r="AU353"/>
          <cell r="AV353"/>
          <cell r="AW353"/>
          <cell r="AX353">
            <v>0.74</v>
          </cell>
          <cell r="AY353">
            <v>2407</v>
          </cell>
          <cell r="AZ353">
            <v>2043</v>
          </cell>
        </row>
        <row r="354">
          <cell r="A354">
            <v>39814</v>
          </cell>
          <cell r="B354">
            <v>2</v>
          </cell>
          <cell r="C354">
            <v>1</v>
          </cell>
          <cell r="D354">
            <v>1.8120000000000001</v>
          </cell>
          <cell r="E354"/>
          <cell r="F354"/>
          <cell r="G354"/>
          <cell r="H354"/>
          <cell r="I354"/>
          <cell r="J354"/>
          <cell r="K354"/>
          <cell r="L354"/>
          <cell r="M354"/>
          <cell r="N354"/>
          <cell r="O354">
            <v>2.1419999999999999</v>
          </cell>
          <cell r="P354">
            <v>2.4569999999999999</v>
          </cell>
          <cell r="Q354">
            <v>2.5390000000000001</v>
          </cell>
          <cell r="R354">
            <v>2.6219999999999999</v>
          </cell>
          <cell r="S354">
            <v>1.3660000000000001</v>
          </cell>
          <cell r="T354">
            <v>1.5680000000000001</v>
          </cell>
          <cell r="U354">
            <v>1.8280000000000001</v>
          </cell>
          <cell r="V354">
            <v>2.339</v>
          </cell>
          <cell r="W354">
            <v>3.085</v>
          </cell>
          <cell r="X354">
            <v>3.819</v>
          </cell>
          <cell r="Y354"/>
          <cell r="Z354"/>
          <cell r="AA354"/>
          <cell r="AB354"/>
          <cell r="AC354"/>
          <cell r="AD354"/>
          <cell r="AE354"/>
          <cell r="AF354"/>
          <cell r="AG354"/>
          <cell r="AH354"/>
          <cell r="AI354">
            <v>2.2970000000000002</v>
          </cell>
          <cell r="AJ354">
            <v>2.4129999999999998</v>
          </cell>
          <cell r="AK354">
            <v>2.681</v>
          </cell>
          <cell r="AL354">
            <v>3.0670000000000002</v>
          </cell>
          <cell r="AM354">
            <v>3.669</v>
          </cell>
          <cell r="AN354"/>
          <cell r="AO354"/>
          <cell r="AP354"/>
          <cell r="AQ354"/>
          <cell r="AR354"/>
          <cell r="AS354"/>
          <cell r="AT354"/>
          <cell r="AU354"/>
          <cell r="AV354"/>
          <cell r="AW354"/>
          <cell r="AX354">
            <v>0.753</v>
          </cell>
          <cell r="AY354">
            <v>2345</v>
          </cell>
          <cell r="AZ354">
            <v>1907</v>
          </cell>
        </row>
        <row r="355">
          <cell r="A355">
            <v>39845</v>
          </cell>
          <cell r="B355">
            <v>2</v>
          </cell>
          <cell r="C355">
            <v>1</v>
          </cell>
          <cell r="D355">
            <v>1.2569999999999999</v>
          </cell>
          <cell r="E355"/>
          <cell r="F355"/>
          <cell r="G355"/>
          <cell r="H355"/>
          <cell r="I355"/>
          <cell r="J355"/>
          <cell r="K355"/>
          <cell r="L355"/>
          <cell r="M355"/>
          <cell r="N355"/>
          <cell r="O355">
            <v>1.6279999999999999</v>
          </cell>
          <cell r="P355">
            <v>1.9430000000000001</v>
          </cell>
          <cell r="Q355">
            <v>2.0339999999999998</v>
          </cell>
          <cell r="R355">
            <v>2.1349999999999998</v>
          </cell>
          <cell r="S355">
            <v>1.0880000000000001</v>
          </cell>
          <cell r="T355">
            <v>1.35</v>
          </cell>
          <cell r="U355">
            <v>1.7729999999999999</v>
          </cell>
          <cell r="V355">
            <v>2.2709999999999999</v>
          </cell>
          <cell r="W355">
            <v>3.1579999999999999</v>
          </cell>
          <cell r="X355">
            <v>3.782</v>
          </cell>
          <cell r="Y355"/>
          <cell r="Z355"/>
          <cell r="AA355"/>
          <cell r="AB355"/>
          <cell r="AC355"/>
          <cell r="AD355"/>
          <cell r="AE355"/>
          <cell r="AF355"/>
          <cell r="AG355"/>
          <cell r="AH355"/>
          <cell r="AI355">
            <v>1.958</v>
          </cell>
          <cell r="AJ355">
            <v>2.1179999999999999</v>
          </cell>
          <cell r="AK355">
            <v>2.423</v>
          </cell>
          <cell r="AL355">
            <v>2.87</v>
          </cell>
          <cell r="AM355">
            <v>3.5579999999999998</v>
          </cell>
          <cell r="AN355"/>
          <cell r="AO355"/>
          <cell r="AP355"/>
          <cell r="AQ355"/>
          <cell r="AR355"/>
          <cell r="AS355"/>
          <cell r="AT355"/>
          <cell r="AU355"/>
          <cell r="AV355"/>
          <cell r="AW355"/>
          <cell r="AX355">
            <v>0.78100000000000003</v>
          </cell>
          <cell r="AY355">
            <v>2160</v>
          </cell>
          <cell r="AZ355">
            <v>1820</v>
          </cell>
        </row>
        <row r="356">
          <cell r="A356">
            <v>39873</v>
          </cell>
          <cell r="B356">
            <v>1.5</v>
          </cell>
          <cell r="C356">
            <v>0.5</v>
          </cell>
          <cell r="D356">
            <v>1.0620000000000001</v>
          </cell>
          <cell r="E356"/>
          <cell r="F356"/>
          <cell r="G356"/>
          <cell r="H356"/>
          <cell r="I356"/>
          <cell r="J356"/>
          <cell r="K356"/>
          <cell r="L356"/>
          <cell r="M356"/>
          <cell r="N356"/>
          <cell r="O356">
            <v>1.2689999999999999</v>
          </cell>
          <cell r="P356">
            <v>1.635</v>
          </cell>
          <cell r="Q356">
            <v>1.7749999999999999</v>
          </cell>
          <cell r="R356">
            <v>1.909</v>
          </cell>
          <cell r="S356">
            <v>0.93</v>
          </cell>
          <cell r="T356">
            <v>1.3049999999999999</v>
          </cell>
          <cell r="U356">
            <v>1.69</v>
          </cell>
          <cell r="V356">
            <v>2.242</v>
          </cell>
          <cell r="W356">
            <v>3.0619999999999998</v>
          </cell>
          <cell r="X356">
            <v>3.8740000000000001</v>
          </cell>
          <cell r="Y356"/>
          <cell r="Z356"/>
          <cell r="AA356"/>
          <cell r="AB356"/>
          <cell r="AC356"/>
          <cell r="AD356"/>
          <cell r="AE356"/>
          <cell r="AF356"/>
          <cell r="AG356"/>
          <cell r="AH356"/>
          <cell r="AI356">
            <v>1.7569999999999999</v>
          </cell>
          <cell r="AJ356">
            <v>1.944</v>
          </cell>
          <cell r="AK356">
            <v>2.258</v>
          </cell>
          <cell r="AL356">
            <v>2.7450000000000001</v>
          </cell>
          <cell r="AM356">
            <v>3.4169999999999998</v>
          </cell>
          <cell r="AN356"/>
          <cell r="AO356"/>
          <cell r="AP356"/>
          <cell r="AQ356"/>
          <cell r="AR356"/>
          <cell r="AS356"/>
          <cell r="AT356"/>
          <cell r="AU356"/>
          <cell r="AV356"/>
          <cell r="AW356"/>
          <cell r="AX356">
            <v>0.76600000000000001</v>
          </cell>
          <cell r="AY356">
            <v>1994</v>
          </cell>
          <cell r="AZ356">
            <v>1803</v>
          </cell>
        </row>
        <row r="357">
          <cell r="A357">
            <v>39904</v>
          </cell>
          <cell r="B357">
            <v>1.25</v>
          </cell>
          <cell r="C357">
            <v>0.25</v>
          </cell>
          <cell r="D357">
            <v>0.84199999999999997</v>
          </cell>
          <cell r="E357"/>
          <cell r="F357"/>
          <cell r="G357"/>
          <cell r="H357"/>
          <cell r="I357"/>
          <cell r="J357"/>
          <cell r="K357"/>
          <cell r="L357"/>
          <cell r="M357"/>
          <cell r="N357"/>
          <cell r="O357">
            <v>1.012</v>
          </cell>
          <cell r="P357">
            <v>1.4219999999999999</v>
          </cell>
          <cell r="Q357">
            <v>1.6080000000000001</v>
          </cell>
          <cell r="R357">
            <v>1.7709999999999999</v>
          </cell>
          <cell r="S357">
            <v>0.93</v>
          </cell>
          <cell r="T357">
            <v>1.393</v>
          </cell>
          <cell r="U357">
            <v>1.7849999999999999</v>
          </cell>
          <cell r="V357">
            <v>2.3860000000000001</v>
          </cell>
          <cell r="W357">
            <v>3.1859999999999999</v>
          </cell>
          <cell r="X357">
            <v>3.9990000000000001</v>
          </cell>
          <cell r="Y357"/>
          <cell r="Z357"/>
          <cell r="AA357"/>
          <cell r="AB357"/>
          <cell r="AC357"/>
          <cell r="AD357"/>
          <cell r="AE357"/>
          <cell r="AF357"/>
          <cell r="AG357"/>
          <cell r="AH357"/>
          <cell r="AI357">
            <v>1.6519999999999999</v>
          </cell>
          <cell r="AJ357">
            <v>1.9219999999999999</v>
          </cell>
          <cell r="AK357">
            <v>2.274</v>
          </cell>
          <cell r="AL357">
            <v>2.7949999999999999</v>
          </cell>
          <cell r="AM357">
            <v>3.5110000000000001</v>
          </cell>
          <cell r="AN357"/>
          <cell r="AO357"/>
          <cell r="AP357"/>
          <cell r="AQ357"/>
          <cell r="AR357"/>
          <cell r="AS357"/>
          <cell r="AT357"/>
          <cell r="AU357"/>
          <cell r="AV357"/>
          <cell r="AW357"/>
          <cell r="AX357">
            <v>0.75700000000000001</v>
          </cell>
          <cell r="AY357">
            <v>2256</v>
          </cell>
          <cell r="AZ357">
            <v>1824</v>
          </cell>
        </row>
        <row r="358">
          <cell r="A358">
            <v>39934</v>
          </cell>
          <cell r="B358">
            <v>1</v>
          </cell>
          <cell r="C358">
            <v>0.25</v>
          </cell>
          <cell r="D358">
            <v>0.78200000000000003</v>
          </cell>
          <cell r="E358"/>
          <cell r="F358"/>
          <cell r="G358"/>
          <cell r="H358"/>
          <cell r="I358"/>
          <cell r="J358"/>
          <cell r="K358"/>
          <cell r="L358"/>
          <cell r="M358"/>
          <cell r="N358"/>
          <cell r="O358">
            <v>0.88400000000000001</v>
          </cell>
          <cell r="P358">
            <v>1.282</v>
          </cell>
          <cell r="Q358">
            <v>1.48</v>
          </cell>
          <cell r="R358">
            <v>1.6439999999999999</v>
          </cell>
          <cell r="S358">
            <v>0.85399999999999998</v>
          </cell>
          <cell r="T358">
            <v>1.3380000000000001</v>
          </cell>
          <cell r="U358">
            <v>1.736</v>
          </cell>
          <cell r="V358">
            <v>2.5059999999999998</v>
          </cell>
          <cell r="W358">
            <v>3.4159999999999999</v>
          </cell>
          <cell r="X358">
            <v>4.2149999999999999</v>
          </cell>
          <cell r="Y358"/>
          <cell r="Z358"/>
          <cell r="AA358"/>
          <cell r="AB358"/>
          <cell r="AC358"/>
          <cell r="AD358"/>
          <cell r="AE358"/>
          <cell r="AF358"/>
          <cell r="AG358"/>
          <cell r="AH358"/>
          <cell r="AI358">
            <v>1.478</v>
          </cell>
          <cell r="AJ358">
            <v>1.74</v>
          </cell>
          <cell r="AK358">
            <v>2.129</v>
          </cell>
          <cell r="AL358">
            <v>2.7509999999999999</v>
          </cell>
          <cell r="AM358">
            <v>3.5670000000000002</v>
          </cell>
          <cell r="AN358"/>
          <cell r="AO358"/>
          <cell r="AP358"/>
          <cell r="AQ358"/>
          <cell r="AR358"/>
          <cell r="AS358"/>
          <cell r="AT358"/>
          <cell r="AU358"/>
          <cell r="AV358"/>
          <cell r="AW358"/>
          <cell r="AX358">
            <v>0.73199999999999998</v>
          </cell>
          <cell r="AY358">
            <v>2427</v>
          </cell>
          <cell r="AZ358">
            <v>1800</v>
          </cell>
        </row>
        <row r="359">
          <cell r="A359">
            <v>39965</v>
          </cell>
          <cell r="B359">
            <v>1</v>
          </cell>
          <cell r="C359">
            <v>0.25</v>
          </cell>
          <cell r="D359">
            <v>0.69799999999999995</v>
          </cell>
          <cell r="E359"/>
          <cell r="F359"/>
          <cell r="G359"/>
          <cell r="H359"/>
          <cell r="I359"/>
          <cell r="J359"/>
          <cell r="K359"/>
          <cell r="L359"/>
          <cell r="M359"/>
          <cell r="N359"/>
          <cell r="O359">
            <v>0.91300000000000003</v>
          </cell>
          <cell r="P359">
            <v>1.228</v>
          </cell>
          <cell r="Q359">
            <v>1.4359999999999999</v>
          </cell>
          <cell r="R359">
            <v>1.61</v>
          </cell>
          <cell r="S359">
            <v>0.95299999999999996</v>
          </cell>
          <cell r="T359">
            <v>1.5149999999999999</v>
          </cell>
          <cell r="U359">
            <v>1.853</v>
          </cell>
          <cell r="V359">
            <v>2.6720000000000002</v>
          </cell>
          <cell r="W359">
            <v>3.55</v>
          </cell>
          <cell r="X359">
            <v>4.32</v>
          </cell>
          <cell r="Y359"/>
          <cell r="Z359"/>
          <cell r="AA359"/>
          <cell r="AB359"/>
          <cell r="AC359"/>
          <cell r="AD359"/>
          <cell r="AE359"/>
          <cell r="AF359"/>
          <cell r="AG359"/>
          <cell r="AH359"/>
          <cell r="AI359">
            <v>1.5009999999999999</v>
          </cell>
          <cell r="AJ359">
            <v>1.901</v>
          </cell>
          <cell r="AK359">
            <v>2.343</v>
          </cell>
          <cell r="AL359">
            <v>2.9710000000000001</v>
          </cell>
          <cell r="AM359">
            <v>3.7370000000000001</v>
          </cell>
          <cell r="AN359"/>
          <cell r="AO359"/>
          <cell r="AP359"/>
          <cell r="AQ359"/>
          <cell r="AR359"/>
          <cell r="AS359"/>
          <cell r="AT359"/>
          <cell r="AU359"/>
          <cell r="AV359"/>
          <cell r="AW359"/>
          <cell r="AX359">
            <v>0.71399999999999997</v>
          </cell>
          <cell r="AY359">
            <v>2449</v>
          </cell>
          <cell r="AZ359">
            <v>1997</v>
          </cell>
        </row>
        <row r="360">
          <cell r="A360">
            <v>39995</v>
          </cell>
          <cell r="B360">
            <v>1</v>
          </cell>
          <cell r="C360">
            <v>0.25</v>
          </cell>
          <cell r="D360">
            <v>0.35799999999999998</v>
          </cell>
          <cell r="E360"/>
          <cell r="F360"/>
          <cell r="G360"/>
          <cell r="H360"/>
          <cell r="I360"/>
          <cell r="J360"/>
          <cell r="K360"/>
          <cell r="L360"/>
          <cell r="M360"/>
          <cell r="N360"/>
          <cell r="O360">
            <v>0.61</v>
          </cell>
          <cell r="P360">
            <v>0.97499999999999998</v>
          </cell>
          <cell r="Q360">
            <v>1.2130000000000001</v>
          </cell>
          <cell r="R360">
            <v>1.4119999999999999</v>
          </cell>
          <cell r="S360">
            <v>0.69499999999999995</v>
          </cell>
          <cell r="T360">
            <v>1.264</v>
          </cell>
          <cell r="U360">
            <v>1.643</v>
          </cell>
          <cell r="V360">
            <v>2.4369999999999998</v>
          </cell>
          <cell r="W360">
            <v>3.3639999999999999</v>
          </cell>
          <cell r="X360">
            <v>4.1420000000000003</v>
          </cell>
          <cell r="Y360"/>
          <cell r="Z360"/>
          <cell r="AA360"/>
          <cell r="AB360"/>
          <cell r="AC360"/>
          <cell r="AD360"/>
          <cell r="AE360"/>
          <cell r="AF360"/>
          <cell r="AG360"/>
          <cell r="AH360"/>
          <cell r="AI360">
            <v>1.282</v>
          </cell>
          <cell r="AJ360">
            <v>1.7310000000000001</v>
          </cell>
          <cell r="AK360">
            <v>2.2029999999999998</v>
          </cell>
          <cell r="AL360">
            <v>2.8319999999999999</v>
          </cell>
          <cell r="AM360">
            <v>3.613</v>
          </cell>
          <cell r="AN360"/>
          <cell r="AO360"/>
          <cell r="AP360"/>
          <cell r="AQ360"/>
          <cell r="AR360"/>
          <cell r="AS360"/>
          <cell r="AT360"/>
          <cell r="AU360"/>
          <cell r="AV360"/>
          <cell r="AW360"/>
          <cell r="AX360">
            <v>0.71</v>
          </cell>
          <cell r="AY360">
            <v>2462</v>
          </cell>
          <cell r="AZ360">
            <v>1854</v>
          </cell>
        </row>
        <row r="361">
          <cell r="A361">
            <v>40026</v>
          </cell>
          <cell r="B361">
            <v>1</v>
          </cell>
          <cell r="C361">
            <v>0.25</v>
          </cell>
          <cell r="D361">
            <v>0.34699999999999998</v>
          </cell>
          <cell r="E361"/>
          <cell r="F361"/>
          <cell r="G361"/>
          <cell r="H361"/>
          <cell r="I361"/>
          <cell r="J361"/>
          <cell r="K361"/>
          <cell r="L361"/>
          <cell r="M361"/>
          <cell r="N361"/>
          <cell r="O361">
            <v>0.50800000000000001</v>
          </cell>
          <cell r="P361">
            <v>0.86</v>
          </cell>
          <cell r="Q361">
            <v>1.115</v>
          </cell>
          <cell r="R361">
            <v>1.3340000000000001</v>
          </cell>
          <cell r="S361">
            <v>0.67200000000000004</v>
          </cell>
          <cell r="T361">
            <v>1.359</v>
          </cell>
          <cell r="U361">
            <v>1.756</v>
          </cell>
          <cell r="V361">
            <v>2.4820000000000002</v>
          </cell>
          <cell r="W361">
            <v>3.3340000000000001</v>
          </cell>
          <cell r="X361">
            <v>4.0250000000000004</v>
          </cell>
          <cell r="Y361"/>
          <cell r="Z361"/>
          <cell r="AA361"/>
          <cell r="AB361"/>
          <cell r="AC361"/>
          <cell r="AD361"/>
          <cell r="AE361"/>
          <cell r="AF361"/>
          <cell r="AG361"/>
          <cell r="AH361"/>
          <cell r="AI361">
            <v>1.28</v>
          </cell>
          <cell r="AJ361">
            <v>1.8480000000000001</v>
          </cell>
          <cell r="AK361">
            <v>2.2959999999999998</v>
          </cell>
          <cell r="AL361">
            <v>2.8420000000000001</v>
          </cell>
          <cell r="AM361">
            <v>3.5350000000000001</v>
          </cell>
          <cell r="AN361"/>
          <cell r="AO361"/>
          <cell r="AP361"/>
          <cell r="AQ361"/>
          <cell r="AR361"/>
          <cell r="AS361"/>
          <cell r="AT361"/>
          <cell r="AU361"/>
          <cell r="AV361"/>
          <cell r="AW361"/>
          <cell r="AX361">
            <v>0.70099999999999996</v>
          </cell>
          <cell r="AY361">
            <v>2703</v>
          </cell>
          <cell r="AZ361">
            <v>1821</v>
          </cell>
        </row>
        <row r="362">
          <cell r="A362">
            <v>40057</v>
          </cell>
          <cell r="B362">
            <v>1</v>
          </cell>
          <cell r="C362">
            <v>0.25</v>
          </cell>
          <cell r="D362">
            <v>0.36299999999999999</v>
          </cell>
          <cell r="E362"/>
          <cell r="F362"/>
          <cell r="G362"/>
          <cell r="H362"/>
          <cell r="I362"/>
          <cell r="J362"/>
          <cell r="K362"/>
          <cell r="L362"/>
          <cell r="M362"/>
          <cell r="N362"/>
          <cell r="O362">
            <v>0.45500000000000002</v>
          </cell>
          <cell r="P362">
            <v>0.77200000000000002</v>
          </cell>
          <cell r="Q362">
            <v>1.042</v>
          </cell>
          <cell r="R362">
            <v>1.2609999999999999</v>
          </cell>
          <cell r="S362">
            <v>0.63100000000000001</v>
          </cell>
          <cell r="T362">
            <v>1.212</v>
          </cell>
          <cell r="U362">
            <v>1.619</v>
          </cell>
          <cell r="V362">
            <v>2.363</v>
          </cell>
          <cell r="W362">
            <v>3.2909999999999999</v>
          </cell>
          <cell r="X362">
            <v>4.0659999999999998</v>
          </cell>
          <cell r="Y362"/>
          <cell r="Z362"/>
          <cell r="AA362"/>
          <cell r="AB362"/>
          <cell r="AC362"/>
          <cell r="AD362"/>
          <cell r="AE362"/>
          <cell r="AF362"/>
          <cell r="AG362"/>
          <cell r="AH362"/>
          <cell r="AI362">
            <v>1.1639999999999999</v>
          </cell>
          <cell r="AJ362">
            <v>1.68</v>
          </cell>
          <cell r="AK362">
            <v>2.1349999999999998</v>
          </cell>
          <cell r="AL362">
            <v>2.7360000000000002</v>
          </cell>
          <cell r="AM362">
            <v>3.4980000000000002</v>
          </cell>
          <cell r="AN362"/>
          <cell r="AO362"/>
          <cell r="AP362"/>
          <cell r="AQ362"/>
          <cell r="AR362"/>
          <cell r="AS362"/>
          <cell r="AT362"/>
          <cell r="AU362"/>
          <cell r="AV362"/>
          <cell r="AW362"/>
          <cell r="AX362">
            <v>0.68700000000000006</v>
          </cell>
          <cell r="AY362">
            <v>2828</v>
          </cell>
          <cell r="AZ362">
            <v>1790</v>
          </cell>
        </row>
        <row r="363">
          <cell r="A363">
            <v>40087</v>
          </cell>
          <cell r="B363">
            <v>1</v>
          </cell>
          <cell r="C363">
            <v>0.25</v>
          </cell>
          <cell r="D363">
            <v>0.35899999999999999</v>
          </cell>
          <cell r="E363"/>
          <cell r="F363"/>
          <cell r="G363"/>
          <cell r="H363"/>
          <cell r="I363"/>
          <cell r="J363"/>
          <cell r="K363"/>
          <cell r="L363"/>
          <cell r="M363"/>
          <cell r="N363"/>
          <cell r="O363">
            <v>0.43</v>
          </cell>
          <cell r="P363">
            <v>0.73799999999999999</v>
          </cell>
          <cell r="Q363">
            <v>1.0169999999999999</v>
          </cell>
          <cell r="R363">
            <v>1.2430000000000001</v>
          </cell>
          <cell r="S363">
            <v>0.74299999999999999</v>
          </cell>
          <cell r="T363">
            <v>1.319</v>
          </cell>
          <cell r="U363">
            <v>1.8</v>
          </cell>
          <cell r="V363">
            <v>2.407</v>
          </cell>
          <cell r="W363">
            <v>3.2320000000000002</v>
          </cell>
          <cell r="X363">
            <v>3.988</v>
          </cell>
          <cell r="Y363"/>
          <cell r="Z363"/>
          <cell r="AA363"/>
          <cell r="AB363"/>
          <cell r="AC363"/>
          <cell r="AD363"/>
          <cell r="AE363"/>
          <cell r="AF363"/>
          <cell r="AG363"/>
          <cell r="AH363"/>
          <cell r="AI363">
            <v>1.2470000000000001</v>
          </cell>
          <cell r="AJ363">
            <v>1.778</v>
          </cell>
          <cell r="AK363">
            <v>2.2010000000000001</v>
          </cell>
          <cell r="AL363">
            <v>2.7410000000000001</v>
          </cell>
          <cell r="AM363">
            <v>3.4849999999999999</v>
          </cell>
          <cell r="AN363"/>
          <cell r="AO363"/>
          <cell r="AP363"/>
          <cell r="AQ363"/>
          <cell r="AR363"/>
          <cell r="AS363"/>
          <cell r="AT363"/>
          <cell r="AU363"/>
          <cell r="AV363"/>
          <cell r="AW363"/>
          <cell r="AX363">
            <v>0.67500000000000004</v>
          </cell>
          <cell r="AY363">
            <v>2865</v>
          </cell>
          <cell r="AZ363">
            <v>1779</v>
          </cell>
        </row>
        <row r="364">
          <cell r="A364">
            <v>40118</v>
          </cell>
          <cell r="B364">
            <v>1</v>
          </cell>
          <cell r="C364">
            <v>0.25</v>
          </cell>
          <cell r="D364">
            <v>0.36199999999999999</v>
          </cell>
          <cell r="E364"/>
          <cell r="F364"/>
          <cell r="G364"/>
          <cell r="H364"/>
          <cell r="I364"/>
          <cell r="J364"/>
          <cell r="K364"/>
          <cell r="L364"/>
          <cell r="M364"/>
          <cell r="N364"/>
          <cell r="O364">
            <v>0.435</v>
          </cell>
          <cell r="P364">
            <v>0.71599999999999997</v>
          </cell>
          <cell r="Q364">
            <v>0.99299999999999999</v>
          </cell>
          <cell r="R364">
            <v>1.2310000000000001</v>
          </cell>
          <cell r="S364">
            <v>0.73599999999999999</v>
          </cell>
          <cell r="T364">
            <v>1.2689999999999999</v>
          </cell>
          <cell r="U364">
            <v>1.6890000000000001</v>
          </cell>
          <cell r="V364">
            <v>2.383</v>
          </cell>
          <cell r="W364">
            <v>3.282</v>
          </cell>
          <cell r="X364">
            <v>4.0090000000000003</v>
          </cell>
          <cell r="Y364"/>
          <cell r="Z364"/>
          <cell r="AA364"/>
          <cell r="AB364"/>
          <cell r="AC364"/>
          <cell r="AD364"/>
          <cell r="AE364"/>
          <cell r="AF364"/>
          <cell r="AG364"/>
          <cell r="AH364"/>
          <cell r="AI364">
            <v>1.218</v>
          </cell>
          <cell r="AJ364">
            <v>1.7450000000000001</v>
          </cell>
          <cell r="AK364">
            <v>2.181</v>
          </cell>
          <cell r="AL364">
            <v>2.7519999999999998</v>
          </cell>
          <cell r="AM364">
            <v>3.516</v>
          </cell>
          <cell r="AN364"/>
          <cell r="AO364"/>
          <cell r="AP364"/>
          <cell r="AQ364"/>
          <cell r="AR364"/>
          <cell r="AS364"/>
          <cell r="AT364"/>
          <cell r="AU364"/>
          <cell r="AV364"/>
          <cell r="AW364"/>
          <cell r="AX364">
            <v>0.67</v>
          </cell>
          <cell r="AY364">
            <v>2844</v>
          </cell>
          <cell r="AZ364">
            <v>1759</v>
          </cell>
        </row>
        <row r="365">
          <cell r="A365">
            <v>40148</v>
          </cell>
          <cell r="B365">
            <v>1</v>
          </cell>
          <cell r="C365">
            <v>0.25</v>
          </cell>
          <cell r="D365">
            <v>0.35499999999999998</v>
          </cell>
          <cell r="E365"/>
          <cell r="F365"/>
          <cell r="G365"/>
          <cell r="H365"/>
          <cell r="I365"/>
          <cell r="J365"/>
          <cell r="K365"/>
          <cell r="L365"/>
          <cell r="M365"/>
          <cell r="N365"/>
          <cell r="O365">
            <v>0.47799999999999998</v>
          </cell>
          <cell r="P365">
            <v>0.71199999999999997</v>
          </cell>
          <cell r="Q365">
            <v>0.996</v>
          </cell>
          <cell r="R365">
            <v>1.242</v>
          </cell>
          <cell r="S365">
            <v>0.77200000000000002</v>
          </cell>
          <cell r="T365">
            <v>1.238</v>
          </cell>
          <cell r="U365">
            <v>1.5529999999999999</v>
          </cell>
          <cell r="V365">
            <v>2.2730000000000001</v>
          </cell>
          <cell r="W365">
            <v>3.234</v>
          </cell>
          <cell r="X365">
            <v>3.9830000000000001</v>
          </cell>
          <cell r="Y365"/>
          <cell r="Z365"/>
          <cell r="AA365"/>
          <cell r="AB365"/>
          <cell r="AC365"/>
          <cell r="AD365"/>
          <cell r="AE365"/>
          <cell r="AF365"/>
          <cell r="AG365"/>
          <cell r="AH365"/>
          <cell r="AI365">
            <v>1.2509999999999999</v>
          </cell>
          <cell r="AJ365">
            <v>1.754</v>
          </cell>
          <cell r="AK365">
            <v>2.1429999999999998</v>
          </cell>
          <cell r="AL365">
            <v>2.6920000000000002</v>
          </cell>
          <cell r="AM365">
            <v>3.4809999999999999</v>
          </cell>
          <cell r="AN365"/>
          <cell r="AO365"/>
          <cell r="AP365"/>
          <cell r="AQ365"/>
          <cell r="AR365"/>
          <cell r="AS365"/>
          <cell r="AT365"/>
          <cell r="AU365"/>
          <cell r="AV365"/>
          <cell r="AW365"/>
          <cell r="AX365">
            <v>0.68700000000000006</v>
          </cell>
          <cell r="AY365">
            <v>2908</v>
          </cell>
          <cell r="AZ365">
            <v>1852</v>
          </cell>
        </row>
        <row r="366">
          <cell r="A366">
            <v>40179</v>
          </cell>
          <cell r="B366">
            <v>1</v>
          </cell>
          <cell r="C366">
            <v>0.25</v>
          </cell>
          <cell r="D366">
            <v>0.34399999999999997</v>
          </cell>
          <cell r="E366"/>
          <cell r="F366"/>
          <cell r="G366"/>
          <cell r="H366"/>
          <cell r="I366"/>
          <cell r="J366"/>
          <cell r="K366"/>
          <cell r="L366"/>
          <cell r="M366"/>
          <cell r="N366"/>
          <cell r="O366">
            <v>0.437</v>
          </cell>
          <cell r="P366">
            <v>0.68</v>
          </cell>
          <cell r="Q366">
            <v>0.97699999999999998</v>
          </cell>
          <cell r="R366">
            <v>1.232</v>
          </cell>
          <cell r="S366">
            <v>0.65</v>
          </cell>
          <cell r="T366">
            <v>1.19</v>
          </cell>
          <cell r="U366">
            <v>1.6339999999999999</v>
          </cell>
          <cell r="V366">
            <v>2.3519999999999999</v>
          </cell>
          <cell r="W366">
            <v>3.286</v>
          </cell>
          <cell r="X366">
            <v>4.0430000000000001</v>
          </cell>
          <cell r="Y366"/>
          <cell r="Z366"/>
          <cell r="AA366"/>
          <cell r="AB366"/>
          <cell r="AC366"/>
          <cell r="AD366"/>
          <cell r="AE366"/>
          <cell r="AF366"/>
          <cell r="AG366"/>
          <cell r="AH366"/>
          <cell r="AI366">
            <v>1.2190000000000001</v>
          </cell>
          <cell r="AJ366">
            <v>1.716</v>
          </cell>
          <cell r="AK366">
            <v>2.1150000000000002</v>
          </cell>
          <cell r="AL366">
            <v>2.673</v>
          </cell>
          <cell r="AM366">
            <v>3.4830000000000001</v>
          </cell>
          <cell r="AN366"/>
          <cell r="AO366"/>
          <cell r="AP366"/>
          <cell r="AQ366"/>
          <cell r="AR366"/>
          <cell r="AS366"/>
          <cell r="AT366"/>
          <cell r="AU366"/>
          <cell r="AV366"/>
          <cell r="AW366"/>
          <cell r="AX366">
            <v>0.70099999999999996</v>
          </cell>
          <cell r="AY366">
            <v>2923</v>
          </cell>
          <cell r="AZ366">
            <v>1878</v>
          </cell>
        </row>
        <row r="367">
          <cell r="A367">
            <v>40210</v>
          </cell>
          <cell r="B367">
            <v>1</v>
          </cell>
          <cell r="C367">
            <v>0.25</v>
          </cell>
          <cell r="D367">
            <v>0.34100000000000003</v>
          </cell>
          <cell r="E367"/>
          <cell r="F367"/>
          <cell r="G367"/>
          <cell r="H367"/>
          <cell r="I367"/>
          <cell r="J367"/>
          <cell r="K367"/>
          <cell r="L367"/>
          <cell r="M367"/>
          <cell r="N367"/>
          <cell r="O367">
            <v>0.42099999999999999</v>
          </cell>
          <cell r="P367">
            <v>0.66200000000000003</v>
          </cell>
          <cell r="Q367">
            <v>0.96499999999999997</v>
          </cell>
          <cell r="R367">
            <v>1.2250000000000001</v>
          </cell>
          <cell r="S367">
            <v>0.56599999999999995</v>
          </cell>
          <cell r="T367">
            <v>1.034</v>
          </cell>
          <cell r="U367">
            <v>1.4990000000000001</v>
          </cell>
          <cell r="V367">
            <v>2.222</v>
          </cell>
          <cell r="W367">
            <v>3.1859999999999999</v>
          </cell>
          <cell r="X367">
            <v>3.9180000000000001</v>
          </cell>
          <cell r="Y367"/>
          <cell r="Z367"/>
          <cell r="AA367"/>
          <cell r="AB367"/>
          <cell r="AC367"/>
          <cell r="AD367"/>
          <cell r="AE367"/>
          <cell r="AF367"/>
          <cell r="AG367"/>
          <cell r="AH367"/>
          <cell r="AI367">
            <v>1.1599999999999999</v>
          </cell>
          <cell r="AJ367">
            <v>1.5580000000000001</v>
          </cell>
          <cell r="AK367">
            <v>1.9390000000000001</v>
          </cell>
          <cell r="AL367">
            <v>2.5339999999999998</v>
          </cell>
          <cell r="AM367">
            <v>3.391</v>
          </cell>
          <cell r="AN367"/>
          <cell r="AO367"/>
          <cell r="AP367"/>
          <cell r="AQ367"/>
          <cell r="AR367"/>
          <cell r="AS367"/>
          <cell r="AT367"/>
          <cell r="AU367"/>
          <cell r="AV367"/>
          <cell r="AW367"/>
          <cell r="AX367">
            <v>0.73099999999999998</v>
          </cell>
          <cell r="AY367">
            <v>2727</v>
          </cell>
          <cell r="AZ367">
            <v>1889</v>
          </cell>
        </row>
        <row r="368">
          <cell r="A368">
            <v>40238</v>
          </cell>
          <cell r="B368">
            <v>1</v>
          </cell>
          <cell r="C368">
            <v>0.25</v>
          </cell>
          <cell r="D368">
            <v>0.34799999999999998</v>
          </cell>
          <cell r="E368"/>
          <cell r="F368"/>
          <cell r="G368"/>
          <cell r="H368"/>
          <cell r="I368"/>
          <cell r="J368"/>
          <cell r="K368"/>
          <cell r="L368"/>
          <cell r="M368"/>
          <cell r="N368"/>
          <cell r="O368">
            <v>0.40600000000000003</v>
          </cell>
          <cell r="P368">
            <v>0.64500000000000002</v>
          </cell>
          <cell r="Q368">
            <v>0.95199999999999996</v>
          </cell>
          <cell r="R368">
            <v>1.2150000000000001</v>
          </cell>
          <cell r="S368">
            <v>0.53500000000000003</v>
          </cell>
          <cell r="T368">
            <v>0.98899999999999999</v>
          </cell>
          <cell r="U368">
            <v>1.387</v>
          </cell>
          <cell r="V368">
            <v>2.1539999999999999</v>
          </cell>
          <cell r="W368">
            <v>3.1269999999999998</v>
          </cell>
          <cell r="X368">
            <v>3.8969999999999998</v>
          </cell>
          <cell r="Y368"/>
          <cell r="Z368"/>
          <cell r="AA368"/>
          <cell r="AB368"/>
          <cell r="AC368"/>
          <cell r="AD368"/>
          <cell r="AE368"/>
          <cell r="AF368"/>
          <cell r="AG368"/>
          <cell r="AH368"/>
          <cell r="AI368">
            <v>1.1180000000000001</v>
          </cell>
          <cell r="AJ368">
            <v>1.4990000000000001</v>
          </cell>
          <cell r="AK368">
            <v>1.859</v>
          </cell>
          <cell r="AL368">
            <v>2.448</v>
          </cell>
          <cell r="AM368">
            <v>3.3290000000000002</v>
          </cell>
          <cell r="AN368"/>
          <cell r="AO368"/>
          <cell r="AP368"/>
          <cell r="AQ368"/>
          <cell r="AR368"/>
          <cell r="AS368"/>
          <cell r="AT368"/>
          <cell r="AU368"/>
          <cell r="AV368"/>
          <cell r="AW368"/>
          <cell r="AX368">
            <v>0.73699999999999999</v>
          </cell>
          <cell r="AY368">
            <v>2890</v>
          </cell>
          <cell r="AZ368">
            <v>1895</v>
          </cell>
        </row>
        <row r="369">
          <cell r="A369">
            <v>40269</v>
          </cell>
          <cell r="B369">
            <v>1</v>
          </cell>
          <cell r="C369">
            <v>0.25</v>
          </cell>
          <cell r="D369">
            <v>0.35299999999999998</v>
          </cell>
          <cell r="E369"/>
          <cell r="F369"/>
          <cell r="G369"/>
          <cell r="H369"/>
          <cell r="I369"/>
          <cell r="J369"/>
          <cell r="K369"/>
          <cell r="L369"/>
          <cell r="M369"/>
          <cell r="N369"/>
          <cell r="O369">
            <v>0.40500000000000003</v>
          </cell>
          <cell r="P369">
            <v>0.64500000000000002</v>
          </cell>
          <cell r="Q369">
            <v>0.95499999999999996</v>
          </cell>
          <cell r="R369">
            <v>1.2250000000000001</v>
          </cell>
          <cell r="S369">
            <v>0.50600000000000001</v>
          </cell>
          <cell r="T369">
            <v>0.90400000000000003</v>
          </cell>
          <cell r="U369">
            <v>1.2669999999999999</v>
          </cell>
          <cell r="V369">
            <v>2.1080000000000001</v>
          </cell>
          <cell r="W369">
            <v>3.0880000000000001</v>
          </cell>
          <cell r="X369">
            <v>3.8050000000000002</v>
          </cell>
          <cell r="Y369"/>
          <cell r="Z369"/>
          <cell r="AA369"/>
          <cell r="AB369"/>
          <cell r="AC369"/>
          <cell r="AD369"/>
          <cell r="AE369"/>
          <cell r="AF369"/>
          <cell r="AG369"/>
          <cell r="AH369"/>
          <cell r="AI369">
            <v>1.121</v>
          </cell>
          <cell r="AJ369">
            <v>1.4550000000000001</v>
          </cell>
          <cell r="AK369">
            <v>1.802</v>
          </cell>
          <cell r="AL369">
            <v>2.3849999999999998</v>
          </cell>
          <cell r="AM369">
            <v>3.2570000000000001</v>
          </cell>
          <cell r="AN369"/>
          <cell r="AO369"/>
          <cell r="AP369"/>
          <cell r="AQ369"/>
          <cell r="AR369"/>
          <cell r="AS369"/>
          <cell r="AT369"/>
          <cell r="AU369"/>
          <cell r="AV369"/>
          <cell r="AW369"/>
          <cell r="AX369">
            <v>0.745</v>
          </cell>
          <cell r="AY369">
            <v>2937</v>
          </cell>
          <cell r="AZ369">
            <v>1957</v>
          </cell>
        </row>
        <row r="370">
          <cell r="A370">
            <v>40299</v>
          </cell>
          <cell r="B370">
            <v>1</v>
          </cell>
          <cell r="C370">
            <v>0.25</v>
          </cell>
          <cell r="D370">
            <v>0.34399999999999997</v>
          </cell>
          <cell r="E370"/>
          <cell r="F370"/>
          <cell r="G370"/>
          <cell r="H370"/>
          <cell r="I370"/>
          <cell r="J370"/>
          <cell r="K370"/>
          <cell r="L370"/>
          <cell r="M370"/>
          <cell r="N370"/>
          <cell r="O370">
            <v>0.42299999999999999</v>
          </cell>
          <cell r="P370">
            <v>0.68700000000000006</v>
          </cell>
          <cell r="Q370">
            <v>0.98199999999999998</v>
          </cell>
          <cell r="R370">
            <v>1.2490000000000001</v>
          </cell>
          <cell r="S370">
            <v>0.318</v>
          </cell>
          <cell r="T370">
            <v>0.56399999999999995</v>
          </cell>
          <cell r="U370">
            <v>0.78200000000000003</v>
          </cell>
          <cell r="V370">
            <v>1.655</v>
          </cell>
          <cell r="W370">
            <v>2.802</v>
          </cell>
          <cell r="X370">
            <v>3.5430000000000001</v>
          </cell>
          <cell r="Y370"/>
          <cell r="Z370"/>
          <cell r="AA370"/>
          <cell r="AB370"/>
          <cell r="AC370"/>
          <cell r="AD370"/>
          <cell r="AE370"/>
          <cell r="AF370"/>
          <cell r="AG370"/>
          <cell r="AH370"/>
          <cell r="AI370">
            <v>1.107</v>
          </cell>
          <cell r="AJ370">
            <v>1.2929999999999999</v>
          </cell>
          <cell r="AK370">
            <v>1.58</v>
          </cell>
          <cell r="AL370">
            <v>2.165</v>
          </cell>
          <cell r="AM370">
            <v>3.06</v>
          </cell>
          <cell r="AN370"/>
          <cell r="AO370"/>
          <cell r="AP370"/>
          <cell r="AQ370"/>
          <cell r="AR370"/>
          <cell r="AS370"/>
          <cell r="AT370"/>
          <cell r="AU370"/>
          <cell r="AV370"/>
          <cell r="AW370"/>
          <cell r="AX370">
            <v>0.79800000000000004</v>
          </cell>
          <cell r="AY370">
            <v>2642</v>
          </cell>
          <cell r="AZ370">
            <v>2088</v>
          </cell>
        </row>
        <row r="371">
          <cell r="A371">
            <v>40330</v>
          </cell>
          <cell r="B371">
            <v>1</v>
          </cell>
          <cell r="C371">
            <v>0.25</v>
          </cell>
          <cell r="D371">
            <v>0.35399999999999998</v>
          </cell>
          <cell r="E371"/>
          <cell r="F371"/>
          <cell r="G371"/>
          <cell r="H371"/>
          <cell r="I371"/>
          <cell r="J371"/>
          <cell r="K371"/>
          <cell r="L371"/>
          <cell r="M371"/>
          <cell r="N371"/>
          <cell r="O371">
            <v>0.44600000000000001</v>
          </cell>
          <cell r="P371">
            <v>0.72799999999999998</v>
          </cell>
          <cell r="Q371">
            <v>1.012</v>
          </cell>
          <cell r="R371">
            <v>1.2809999999999999</v>
          </cell>
          <cell r="S371">
            <v>0.316</v>
          </cell>
          <cell r="T371">
            <v>0.52700000000000002</v>
          </cell>
          <cell r="U371">
            <v>0.64900000000000002</v>
          </cell>
          <cell r="V371">
            <v>1.506</v>
          </cell>
          <cell r="W371">
            <v>2.629</v>
          </cell>
          <cell r="X371">
            <v>3.3490000000000002</v>
          </cell>
          <cell r="Y371"/>
          <cell r="Z371"/>
          <cell r="AA371"/>
          <cell r="AB371"/>
          <cell r="AC371"/>
          <cell r="AD371"/>
          <cell r="AE371"/>
          <cell r="AF371"/>
          <cell r="AG371"/>
          <cell r="AH371"/>
          <cell r="AI371">
            <v>1.133</v>
          </cell>
          <cell r="AJ371">
            <v>1.319</v>
          </cell>
          <cell r="AK371">
            <v>1.575</v>
          </cell>
          <cell r="AL371">
            <v>2.1019999999999999</v>
          </cell>
          <cell r="AM371">
            <v>2.923</v>
          </cell>
          <cell r="AN371"/>
          <cell r="AO371"/>
          <cell r="AP371"/>
          <cell r="AQ371"/>
          <cell r="AR371"/>
          <cell r="AS371"/>
          <cell r="AT371"/>
          <cell r="AU371"/>
          <cell r="AV371"/>
          <cell r="AW371"/>
          <cell r="AX371">
            <v>0.81899999999999995</v>
          </cell>
          <cell r="AY371">
            <v>2642</v>
          </cell>
          <cell r="AZ371">
            <v>2154</v>
          </cell>
        </row>
        <row r="372">
          <cell r="A372">
            <v>40360</v>
          </cell>
          <cell r="B372">
            <v>1</v>
          </cell>
          <cell r="C372">
            <v>0.25</v>
          </cell>
          <cell r="D372">
            <v>0.48099999999999998</v>
          </cell>
          <cell r="E372"/>
          <cell r="F372"/>
          <cell r="G372"/>
          <cell r="H372"/>
          <cell r="I372"/>
          <cell r="J372"/>
          <cell r="K372"/>
          <cell r="L372"/>
          <cell r="M372"/>
          <cell r="N372"/>
          <cell r="O372">
            <v>0.58299999999999996</v>
          </cell>
          <cell r="P372">
            <v>0.84899999999999998</v>
          </cell>
          <cell r="Q372">
            <v>1.1040000000000001</v>
          </cell>
          <cell r="R372">
            <v>1.373</v>
          </cell>
          <cell r="S372">
            <v>0.504</v>
          </cell>
          <cell r="T372">
            <v>0.749</v>
          </cell>
          <cell r="U372">
            <v>0.85399999999999998</v>
          </cell>
          <cell r="V372">
            <v>1.6080000000000001</v>
          </cell>
          <cell r="W372">
            <v>2.6480000000000001</v>
          </cell>
          <cell r="X372">
            <v>3.3340000000000001</v>
          </cell>
          <cell r="Y372"/>
          <cell r="Z372"/>
          <cell r="AA372"/>
          <cell r="AB372"/>
          <cell r="AC372"/>
          <cell r="AD372"/>
          <cell r="AE372"/>
          <cell r="AF372"/>
          <cell r="AG372"/>
          <cell r="AH372"/>
          <cell r="AI372">
            <v>1.2250000000000001</v>
          </cell>
          <cell r="AJ372">
            <v>1.4119999999999999</v>
          </cell>
          <cell r="AK372">
            <v>1.633</v>
          </cell>
          <cell r="AL372">
            <v>2.105</v>
          </cell>
          <cell r="AM372">
            <v>2.903</v>
          </cell>
          <cell r="AN372"/>
          <cell r="AO372"/>
          <cell r="AP372"/>
          <cell r="AQ372"/>
          <cell r="AR372"/>
          <cell r="AS372"/>
          <cell r="AT372"/>
          <cell r="AU372"/>
          <cell r="AV372"/>
          <cell r="AW372"/>
          <cell r="AX372">
            <v>0.78100000000000003</v>
          </cell>
          <cell r="AY372">
            <v>2669</v>
          </cell>
          <cell r="AZ372">
            <v>2002</v>
          </cell>
        </row>
        <row r="373">
          <cell r="A373">
            <v>40391</v>
          </cell>
          <cell r="B373">
            <v>1</v>
          </cell>
          <cell r="C373">
            <v>0.25</v>
          </cell>
          <cell r="D373">
            <v>0.42599999999999999</v>
          </cell>
          <cell r="E373"/>
          <cell r="F373"/>
          <cell r="G373"/>
          <cell r="H373"/>
          <cell r="I373"/>
          <cell r="J373"/>
          <cell r="K373"/>
          <cell r="L373"/>
          <cell r="M373"/>
          <cell r="N373"/>
          <cell r="O373">
            <v>0.64</v>
          </cell>
          <cell r="P373">
            <v>0.89600000000000002</v>
          </cell>
          <cell r="Q373">
            <v>1.147</v>
          </cell>
          <cell r="R373">
            <v>1.421</v>
          </cell>
          <cell r="S373">
            <v>0.51400000000000001</v>
          </cell>
          <cell r="T373">
            <v>0.66500000000000004</v>
          </cell>
          <cell r="U373">
            <v>0.72899999999999998</v>
          </cell>
          <cell r="V373">
            <v>1.3779999999999999</v>
          </cell>
          <cell r="W373">
            <v>2.37</v>
          </cell>
          <cell r="X373">
            <v>3.016</v>
          </cell>
          <cell r="Y373"/>
          <cell r="Z373"/>
          <cell r="AA373"/>
          <cell r="AB373"/>
          <cell r="AC373"/>
          <cell r="AD373"/>
          <cell r="AE373"/>
          <cell r="AF373"/>
          <cell r="AG373"/>
          <cell r="AH373"/>
          <cell r="AI373">
            <v>1.196</v>
          </cell>
          <cell r="AJ373">
            <v>1.3140000000000001</v>
          </cell>
          <cell r="AK373">
            <v>1.496</v>
          </cell>
          <cell r="AL373">
            <v>1.8939999999999999</v>
          </cell>
          <cell r="AM373">
            <v>2.6080000000000001</v>
          </cell>
          <cell r="AN373"/>
          <cell r="AO373"/>
          <cell r="AP373"/>
          <cell r="AQ373"/>
          <cell r="AR373"/>
          <cell r="AS373"/>
          <cell r="AT373"/>
          <cell r="AU373"/>
          <cell r="AV373"/>
          <cell r="AW373"/>
          <cell r="AX373">
            <v>0.77600000000000002</v>
          </cell>
          <cell r="AY373">
            <v>2712</v>
          </cell>
          <cell r="AZ373">
            <v>1958</v>
          </cell>
        </row>
        <row r="374">
          <cell r="A374">
            <v>40422</v>
          </cell>
          <cell r="B374">
            <v>1</v>
          </cell>
          <cell r="C374">
            <v>0.25</v>
          </cell>
          <cell r="D374">
            <v>0.45400000000000001</v>
          </cell>
          <cell r="E374"/>
          <cell r="F374"/>
          <cell r="G374"/>
          <cell r="H374"/>
          <cell r="I374"/>
          <cell r="J374"/>
          <cell r="K374"/>
          <cell r="L374"/>
          <cell r="M374"/>
          <cell r="N374"/>
          <cell r="O374">
            <v>0.61799999999999999</v>
          </cell>
          <cell r="P374">
            <v>0.88100000000000001</v>
          </cell>
          <cell r="Q374">
            <v>1.137</v>
          </cell>
          <cell r="R374">
            <v>1.42</v>
          </cell>
          <cell r="S374">
            <v>0.56399999999999995</v>
          </cell>
          <cell r="T374">
            <v>0.71799999999999997</v>
          </cell>
          <cell r="U374">
            <v>0.81200000000000006</v>
          </cell>
          <cell r="V374">
            <v>1.387</v>
          </cell>
          <cell r="W374">
            <v>2.3420000000000001</v>
          </cell>
          <cell r="X374">
            <v>2.9449999999999998</v>
          </cell>
          <cell r="Y374"/>
          <cell r="Z374"/>
          <cell r="AA374"/>
          <cell r="AB374"/>
          <cell r="AC374"/>
          <cell r="AD374"/>
          <cell r="AE374"/>
          <cell r="AF374"/>
          <cell r="AG374"/>
          <cell r="AH374"/>
          <cell r="AI374">
            <v>1.2290000000000001</v>
          </cell>
          <cell r="AJ374">
            <v>1.379</v>
          </cell>
          <cell r="AK374">
            <v>1.56</v>
          </cell>
          <cell r="AL374">
            <v>1.9370000000000001</v>
          </cell>
          <cell r="AM374">
            <v>2.6240000000000001</v>
          </cell>
          <cell r="AN374"/>
          <cell r="AO374"/>
          <cell r="AP374"/>
          <cell r="AQ374"/>
          <cell r="AR374"/>
          <cell r="AS374"/>
          <cell r="AT374"/>
          <cell r="AU374"/>
          <cell r="AV374"/>
          <cell r="AW374"/>
          <cell r="AX374">
            <v>0.76400000000000001</v>
          </cell>
          <cell r="AY374">
            <v>2766</v>
          </cell>
          <cell r="AZ374">
            <v>1971</v>
          </cell>
        </row>
        <row r="375">
          <cell r="A375">
            <v>40452</v>
          </cell>
          <cell r="B375">
            <v>1</v>
          </cell>
          <cell r="C375">
            <v>0.25</v>
          </cell>
          <cell r="D375">
            <v>0.70099999999999996</v>
          </cell>
          <cell r="E375"/>
          <cell r="F375"/>
          <cell r="G375"/>
          <cell r="H375"/>
          <cell r="I375"/>
          <cell r="J375"/>
          <cell r="K375"/>
          <cell r="L375"/>
          <cell r="M375"/>
          <cell r="N375"/>
          <cell r="O375">
            <v>0.78400000000000003</v>
          </cell>
          <cell r="P375">
            <v>0.998</v>
          </cell>
          <cell r="Q375">
            <v>1.224</v>
          </cell>
          <cell r="R375">
            <v>1.4950000000000001</v>
          </cell>
          <cell r="S375">
            <v>0.76200000000000001</v>
          </cell>
          <cell r="T375">
            <v>0.88400000000000001</v>
          </cell>
          <cell r="U375">
            <v>1.038</v>
          </cell>
          <cell r="V375">
            <v>1.546</v>
          </cell>
          <cell r="W375">
            <v>2.3719999999999999</v>
          </cell>
          <cell r="X375">
            <v>2.9319999999999999</v>
          </cell>
          <cell r="Y375"/>
          <cell r="Z375"/>
          <cell r="AA375"/>
          <cell r="AB375"/>
          <cell r="AC375"/>
          <cell r="AD375"/>
          <cell r="AE375"/>
          <cell r="AF375"/>
          <cell r="AG375"/>
          <cell r="AH375"/>
          <cell r="AI375">
            <v>1.3420000000000001</v>
          </cell>
          <cell r="AJ375">
            <v>1.4890000000000001</v>
          </cell>
          <cell r="AK375">
            <v>1.6579999999999999</v>
          </cell>
          <cell r="AL375">
            <v>2.0289999999999999</v>
          </cell>
          <cell r="AM375">
            <v>2.6869999999999998</v>
          </cell>
          <cell r="AN375"/>
          <cell r="AO375"/>
          <cell r="AP375"/>
          <cell r="AQ375"/>
          <cell r="AR375"/>
          <cell r="AS375"/>
          <cell r="AT375"/>
          <cell r="AU375"/>
          <cell r="AV375"/>
          <cell r="AW375"/>
          <cell r="AX375">
            <v>0.72</v>
          </cell>
          <cell r="AY375">
            <v>2818</v>
          </cell>
          <cell r="AZ375">
            <v>1896</v>
          </cell>
        </row>
        <row r="376">
          <cell r="A376">
            <v>40483</v>
          </cell>
          <cell r="B376">
            <v>1</v>
          </cell>
          <cell r="C376">
            <v>0.25</v>
          </cell>
          <cell r="D376">
            <v>0.59299999999999997</v>
          </cell>
          <cell r="E376"/>
          <cell r="F376"/>
          <cell r="G376"/>
          <cell r="H376"/>
          <cell r="I376"/>
          <cell r="J376"/>
          <cell r="K376"/>
          <cell r="L376"/>
          <cell r="M376"/>
          <cell r="N376"/>
          <cell r="O376">
            <v>0.83399999999999996</v>
          </cell>
          <cell r="P376">
            <v>1.042</v>
          </cell>
          <cell r="Q376">
            <v>1.2689999999999999</v>
          </cell>
          <cell r="R376">
            <v>1.5409999999999999</v>
          </cell>
          <cell r="S376">
            <v>0.83799999999999997</v>
          </cell>
          <cell r="T376">
            <v>0.97799999999999998</v>
          </cell>
          <cell r="U376">
            <v>1.129</v>
          </cell>
          <cell r="V376">
            <v>1.6739999999999999</v>
          </cell>
          <cell r="W376">
            <v>2.5609999999999999</v>
          </cell>
          <cell r="X376">
            <v>3.0510000000000002</v>
          </cell>
          <cell r="Y376"/>
          <cell r="Z376"/>
          <cell r="AA376"/>
          <cell r="AB376"/>
          <cell r="AC376"/>
          <cell r="AD376"/>
          <cell r="AE376"/>
          <cell r="AF376"/>
          <cell r="AG376"/>
          <cell r="AH376"/>
          <cell r="AI376">
            <v>1.413</v>
          </cell>
          <cell r="AJ376">
            <v>1.62</v>
          </cell>
          <cell r="AK376">
            <v>1.8260000000000001</v>
          </cell>
          <cell r="AL376">
            <v>2.226</v>
          </cell>
          <cell r="AM376">
            <v>2.8959999999999999</v>
          </cell>
          <cell r="AN376"/>
          <cell r="AO376"/>
          <cell r="AP376"/>
          <cell r="AQ376"/>
          <cell r="AR376"/>
          <cell r="AS376"/>
          <cell r="AT376"/>
          <cell r="AU376"/>
          <cell r="AV376"/>
          <cell r="AW376"/>
          <cell r="AX376">
            <v>0.73399999999999999</v>
          </cell>
          <cell r="AY376">
            <v>2810</v>
          </cell>
          <cell r="AZ376">
            <v>1916</v>
          </cell>
        </row>
        <row r="377">
          <cell r="A377">
            <v>40513</v>
          </cell>
          <cell r="B377">
            <v>1</v>
          </cell>
          <cell r="C377">
            <v>0.25</v>
          </cell>
          <cell r="D377">
            <v>0.498</v>
          </cell>
          <cell r="E377"/>
          <cell r="F377"/>
          <cell r="G377"/>
          <cell r="H377"/>
          <cell r="I377"/>
          <cell r="J377"/>
          <cell r="K377"/>
          <cell r="L377"/>
          <cell r="M377"/>
          <cell r="N377"/>
          <cell r="O377">
            <v>0.81100000000000005</v>
          </cell>
          <cell r="P377">
            <v>1.022</v>
          </cell>
          <cell r="Q377">
            <v>1.2509999999999999</v>
          </cell>
          <cell r="R377">
            <v>1.526</v>
          </cell>
          <cell r="S377">
            <v>0.66700000000000004</v>
          </cell>
          <cell r="T377">
            <v>0.96</v>
          </cell>
          <cell r="U377">
            <v>1.161</v>
          </cell>
          <cell r="V377">
            <v>1.9179999999999999</v>
          </cell>
          <cell r="W377">
            <v>2.9609999999999999</v>
          </cell>
          <cell r="X377">
            <v>3.415</v>
          </cell>
          <cell r="Y377"/>
          <cell r="Z377"/>
          <cell r="AA377"/>
          <cell r="AB377"/>
          <cell r="AC377"/>
          <cell r="AD377"/>
          <cell r="AE377"/>
          <cell r="AF377"/>
          <cell r="AG377"/>
          <cell r="AH377"/>
          <cell r="AI377">
            <v>1.3779999999999999</v>
          </cell>
          <cell r="AJ377">
            <v>1.655</v>
          </cell>
          <cell r="AK377">
            <v>1.966</v>
          </cell>
          <cell r="AL377">
            <v>2.532</v>
          </cell>
          <cell r="AM377">
            <v>3.3090000000000002</v>
          </cell>
          <cell r="AN377"/>
          <cell r="AO377"/>
          <cell r="AP377"/>
          <cell r="AQ377"/>
          <cell r="AR377"/>
          <cell r="AS377"/>
          <cell r="AT377"/>
          <cell r="AU377"/>
          <cell r="AV377"/>
          <cell r="AW377"/>
          <cell r="AX377">
            <v>0.75600000000000001</v>
          </cell>
          <cell r="AY377">
            <v>2826</v>
          </cell>
          <cell r="AZ377">
            <v>2004</v>
          </cell>
        </row>
        <row r="378">
          <cell r="A378">
            <v>40544</v>
          </cell>
          <cell r="B378">
            <v>1</v>
          </cell>
          <cell r="C378">
            <v>0.25</v>
          </cell>
          <cell r="D378">
            <v>0.65900000000000003</v>
          </cell>
          <cell r="E378"/>
          <cell r="F378"/>
          <cell r="G378"/>
          <cell r="H378"/>
          <cell r="I378"/>
          <cell r="J378"/>
          <cell r="K378"/>
          <cell r="L378"/>
          <cell r="M378"/>
          <cell r="N378"/>
          <cell r="O378">
            <v>0.79300000000000004</v>
          </cell>
          <cell r="P378">
            <v>1.0169999999999999</v>
          </cell>
          <cell r="Q378">
            <v>1.254</v>
          </cell>
          <cell r="R378">
            <v>1.55</v>
          </cell>
          <cell r="S378">
            <v>0.76400000000000001</v>
          </cell>
          <cell r="T378">
            <v>1.109</v>
          </cell>
          <cell r="U378">
            <v>1.4139999999999999</v>
          </cell>
          <cell r="V378">
            <v>2.1230000000000002</v>
          </cell>
          <cell r="W378">
            <v>3.0489999999999999</v>
          </cell>
          <cell r="X378">
            <v>3.4910000000000001</v>
          </cell>
          <cell r="Y378"/>
          <cell r="Z378"/>
          <cell r="AA378"/>
          <cell r="AB378"/>
          <cell r="AC378"/>
          <cell r="AD378"/>
          <cell r="AE378"/>
          <cell r="AF378"/>
          <cell r="AG378"/>
          <cell r="AH378"/>
          <cell r="AI378">
            <v>1.446</v>
          </cell>
          <cell r="AJ378">
            <v>1.7889999999999999</v>
          </cell>
          <cell r="AK378">
            <v>2.1110000000000002</v>
          </cell>
          <cell r="AL378">
            <v>2.6230000000000002</v>
          </cell>
          <cell r="AM378">
            <v>3.323</v>
          </cell>
          <cell r="AN378"/>
          <cell r="AO378"/>
          <cell r="AP378"/>
          <cell r="AQ378"/>
          <cell r="AR378"/>
          <cell r="AS378"/>
          <cell r="AT378"/>
          <cell r="AU378"/>
          <cell r="AV378"/>
          <cell r="AW378"/>
          <cell r="AX378">
            <v>0.748</v>
          </cell>
          <cell r="AY378">
            <v>2901</v>
          </cell>
          <cell r="AZ378">
            <v>1966</v>
          </cell>
        </row>
        <row r="379">
          <cell r="A379">
            <v>40575</v>
          </cell>
          <cell r="B379">
            <v>1</v>
          </cell>
          <cell r="C379">
            <v>0.25</v>
          </cell>
          <cell r="D379">
            <v>0.70699999999999996</v>
          </cell>
          <cell r="E379"/>
          <cell r="F379"/>
          <cell r="G379"/>
          <cell r="H379"/>
          <cell r="I379"/>
          <cell r="J379"/>
          <cell r="K379"/>
          <cell r="L379"/>
          <cell r="M379"/>
          <cell r="N379"/>
          <cell r="O379">
            <v>0.89400000000000002</v>
          </cell>
          <cell r="P379">
            <v>1.087</v>
          </cell>
          <cell r="Q379">
            <v>1.3520000000000001</v>
          </cell>
          <cell r="R379">
            <v>1.714</v>
          </cell>
          <cell r="S379">
            <v>1.028</v>
          </cell>
          <cell r="T379">
            <v>1.4339999999999999</v>
          </cell>
          <cell r="U379">
            <v>1.786</v>
          </cell>
          <cell r="V379">
            <v>2.423</v>
          </cell>
          <cell r="W379">
            <v>3.2269999999999999</v>
          </cell>
          <cell r="X379">
            <v>3.6669999999999998</v>
          </cell>
          <cell r="Y379"/>
          <cell r="Z379"/>
          <cell r="AA379"/>
          <cell r="AB379"/>
          <cell r="AC379"/>
          <cell r="AD379"/>
          <cell r="AE379"/>
          <cell r="AF379"/>
          <cell r="AG379"/>
          <cell r="AH379"/>
          <cell r="AI379">
            <v>1.6339999999999999</v>
          </cell>
          <cell r="AJ379">
            <v>2.0630000000000002</v>
          </cell>
          <cell r="AK379">
            <v>2.3809999999999998</v>
          </cell>
          <cell r="AL379">
            <v>2.8530000000000002</v>
          </cell>
          <cell r="AM379">
            <v>3.4910000000000001</v>
          </cell>
          <cell r="AN379"/>
          <cell r="AO379"/>
          <cell r="AP379"/>
          <cell r="AQ379"/>
          <cell r="AR379"/>
          <cell r="AS379"/>
          <cell r="AT379"/>
          <cell r="AU379"/>
          <cell r="AV379"/>
          <cell r="AW379"/>
          <cell r="AX379">
            <v>0.73199999999999998</v>
          </cell>
          <cell r="AY379">
            <v>3016</v>
          </cell>
          <cell r="AZ379">
            <v>1952</v>
          </cell>
        </row>
        <row r="380">
          <cell r="A380">
            <v>40603</v>
          </cell>
          <cell r="B380">
            <v>1</v>
          </cell>
          <cell r="C380">
            <v>0.25</v>
          </cell>
          <cell r="D380">
            <v>0.65900000000000003</v>
          </cell>
          <cell r="E380"/>
          <cell r="F380"/>
          <cell r="G380"/>
          <cell r="H380"/>
          <cell r="I380"/>
          <cell r="J380"/>
          <cell r="K380"/>
          <cell r="L380"/>
          <cell r="M380"/>
          <cell r="N380"/>
          <cell r="O380">
            <v>0.90300000000000002</v>
          </cell>
          <cell r="P380">
            <v>1.1759999999999999</v>
          </cell>
          <cell r="Q380">
            <v>1.4830000000000001</v>
          </cell>
          <cell r="R380">
            <v>1.9239999999999999</v>
          </cell>
          <cell r="S380">
            <v>1.2370000000000001</v>
          </cell>
          <cell r="T380">
            <v>1.679</v>
          </cell>
          <cell r="U380">
            <v>1.9450000000000001</v>
          </cell>
          <cell r="V380">
            <v>2.5369999999999999</v>
          </cell>
          <cell r="W380">
            <v>3.2469999999999999</v>
          </cell>
          <cell r="X380">
            <v>3.6829999999999998</v>
          </cell>
          <cell r="Y380"/>
          <cell r="Z380"/>
          <cell r="AA380"/>
          <cell r="AB380"/>
          <cell r="AC380"/>
          <cell r="AD380"/>
          <cell r="AE380"/>
          <cell r="AF380"/>
          <cell r="AG380"/>
          <cell r="AH380"/>
          <cell r="AI380">
            <v>1.8069999999999999</v>
          </cell>
          <cell r="AJ380">
            <v>2.238</v>
          </cell>
          <cell r="AK380">
            <v>2.5369999999999999</v>
          </cell>
          <cell r="AL380">
            <v>2.9569999999999999</v>
          </cell>
          <cell r="AM380">
            <v>3.516</v>
          </cell>
          <cell r="AN380"/>
          <cell r="AO380"/>
          <cell r="AP380"/>
          <cell r="AQ380"/>
          <cell r="AR380"/>
          <cell r="AS380"/>
          <cell r="AT380"/>
          <cell r="AU380"/>
          <cell r="AV380"/>
          <cell r="AW380"/>
          <cell r="AX380">
            <v>0.71299999999999997</v>
          </cell>
          <cell r="AY380">
            <v>2890</v>
          </cell>
          <cell r="AZ380">
            <v>1928</v>
          </cell>
        </row>
        <row r="381">
          <cell r="A381">
            <v>40634</v>
          </cell>
          <cell r="B381">
            <v>1.25</v>
          </cell>
          <cell r="C381">
            <v>0.5</v>
          </cell>
          <cell r="D381">
            <v>0.96599999999999997</v>
          </cell>
          <cell r="E381"/>
          <cell r="F381"/>
          <cell r="G381"/>
          <cell r="H381"/>
          <cell r="I381"/>
          <cell r="J381"/>
          <cell r="K381"/>
          <cell r="L381"/>
          <cell r="M381"/>
          <cell r="N381"/>
          <cell r="O381">
            <v>1.127</v>
          </cell>
          <cell r="P381">
            <v>1.321</v>
          </cell>
          <cell r="Q381">
            <v>1.621</v>
          </cell>
          <cell r="R381">
            <v>2.0859999999999999</v>
          </cell>
          <cell r="S381">
            <v>1.3420000000000001</v>
          </cell>
          <cell r="T381">
            <v>1.8140000000000001</v>
          </cell>
          <cell r="U381">
            <v>2.09</v>
          </cell>
          <cell r="V381">
            <v>2.6880000000000002</v>
          </cell>
          <cell r="W381">
            <v>3.347</v>
          </cell>
          <cell r="X381">
            <v>3.8260000000000001</v>
          </cell>
          <cell r="Y381"/>
          <cell r="Z381"/>
          <cell r="AA381"/>
          <cell r="AB381"/>
          <cell r="AC381"/>
          <cell r="AD381"/>
          <cell r="AE381"/>
          <cell r="AF381"/>
          <cell r="AG381"/>
          <cell r="AH381"/>
          <cell r="AI381">
            <v>1.946</v>
          </cell>
          <cell r="AJ381">
            <v>2.37</v>
          </cell>
          <cell r="AK381">
            <v>2.681</v>
          </cell>
          <cell r="AL381">
            <v>3.1030000000000002</v>
          </cell>
          <cell r="AM381">
            <v>3.645</v>
          </cell>
          <cell r="AN381"/>
          <cell r="AO381"/>
          <cell r="AP381"/>
          <cell r="AQ381"/>
          <cell r="AR381"/>
          <cell r="AS381"/>
          <cell r="AT381"/>
          <cell r="AU381"/>
          <cell r="AV381"/>
          <cell r="AW381"/>
          <cell r="AX381">
            <v>0.69099999999999995</v>
          </cell>
          <cell r="AY381">
            <v>2947</v>
          </cell>
          <cell r="AZ381">
            <v>1894</v>
          </cell>
        </row>
        <row r="382">
          <cell r="A382">
            <v>40664</v>
          </cell>
          <cell r="B382">
            <v>1.25</v>
          </cell>
          <cell r="C382">
            <v>0.5</v>
          </cell>
          <cell r="D382">
            <v>1.0329999999999999</v>
          </cell>
          <cell r="E382"/>
          <cell r="F382"/>
          <cell r="G382"/>
          <cell r="H382"/>
          <cell r="I382"/>
          <cell r="J382"/>
          <cell r="K382"/>
          <cell r="L382"/>
          <cell r="M382"/>
          <cell r="N382"/>
          <cell r="O382">
            <v>1.2430000000000001</v>
          </cell>
          <cell r="P382">
            <v>1.425</v>
          </cell>
          <cell r="Q382">
            <v>1.7070000000000001</v>
          </cell>
          <cell r="R382">
            <v>2.1469999999999998</v>
          </cell>
          <cell r="S382">
            <v>1.4279999999999999</v>
          </cell>
          <cell r="T382">
            <v>1.742</v>
          </cell>
          <cell r="U382">
            <v>1.9279999999999999</v>
          </cell>
          <cell r="V382">
            <v>2.4470000000000001</v>
          </cell>
          <cell r="W382">
            <v>3.1070000000000002</v>
          </cell>
          <cell r="X382">
            <v>3.6080000000000001</v>
          </cell>
          <cell r="Y382"/>
          <cell r="Z382"/>
          <cell r="AA382"/>
          <cell r="AB382"/>
          <cell r="AC382"/>
          <cell r="AD382"/>
          <cell r="AE382"/>
          <cell r="AF382"/>
          <cell r="AG382"/>
          <cell r="AH382"/>
          <cell r="AI382">
            <v>1.958</v>
          </cell>
          <cell r="AJ382">
            <v>2.2639999999999998</v>
          </cell>
          <cell r="AK382">
            <v>2.5059999999999998</v>
          </cell>
          <cell r="AL382">
            <v>2.89</v>
          </cell>
          <cell r="AM382">
            <v>3.4279999999999999</v>
          </cell>
          <cell r="AN382"/>
          <cell r="AO382"/>
          <cell r="AP382"/>
          <cell r="AQ382"/>
          <cell r="AR382"/>
          <cell r="AS382"/>
          <cell r="AT382"/>
          <cell r="AU382"/>
          <cell r="AV382"/>
          <cell r="AW382"/>
          <cell r="AX382">
            <v>0.69799999999999995</v>
          </cell>
          <cell r="AY382">
            <v>2886</v>
          </cell>
          <cell r="AZ382">
            <v>1901</v>
          </cell>
        </row>
        <row r="383">
          <cell r="A383">
            <v>40695</v>
          </cell>
          <cell r="B383">
            <v>1.25</v>
          </cell>
          <cell r="C383">
            <v>0.5</v>
          </cell>
          <cell r="D383">
            <v>1.1240000000000001</v>
          </cell>
          <cell r="E383"/>
          <cell r="F383"/>
          <cell r="G383"/>
          <cell r="H383"/>
          <cell r="I383"/>
          <cell r="J383"/>
          <cell r="K383"/>
          <cell r="L383"/>
          <cell r="M383"/>
          <cell r="N383"/>
          <cell r="O383">
            <v>1.2789999999999999</v>
          </cell>
          <cell r="P383">
            <v>1.4890000000000001</v>
          </cell>
          <cell r="Q383">
            <v>1.7490000000000001</v>
          </cell>
          <cell r="R383">
            <v>2.1440000000000001</v>
          </cell>
          <cell r="S383">
            <v>1.3959999999999999</v>
          </cell>
          <cell r="T383">
            <v>1.546</v>
          </cell>
          <cell r="U383">
            <v>1.6859999999999999</v>
          </cell>
          <cell r="V383">
            <v>2.1989999999999998</v>
          </cell>
          <cell r="W383">
            <v>2.9740000000000002</v>
          </cell>
          <cell r="X383">
            <v>3.593</v>
          </cell>
          <cell r="Y383"/>
          <cell r="Z383"/>
          <cell r="AA383"/>
          <cell r="AB383"/>
          <cell r="AC383"/>
          <cell r="AD383"/>
          <cell r="AE383"/>
          <cell r="AF383"/>
          <cell r="AG383"/>
          <cell r="AH383"/>
          <cell r="AI383">
            <v>1.925</v>
          </cell>
          <cell r="AJ383">
            <v>2.1110000000000002</v>
          </cell>
          <cell r="AK383">
            <v>2.3170000000000002</v>
          </cell>
          <cell r="AL383">
            <v>2.726</v>
          </cell>
          <cell r="AM383">
            <v>3.3340000000000001</v>
          </cell>
          <cell r="AN383"/>
          <cell r="AO383"/>
          <cell r="AP383"/>
          <cell r="AQ383"/>
          <cell r="AR383"/>
          <cell r="AS383"/>
          <cell r="AT383"/>
          <cell r="AU383"/>
          <cell r="AV383"/>
          <cell r="AW383"/>
          <cell r="AX383">
            <v>0.69399999999999995</v>
          </cell>
          <cell r="AY383">
            <v>2767</v>
          </cell>
          <cell r="AZ383">
            <v>1972</v>
          </cell>
        </row>
        <row r="384">
          <cell r="A384">
            <v>40725</v>
          </cell>
          <cell r="B384">
            <v>1.5</v>
          </cell>
          <cell r="C384">
            <v>0.75</v>
          </cell>
          <cell r="D384">
            <v>1.012</v>
          </cell>
          <cell r="E384"/>
          <cell r="F384"/>
          <cell r="G384"/>
          <cell r="H384"/>
          <cell r="I384"/>
          <cell r="J384"/>
          <cell r="K384"/>
          <cell r="L384"/>
          <cell r="M384"/>
          <cell r="N384"/>
          <cell r="O384">
            <v>1.4219999999999999</v>
          </cell>
          <cell r="P384">
            <v>1.5980000000000001</v>
          </cell>
          <cell r="Q384">
            <v>1.8180000000000001</v>
          </cell>
          <cell r="R384">
            <v>2.1829999999999998</v>
          </cell>
          <cell r="S384">
            <v>1.286</v>
          </cell>
          <cell r="T384">
            <v>1.3680000000000001</v>
          </cell>
          <cell r="U384">
            <v>1.482</v>
          </cell>
          <cell r="V384">
            <v>1.978</v>
          </cell>
          <cell r="W384">
            <v>2.7850000000000001</v>
          </cell>
          <cell r="X384">
            <v>3.4780000000000002</v>
          </cell>
          <cell r="Y384"/>
          <cell r="Z384"/>
          <cell r="AA384"/>
          <cell r="AB384"/>
          <cell r="AC384"/>
          <cell r="AD384"/>
          <cell r="AE384"/>
          <cell r="AF384"/>
          <cell r="AG384"/>
          <cell r="AH384"/>
          <cell r="AI384">
            <v>1.919</v>
          </cell>
          <cell r="AJ384">
            <v>2.032</v>
          </cell>
          <cell r="AK384">
            <v>2.2170000000000001</v>
          </cell>
          <cell r="AL384">
            <v>2.6230000000000002</v>
          </cell>
          <cell r="AM384">
            <v>3.2480000000000002</v>
          </cell>
          <cell r="AN384"/>
          <cell r="AO384"/>
          <cell r="AP384"/>
          <cell r="AQ384"/>
          <cell r="AR384"/>
          <cell r="AS384"/>
          <cell r="AT384"/>
          <cell r="AU384"/>
          <cell r="AV384"/>
          <cell r="AW384"/>
          <cell r="AX384">
            <v>0.7</v>
          </cell>
          <cell r="AY384">
            <v>2743</v>
          </cell>
          <cell r="AZ384">
            <v>2000</v>
          </cell>
        </row>
        <row r="385">
          <cell r="A385">
            <v>40756</v>
          </cell>
          <cell r="B385">
            <v>1.5</v>
          </cell>
          <cell r="C385">
            <v>0.75</v>
          </cell>
          <cell r="D385">
            <v>0.90600000000000003</v>
          </cell>
          <cell r="E385"/>
          <cell r="F385"/>
          <cell r="G385"/>
          <cell r="H385"/>
          <cell r="I385"/>
          <cell r="J385"/>
          <cell r="K385"/>
          <cell r="L385"/>
          <cell r="M385"/>
          <cell r="N385"/>
          <cell r="O385">
            <v>1.373</v>
          </cell>
          <cell r="P385">
            <v>1.552</v>
          </cell>
          <cell r="Q385">
            <v>1.7549999999999999</v>
          </cell>
          <cell r="R385">
            <v>2.097</v>
          </cell>
          <cell r="S385">
            <v>0.71</v>
          </cell>
          <cell r="T385">
            <v>0.74199999999999999</v>
          </cell>
          <cell r="U385">
            <v>0.82699999999999996</v>
          </cell>
          <cell r="V385">
            <v>1.3540000000000001</v>
          </cell>
          <cell r="W385">
            <v>2.2530000000000001</v>
          </cell>
          <cell r="X385">
            <v>3.0710000000000002</v>
          </cell>
          <cell r="Y385"/>
          <cell r="Z385"/>
          <cell r="AA385"/>
          <cell r="AB385"/>
          <cell r="AC385"/>
          <cell r="AD385"/>
          <cell r="AE385"/>
          <cell r="AF385"/>
          <cell r="AG385"/>
          <cell r="AH385"/>
          <cell r="AI385">
            <v>1.607</v>
          </cell>
          <cell r="AJ385">
            <v>1.5549999999999999</v>
          </cell>
          <cell r="AK385">
            <v>1.72</v>
          </cell>
          <cell r="AL385">
            <v>2.1800000000000002</v>
          </cell>
          <cell r="AM385">
            <v>2.8969999999999998</v>
          </cell>
          <cell r="AN385"/>
          <cell r="AO385"/>
          <cell r="AP385"/>
          <cell r="AQ385"/>
          <cell r="AR385"/>
          <cell r="AS385"/>
          <cell r="AT385"/>
          <cell r="AU385"/>
          <cell r="AV385"/>
          <cell r="AW385"/>
          <cell r="AX385">
            <v>0.69799999999999995</v>
          </cell>
          <cell r="AY385">
            <v>2297</v>
          </cell>
          <cell r="AZ385">
            <v>2072</v>
          </cell>
        </row>
        <row r="386">
          <cell r="A386">
            <v>40787</v>
          </cell>
          <cell r="B386">
            <v>1.5</v>
          </cell>
          <cell r="C386">
            <v>0.75</v>
          </cell>
          <cell r="D386">
            <v>1.0049999999999999</v>
          </cell>
          <cell r="E386"/>
          <cell r="F386"/>
          <cell r="G386"/>
          <cell r="H386"/>
          <cell r="I386"/>
          <cell r="J386"/>
          <cell r="K386"/>
          <cell r="L386"/>
          <cell r="M386"/>
          <cell r="N386"/>
          <cell r="O386">
            <v>1.347</v>
          </cell>
          <cell r="P386">
            <v>1.536</v>
          </cell>
          <cell r="Q386">
            <v>1.736</v>
          </cell>
          <cell r="R386">
            <v>2.0670000000000002</v>
          </cell>
          <cell r="S386">
            <v>0.4</v>
          </cell>
          <cell r="T386">
            <v>0.49299999999999999</v>
          </cell>
          <cell r="U386">
            <v>0.66600000000000004</v>
          </cell>
          <cell r="V386">
            <v>1.0209999999999999</v>
          </cell>
          <cell r="W386">
            <v>1.867</v>
          </cell>
          <cell r="X386">
            <v>2.7210000000000001</v>
          </cell>
          <cell r="Y386"/>
          <cell r="Z386"/>
          <cell r="AA386"/>
          <cell r="AB386"/>
          <cell r="AC386"/>
          <cell r="AD386"/>
          <cell r="AE386"/>
          <cell r="AF386"/>
          <cell r="AG386"/>
          <cell r="AH386"/>
          <cell r="AI386">
            <v>1.5489999999999999</v>
          </cell>
          <cell r="AJ386">
            <v>1.448</v>
          </cell>
          <cell r="AK386">
            <v>1.5589999999999999</v>
          </cell>
          <cell r="AL386">
            <v>1.9490000000000001</v>
          </cell>
          <cell r="AM386">
            <v>2.5609999999999999</v>
          </cell>
          <cell r="AN386"/>
          <cell r="AO386"/>
          <cell r="AP386"/>
          <cell r="AQ386"/>
          <cell r="AR386"/>
          <cell r="AS386"/>
          <cell r="AT386"/>
          <cell r="AU386"/>
          <cell r="AV386"/>
          <cell r="AW386"/>
          <cell r="AX386">
            <v>0.72699999999999998</v>
          </cell>
          <cell r="AY386">
            <v>2124</v>
          </cell>
          <cell r="AZ386">
            <v>2289</v>
          </cell>
        </row>
        <row r="387">
          <cell r="A387">
            <v>40817</v>
          </cell>
          <cell r="B387">
            <v>1.5</v>
          </cell>
          <cell r="C387">
            <v>0.75</v>
          </cell>
          <cell r="D387">
            <v>0.96</v>
          </cell>
          <cell r="E387"/>
          <cell r="F387"/>
          <cell r="G387"/>
          <cell r="H387"/>
          <cell r="I387"/>
          <cell r="J387"/>
          <cell r="K387"/>
          <cell r="L387"/>
          <cell r="M387"/>
          <cell r="N387"/>
          <cell r="O387">
            <v>1.363</v>
          </cell>
          <cell r="P387">
            <v>1.5760000000000001</v>
          </cell>
          <cell r="Q387">
            <v>1.776</v>
          </cell>
          <cell r="R387">
            <v>2.11</v>
          </cell>
          <cell r="S387">
            <v>0.443</v>
          </cell>
          <cell r="T387">
            <v>0.59599999999999997</v>
          </cell>
          <cell r="U387">
            <v>0.76200000000000001</v>
          </cell>
          <cell r="V387">
            <v>1.252</v>
          </cell>
          <cell r="W387">
            <v>2.0419999999999998</v>
          </cell>
          <cell r="X387">
            <v>2.7850000000000001</v>
          </cell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>
            <v>1.6319999999999999</v>
          </cell>
          <cell r="AJ387">
            <v>1.5509999999999999</v>
          </cell>
          <cell r="AK387">
            <v>1.661</v>
          </cell>
          <cell r="AL387">
            <v>2.032</v>
          </cell>
          <cell r="AM387">
            <v>2.6190000000000002</v>
          </cell>
          <cell r="AN387"/>
          <cell r="AO387"/>
          <cell r="AP387"/>
          <cell r="AQ387"/>
          <cell r="AR387"/>
          <cell r="AS387"/>
          <cell r="AT387"/>
          <cell r="AU387"/>
          <cell r="AV387"/>
          <cell r="AW387"/>
          <cell r="AX387">
            <v>0.72899999999999998</v>
          </cell>
          <cell r="AY387">
            <v>2312</v>
          </cell>
          <cell r="AZ387">
            <v>2333</v>
          </cell>
        </row>
        <row r="388">
          <cell r="A388">
            <v>40848</v>
          </cell>
          <cell r="B388">
            <v>1.25</v>
          </cell>
          <cell r="C388">
            <v>0.5</v>
          </cell>
          <cell r="D388">
            <v>0.79</v>
          </cell>
          <cell r="E388"/>
          <cell r="F388"/>
          <cell r="G388"/>
          <cell r="H388"/>
          <cell r="I388"/>
          <cell r="J388"/>
          <cell r="K388"/>
          <cell r="L388"/>
          <cell r="M388"/>
          <cell r="N388"/>
          <cell r="O388">
            <v>1.2270000000000001</v>
          </cell>
          <cell r="P388">
            <v>1.4850000000000001</v>
          </cell>
          <cell r="Q388">
            <v>1.706</v>
          </cell>
          <cell r="R388">
            <v>2.044</v>
          </cell>
          <cell r="S388">
            <v>0.22800000000000001</v>
          </cell>
          <cell r="T388">
            <v>0.40300000000000002</v>
          </cell>
          <cell r="U388">
            <v>0.55000000000000004</v>
          </cell>
          <cell r="V388">
            <v>1.038</v>
          </cell>
          <cell r="W388">
            <v>1.9490000000000001</v>
          </cell>
          <cell r="X388">
            <v>2.65</v>
          </cell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>
            <v>1.5609999999999999</v>
          </cell>
          <cell r="AJ388">
            <v>1.482</v>
          </cell>
          <cell r="AK388">
            <v>1.5940000000000001</v>
          </cell>
          <cell r="AL388">
            <v>1.964</v>
          </cell>
          <cell r="AM388">
            <v>2.569</v>
          </cell>
          <cell r="AN388"/>
          <cell r="AO388"/>
          <cell r="AP388"/>
          <cell r="AQ388"/>
          <cell r="AR388"/>
          <cell r="AS388"/>
          <cell r="AT388"/>
          <cell r="AU388"/>
          <cell r="AV388"/>
          <cell r="AW388"/>
          <cell r="AX388">
            <v>0.73799999999999999</v>
          </cell>
          <cell r="AY388">
            <v>2240</v>
          </cell>
          <cell r="AZ388">
            <v>2420</v>
          </cell>
        </row>
        <row r="389">
          <cell r="A389">
            <v>40878</v>
          </cell>
          <cell r="B389">
            <v>1</v>
          </cell>
          <cell r="C389">
            <v>0.25</v>
          </cell>
          <cell r="D389">
            <v>0.627</v>
          </cell>
          <cell r="E389"/>
          <cell r="F389"/>
          <cell r="G389"/>
          <cell r="H389"/>
          <cell r="I389"/>
          <cell r="J389"/>
          <cell r="K389"/>
          <cell r="L389"/>
          <cell r="M389"/>
          <cell r="N389"/>
          <cell r="O389">
            <v>1.143</v>
          </cell>
          <cell r="P389">
            <v>1.4259999999999999</v>
          </cell>
          <cell r="Q389">
            <v>1.671</v>
          </cell>
          <cell r="R389">
            <v>2.004</v>
          </cell>
          <cell r="S389">
            <v>3.1E-2</v>
          </cell>
          <cell r="T389">
            <v>0.249</v>
          </cell>
          <cell r="U389">
            <v>0.4</v>
          </cell>
          <cell r="V389">
            <v>0.91800000000000004</v>
          </cell>
          <cell r="W389">
            <v>1.994</v>
          </cell>
          <cell r="X389">
            <v>2.5190000000000001</v>
          </cell>
          <cell r="Y389"/>
          <cell r="Z389"/>
          <cell r="AA389"/>
          <cell r="AB389"/>
          <cell r="AC389"/>
          <cell r="AD389"/>
          <cell r="AE389"/>
          <cell r="AF389"/>
          <cell r="AG389"/>
          <cell r="AH389"/>
          <cell r="AI389">
            <v>1.4790000000000001</v>
          </cell>
          <cell r="AJ389">
            <v>1.37</v>
          </cell>
          <cell r="AK389">
            <v>1.4590000000000001</v>
          </cell>
          <cell r="AL389">
            <v>1.8620000000000001</v>
          </cell>
          <cell r="AM389">
            <v>2.5209999999999999</v>
          </cell>
          <cell r="AN389"/>
          <cell r="AO389"/>
          <cell r="AP389"/>
          <cell r="AQ389"/>
          <cell r="AR389"/>
          <cell r="AS389"/>
          <cell r="AT389"/>
          <cell r="AU389"/>
          <cell r="AV389"/>
          <cell r="AW389"/>
          <cell r="AX389">
            <v>0.76100000000000001</v>
          </cell>
          <cell r="AY389">
            <v>2283</v>
          </cell>
          <cell r="AZ389">
            <v>2736</v>
          </cell>
        </row>
        <row r="390">
          <cell r="A390">
            <v>40909</v>
          </cell>
          <cell r="B390">
            <v>1</v>
          </cell>
          <cell r="C390">
            <v>0.25</v>
          </cell>
          <cell r="D390">
            <v>0.38</v>
          </cell>
          <cell r="E390"/>
          <cell r="F390"/>
          <cell r="G390"/>
          <cell r="H390"/>
          <cell r="I390"/>
          <cell r="J390"/>
          <cell r="K390"/>
          <cell r="L390"/>
          <cell r="M390"/>
          <cell r="N390"/>
          <cell r="O390">
            <v>0.83599999999999997</v>
          </cell>
          <cell r="P390">
            <v>1.222</v>
          </cell>
          <cell r="Q390">
            <v>1.5049999999999999</v>
          </cell>
          <cell r="R390">
            <v>1.837</v>
          </cell>
          <cell r="S390">
            <v>4.5999999999999999E-2</v>
          </cell>
          <cell r="T390">
            <v>0.18</v>
          </cell>
          <cell r="U390">
            <v>0.34399999999999997</v>
          </cell>
          <cell r="V390">
            <v>0.81399999999999995</v>
          </cell>
          <cell r="W390">
            <v>1.861</v>
          </cell>
          <cell r="X390">
            <v>2.4780000000000002</v>
          </cell>
          <cell r="Y390"/>
          <cell r="Z390"/>
          <cell r="AA390"/>
          <cell r="AB390"/>
          <cell r="AC390"/>
          <cell r="AD390"/>
          <cell r="AE390"/>
          <cell r="AF390"/>
          <cell r="AG390"/>
          <cell r="AH390"/>
          <cell r="AI390">
            <v>1.329</v>
          </cell>
          <cell r="AJ390">
            <v>1.222</v>
          </cell>
          <cell r="AK390">
            <v>1.2909999999999999</v>
          </cell>
          <cell r="AL390">
            <v>1.6559999999999999</v>
          </cell>
          <cell r="AM390">
            <v>2.3359999999999999</v>
          </cell>
          <cell r="AN390"/>
          <cell r="AO390"/>
          <cell r="AP390"/>
          <cell r="AQ390"/>
          <cell r="AR390"/>
          <cell r="AS390"/>
          <cell r="AT390"/>
          <cell r="AU390"/>
          <cell r="AV390"/>
          <cell r="AW390"/>
          <cell r="AX390">
            <v>0.77500000000000002</v>
          </cell>
          <cell r="AY390">
            <v>2382</v>
          </cell>
          <cell r="AZ390">
            <v>2683</v>
          </cell>
        </row>
        <row r="391">
          <cell r="A391">
            <v>40940</v>
          </cell>
          <cell r="B391">
            <v>1</v>
          </cell>
          <cell r="C391">
            <v>0.25</v>
          </cell>
          <cell r="D391">
            <v>0.36599999999999999</v>
          </cell>
          <cell r="E391"/>
          <cell r="F391"/>
          <cell r="G391"/>
          <cell r="H391"/>
          <cell r="I391"/>
          <cell r="J391"/>
          <cell r="K391"/>
          <cell r="L391"/>
          <cell r="M391"/>
          <cell r="N391"/>
          <cell r="O391">
            <v>0.626</v>
          </cell>
          <cell r="P391">
            <v>1.048</v>
          </cell>
          <cell r="Q391">
            <v>1.345</v>
          </cell>
          <cell r="R391">
            <v>1.6779999999999999</v>
          </cell>
          <cell r="S391">
            <v>0.14000000000000001</v>
          </cell>
          <cell r="T391">
            <v>0.23</v>
          </cell>
          <cell r="U391">
            <v>0.40300000000000002</v>
          </cell>
          <cell r="V391">
            <v>0.87</v>
          </cell>
          <cell r="W391">
            <v>1.903</v>
          </cell>
          <cell r="X391">
            <v>2.5150000000000001</v>
          </cell>
          <cell r="Y391"/>
          <cell r="Z391"/>
          <cell r="AA391"/>
          <cell r="AB391"/>
          <cell r="AC391"/>
          <cell r="AD391"/>
          <cell r="AE391"/>
          <cell r="AF391"/>
          <cell r="AG391"/>
          <cell r="AH391"/>
          <cell r="AI391">
            <v>1.218</v>
          </cell>
          <cell r="AJ391">
            <v>1.1479999999999999</v>
          </cell>
          <cell r="AK391">
            <v>1.2290000000000001</v>
          </cell>
          <cell r="AL391">
            <v>1.583</v>
          </cell>
          <cell r="AM391">
            <v>2.3130000000000002</v>
          </cell>
          <cell r="AN391"/>
          <cell r="AO391"/>
          <cell r="AP391"/>
          <cell r="AQ391"/>
          <cell r="AR391"/>
          <cell r="AS391"/>
          <cell r="AT391"/>
          <cell r="AU391"/>
          <cell r="AV391"/>
          <cell r="AW391"/>
          <cell r="AX391">
            <v>0.75600000000000001</v>
          </cell>
          <cell r="AY391">
            <v>2508</v>
          </cell>
          <cell r="AZ391">
            <v>2693</v>
          </cell>
        </row>
        <row r="392">
          <cell r="A392">
            <v>40969</v>
          </cell>
          <cell r="B392">
            <v>1</v>
          </cell>
          <cell r="C392">
            <v>0.25</v>
          </cell>
          <cell r="D392">
            <v>0.35699999999999998</v>
          </cell>
          <cell r="E392"/>
          <cell r="F392"/>
          <cell r="G392"/>
          <cell r="H392"/>
          <cell r="I392"/>
          <cell r="J392"/>
          <cell r="K392"/>
          <cell r="L392"/>
          <cell r="M392"/>
          <cell r="N392"/>
          <cell r="O392">
            <v>0.46700000000000003</v>
          </cell>
          <cell r="P392">
            <v>0.85799999999999998</v>
          </cell>
          <cell r="Q392">
            <v>1.1639999999999999</v>
          </cell>
          <cell r="R392">
            <v>1.4990000000000001</v>
          </cell>
          <cell r="S392">
            <v>0.13100000000000001</v>
          </cell>
          <cell r="T392">
            <v>0.22700000000000001</v>
          </cell>
          <cell r="U392">
            <v>0.36499999999999999</v>
          </cell>
          <cell r="V392">
            <v>0.876</v>
          </cell>
          <cell r="W392">
            <v>1.8779999999999999</v>
          </cell>
          <cell r="X392">
            <v>2.5249999999999999</v>
          </cell>
          <cell r="Y392"/>
          <cell r="Z392"/>
          <cell r="AA392"/>
          <cell r="AB392"/>
          <cell r="AC392"/>
          <cell r="AD392"/>
          <cell r="AE392"/>
          <cell r="AF392"/>
          <cell r="AG392"/>
          <cell r="AH392"/>
          <cell r="AI392">
            <v>1.08</v>
          </cell>
          <cell r="AJ392">
            <v>1.0900000000000001</v>
          </cell>
          <cell r="AK392">
            <v>1.2150000000000001</v>
          </cell>
          <cell r="AL392">
            <v>1.595</v>
          </cell>
          <cell r="AM392">
            <v>2.3109999999999999</v>
          </cell>
          <cell r="AN392"/>
          <cell r="AO392"/>
          <cell r="AP392"/>
          <cell r="AQ392"/>
          <cell r="AR392"/>
          <cell r="AS392"/>
          <cell r="AT392"/>
          <cell r="AU392"/>
          <cell r="AV392"/>
          <cell r="AW392"/>
          <cell r="AX392">
            <v>0.75700000000000001</v>
          </cell>
          <cell r="AY392">
            <v>2532</v>
          </cell>
          <cell r="AZ392">
            <v>2964</v>
          </cell>
        </row>
        <row r="393">
          <cell r="A393">
            <v>41000</v>
          </cell>
          <cell r="B393">
            <v>1</v>
          </cell>
          <cell r="C393">
            <v>0.25</v>
          </cell>
          <cell r="D393">
            <v>0.34499999999999997</v>
          </cell>
          <cell r="E393"/>
          <cell r="F393"/>
          <cell r="G393"/>
          <cell r="H393"/>
          <cell r="I393"/>
          <cell r="J393"/>
          <cell r="K393"/>
          <cell r="L393"/>
          <cell r="M393"/>
          <cell r="N393"/>
          <cell r="O393">
            <v>0.40899999999999997</v>
          </cell>
          <cell r="P393">
            <v>0.74399999999999999</v>
          </cell>
          <cell r="Q393">
            <v>1.04</v>
          </cell>
          <cell r="R393">
            <v>1.3680000000000001</v>
          </cell>
          <cell r="S393">
            <v>8.5999999999999993E-2</v>
          </cell>
          <cell r="T393">
            <v>0.13600000000000001</v>
          </cell>
          <cell r="U393">
            <v>0.23499999999999999</v>
          </cell>
          <cell r="V393">
            <v>0.68600000000000005</v>
          </cell>
          <cell r="W393">
            <v>1.7270000000000001</v>
          </cell>
          <cell r="X393">
            <v>2.4089999999999998</v>
          </cell>
          <cell r="Y393"/>
          <cell r="Z393"/>
          <cell r="AA393"/>
          <cell r="AB393"/>
          <cell r="AC393"/>
          <cell r="AD393"/>
          <cell r="AE393"/>
          <cell r="AF393"/>
          <cell r="AG393"/>
          <cell r="AH393"/>
          <cell r="AI393">
            <v>1.002</v>
          </cell>
          <cell r="AJ393">
            <v>1.0289999999999999</v>
          </cell>
          <cell r="AK393">
            <v>1.147</v>
          </cell>
          <cell r="AL393">
            <v>1.51</v>
          </cell>
          <cell r="AM393">
            <v>2.2320000000000002</v>
          </cell>
          <cell r="AN393"/>
          <cell r="AO393"/>
          <cell r="AP393"/>
          <cell r="AQ393"/>
          <cell r="AR393"/>
          <cell r="AS393"/>
          <cell r="AT393"/>
          <cell r="AU393"/>
          <cell r="AV393"/>
          <cell r="AW393"/>
          <cell r="AX393">
            <v>0.76</v>
          </cell>
          <cell r="AY393">
            <v>2341</v>
          </cell>
          <cell r="AZ393">
            <v>2962</v>
          </cell>
        </row>
        <row r="394">
          <cell r="A394">
            <v>41030</v>
          </cell>
          <cell r="B394">
            <v>1</v>
          </cell>
          <cell r="C394">
            <v>0.25</v>
          </cell>
          <cell r="D394">
            <v>0.33700000000000002</v>
          </cell>
          <cell r="E394"/>
          <cell r="F394"/>
          <cell r="G394"/>
          <cell r="H394"/>
          <cell r="I394"/>
          <cell r="J394"/>
          <cell r="K394"/>
          <cell r="L394"/>
          <cell r="M394"/>
          <cell r="N394"/>
          <cell r="O394">
            <v>0.39400000000000002</v>
          </cell>
          <cell r="P394">
            <v>0.68500000000000005</v>
          </cell>
          <cell r="Q394">
            <v>0.97</v>
          </cell>
          <cell r="R394">
            <v>1.266</v>
          </cell>
          <cell r="S394">
            <v>0.04</v>
          </cell>
          <cell r="T394">
            <v>6.0999999999999999E-2</v>
          </cell>
          <cell r="U394">
            <v>0.14299999999999999</v>
          </cell>
          <cell r="V394">
            <v>0.5</v>
          </cell>
          <cell r="W394">
            <v>1.4630000000000001</v>
          </cell>
          <cell r="X394">
            <v>2.117</v>
          </cell>
          <cell r="Y394"/>
          <cell r="Z394"/>
          <cell r="AA394"/>
          <cell r="AB394"/>
          <cell r="AC394"/>
          <cell r="AD394"/>
          <cell r="AE394"/>
          <cell r="AF394"/>
          <cell r="AG394"/>
          <cell r="AH394"/>
          <cell r="AI394">
            <v>0.93200000000000005</v>
          </cell>
          <cell r="AJ394">
            <v>0.93400000000000005</v>
          </cell>
          <cell r="AK394">
            <v>1.02</v>
          </cell>
          <cell r="AL394">
            <v>1.32</v>
          </cell>
          <cell r="AM394">
            <v>1.96</v>
          </cell>
          <cell r="AN394"/>
          <cell r="AO394"/>
          <cell r="AP394"/>
          <cell r="AQ394"/>
          <cell r="AR394"/>
          <cell r="AS394"/>
          <cell r="AT394"/>
          <cell r="AU394"/>
          <cell r="AV394"/>
          <cell r="AW394"/>
          <cell r="AX394">
            <v>0.78200000000000003</v>
          </cell>
          <cell r="AY394">
            <v>2199</v>
          </cell>
          <cell r="AZ394">
            <v>2980</v>
          </cell>
        </row>
        <row r="395">
          <cell r="A395">
            <v>41061</v>
          </cell>
          <cell r="B395">
            <v>1</v>
          </cell>
          <cell r="C395">
            <v>0.25</v>
          </cell>
          <cell r="D395">
            <v>0.33200000000000002</v>
          </cell>
          <cell r="E395"/>
          <cell r="F395"/>
          <cell r="G395"/>
          <cell r="H395"/>
          <cell r="I395"/>
          <cell r="J395"/>
          <cell r="K395"/>
          <cell r="L395"/>
          <cell r="M395"/>
          <cell r="N395"/>
          <cell r="O395">
            <v>0.38</v>
          </cell>
          <cell r="P395">
            <v>0.65900000000000003</v>
          </cell>
          <cell r="Q395">
            <v>0.93500000000000005</v>
          </cell>
          <cell r="R395">
            <v>1.2190000000000001</v>
          </cell>
          <cell r="S395">
            <v>4.5999999999999999E-2</v>
          </cell>
          <cell r="T395">
            <v>0.08</v>
          </cell>
          <cell r="U395">
            <v>0.157</v>
          </cell>
          <cell r="V395">
            <v>0.52200000000000002</v>
          </cell>
          <cell r="W395">
            <v>1.4319999999999999</v>
          </cell>
          <cell r="X395">
            <v>2.0739999999999998</v>
          </cell>
          <cell r="Y395"/>
          <cell r="Z395"/>
          <cell r="AA395"/>
          <cell r="AB395"/>
          <cell r="AC395"/>
          <cell r="AD395"/>
          <cell r="AE395"/>
          <cell r="AF395"/>
          <cell r="AG395"/>
          <cell r="AH395"/>
          <cell r="AI395">
            <v>0.874</v>
          </cell>
          <cell r="AJ395">
            <v>0.872</v>
          </cell>
          <cell r="AK395">
            <v>0.96399999999999997</v>
          </cell>
          <cell r="AL395">
            <v>1.29</v>
          </cell>
          <cell r="AM395">
            <v>1.871</v>
          </cell>
          <cell r="AN395"/>
          <cell r="AO395"/>
          <cell r="AP395"/>
          <cell r="AQ395"/>
          <cell r="AR395"/>
          <cell r="AS395"/>
          <cell r="AT395"/>
          <cell r="AU395"/>
          <cell r="AV395"/>
          <cell r="AW395"/>
          <cell r="AX395">
            <v>0.79700000000000004</v>
          </cell>
          <cell r="AY395">
            <v>2153</v>
          </cell>
          <cell r="AZ395">
            <v>3102</v>
          </cell>
        </row>
        <row r="396">
          <cell r="A396">
            <v>41091</v>
          </cell>
          <cell r="B396">
            <v>0.75</v>
          </cell>
          <cell r="C396">
            <v>0</v>
          </cell>
          <cell r="D396">
            <v>0.184</v>
          </cell>
          <cell r="E396"/>
          <cell r="F396"/>
          <cell r="G396"/>
          <cell r="H396"/>
          <cell r="I396"/>
          <cell r="J396"/>
          <cell r="K396"/>
          <cell r="L396"/>
          <cell r="M396"/>
          <cell r="N396"/>
          <cell r="O396">
            <v>0.219</v>
          </cell>
          <cell r="P396">
            <v>0.497</v>
          </cell>
          <cell r="Q396">
            <v>0.77900000000000003</v>
          </cell>
          <cell r="R396">
            <v>1.0609999999999999</v>
          </cell>
          <cell r="S396">
            <v>1.0999999999999999E-2</v>
          </cell>
          <cell r="T396">
            <v>-2.5999999999999999E-2</v>
          </cell>
          <cell r="U396">
            <v>2.7E-2</v>
          </cell>
          <cell r="V396">
            <v>0.34899999999999998</v>
          </cell>
          <cell r="W396">
            <v>1.306</v>
          </cell>
          <cell r="X396">
            <v>2.1760000000000002</v>
          </cell>
          <cell r="Y396"/>
          <cell r="Z396"/>
          <cell r="AA396"/>
          <cell r="AB396"/>
          <cell r="AC396"/>
          <cell r="AD396"/>
          <cell r="AE396"/>
          <cell r="AF396"/>
          <cell r="AG396"/>
          <cell r="AH396"/>
          <cell r="AI396">
            <v>0.70899999999999996</v>
          </cell>
          <cell r="AJ396">
            <v>0.70299999999999996</v>
          </cell>
          <cell r="AK396">
            <v>0.78200000000000003</v>
          </cell>
          <cell r="AL396">
            <v>1.095</v>
          </cell>
          <cell r="AM396">
            <v>1.796</v>
          </cell>
          <cell r="AN396"/>
          <cell r="AO396"/>
          <cell r="AP396"/>
          <cell r="AQ396"/>
          <cell r="AR396"/>
          <cell r="AS396"/>
          <cell r="AT396"/>
          <cell r="AU396"/>
          <cell r="AV396"/>
          <cell r="AW396"/>
          <cell r="AX396">
            <v>0.81399999999999995</v>
          </cell>
          <cell r="AY396">
            <v>2258</v>
          </cell>
          <cell r="AZ396">
            <v>3094</v>
          </cell>
        </row>
        <row r="397">
          <cell r="A397">
            <v>41122</v>
          </cell>
          <cell r="B397">
            <v>0.75</v>
          </cell>
          <cell r="C397">
            <v>0</v>
          </cell>
          <cell r="D397">
            <v>0.11</v>
          </cell>
          <cell r="E397"/>
          <cell r="F397"/>
          <cell r="G397"/>
          <cell r="H397"/>
          <cell r="I397"/>
          <cell r="J397"/>
          <cell r="K397"/>
          <cell r="L397"/>
          <cell r="M397"/>
          <cell r="N397"/>
          <cell r="O397">
            <v>0.13200000000000001</v>
          </cell>
          <cell r="P397">
            <v>0.33200000000000002</v>
          </cell>
          <cell r="Q397">
            <v>0.60599999999999998</v>
          </cell>
          <cell r="R397">
            <v>0.877</v>
          </cell>
          <cell r="S397">
            <v>-1.2E-2</v>
          </cell>
          <cell r="T397">
            <v>-3.3000000000000002E-2</v>
          </cell>
          <cell r="U397">
            <v>8.9999999999999993E-3</v>
          </cell>
          <cell r="V397">
            <v>0.39100000000000001</v>
          </cell>
          <cell r="W397">
            <v>1.417</v>
          </cell>
          <cell r="X397">
            <v>2.2360000000000002</v>
          </cell>
          <cell r="Y397"/>
          <cell r="Z397"/>
          <cell r="AA397"/>
          <cell r="AB397"/>
          <cell r="AC397"/>
          <cell r="AD397"/>
          <cell r="AE397"/>
          <cell r="AF397"/>
          <cell r="AG397"/>
          <cell r="AH397"/>
          <cell r="AI397">
            <v>0.55500000000000005</v>
          </cell>
          <cell r="AJ397">
            <v>0.57099999999999995</v>
          </cell>
          <cell r="AK397">
            <v>0.67400000000000004</v>
          </cell>
          <cell r="AL397">
            <v>1.0349999999999999</v>
          </cell>
          <cell r="AM397">
            <v>1.8149999999999999</v>
          </cell>
          <cell r="AN397"/>
          <cell r="AO397"/>
          <cell r="AP397"/>
          <cell r="AQ397"/>
          <cell r="AR397"/>
          <cell r="AS397"/>
          <cell r="AT397"/>
          <cell r="AU397"/>
          <cell r="AV397"/>
          <cell r="AW397"/>
          <cell r="AX397">
            <v>0.80600000000000005</v>
          </cell>
          <cell r="AY397">
            <v>2425</v>
          </cell>
          <cell r="AZ397">
            <v>3085</v>
          </cell>
        </row>
        <row r="398">
          <cell r="A398">
            <v>41153</v>
          </cell>
          <cell r="B398">
            <v>0.75</v>
          </cell>
          <cell r="C398">
            <v>0</v>
          </cell>
          <cell r="D398">
            <v>9.9000000000000005E-2</v>
          </cell>
          <cell r="E398"/>
          <cell r="F398"/>
          <cell r="G398"/>
          <cell r="H398"/>
          <cell r="I398"/>
          <cell r="J398"/>
          <cell r="K398"/>
          <cell r="L398"/>
          <cell r="M398"/>
          <cell r="N398"/>
          <cell r="O398">
            <v>0.11899999999999999</v>
          </cell>
          <cell r="P398">
            <v>0.246</v>
          </cell>
          <cell r="Q398">
            <v>0.48399999999999999</v>
          </cell>
          <cell r="R398">
            <v>0.74</v>
          </cell>
          <cell r="S398">
            <v>1.4999999999999999E-2</v>
          </cell>
          <cell r="T398">
            <v>4.1000000000000002E-2</v>
          </cell>
          <cell r="U398">
            <v>0.125</v>
          </cell>
          <cell r="V398">
            <v>0.53800000000000003</v>
          </cell>
          <cell r="W398">
            <v>1.5449999999999999</v>
          </cell>
          <cell r="X398">
            <v>2.363</v>
          </cell>
          <cell r="Y398"/>
          <cell r="Z398"/>
          <cell r="AA398"/>
          <cell r="AB398"/>
          <cell r="AC398"/>
          <cell r="AD398"/>
          <cell r="AE398"/>
          <cell r="AF398"/>
          <cell r="AG398"/>
          <cell r="AH398"/>
          <cell r="AI398">
            <v>0.45300000000000001</v>
          </cell>
          <cell r="AJ398">
            <v>0.495</v>
          </cell>
          <cell r="AK398">
            <v>0.61199999999999999</v>
          </cell>
          <cell r="AL398">
            <v>0.99299999999999999</v>
          </cell>
          <cell r="AM398">
            <v>1.8169999999999999</v>
          </cell>
          <cell r="AN398"/>
          <cell r="AO398"/>
          <cell r="AP398"/>
          <cell r="AQ398"/>
          <cell r="AR398"/>
          <cell r="AS398"/>
          <cell r="AT398"/>
          <cell r="AU398"/>
          <cell r="AV398"/>
          <cell r="AW398"/>
          <cell r="AX398">
            <v>0.77700000000000002</v>
          </cell>
          <cell r="AY398">
            <v>2531</v>
          </cell>
          <cell r="AZ398">
            <v>3082</v>
          </cell>
        </row>
        <row r="399">
          <cell r="A399">
            <v>41183</v>
          </cell>
          <cell r="B399">
            <v>0.75</v>
          </cell>
          <cell r="C399">
            <v>0</v>
          </cell>
          <cell r="D399">
            <v>9.0999999999999998E-2</v>
          </cell>
          <cell r="E399"/>
          <cell r="F399"/>
          <cell r="G399"/>
          <cell r="H399"/>
          <cell r="I399"/>
          <cell r="J399"/>
          <cell r="K399"/>
          <cell r="L399"/>
          <cell r="M399"/>
          <cell r="N399"/>
          <cell r="O399">
            <v>0.111</v>
          </cell>
          <cell r="P399">
            <v>0.20799999999999999</v>
          </cell>
          <cell r="Q399">
            <v>0.41199999999999998</v>
          </cell>
          <cell r="R399">
            <v>0.65</v>
          </cell>
          <cell r="S399">
            <v>0.01</v>
          </cell>
          <cell r="T399">
            <v>6.3E-2</v>
          </cell>
          <cell r="U399">
            <v>0.14099999999999999</v>
          </cell>
          <cell r="V399">
            <v>0.55200000000000005</v>
          </cell>
          <cell r="W399">
            <v>1.5149999999999999</v>
          </cell>
          <cell r="X399">
            <v>2.3610000000000002</v>
          </cell>
          <cell r="Y399"/>
          <cell r="Z399"/>
          <cell r="AA399"/>
          <cell r="AB399"/>
          <cell r="AC399"/>
          <cell r="AD399"/>
          <cell r="AE399"/>
          <cell r="AF399"/>
          <cell r="AG399"/>
          <cell r="AH399"/>
          <cell r="AI399">
            <v>0.41199999999999998</v>
          </cell>
          <cell r="AJ399">
            <v>0.48099999999999998</v>
          </cell>
          <cell r="AK399">
            <v>0.60199999999999998</v>
          </cell>
          <cell r="AL399">
            <v>0.96899999999999997</v>
          </cell>
          <cell r="AM399">
            <v>1.7909999999999999</v>
          </cell>
          <cell r="AN399"/>
          <cell r="AO399"/>
          <cell r="AP399"/>
          <cell r="AQ399"/>
          <cell r="AR399"/>
          <cell r="AS399"/>
          <cell r="AT399"/>
          <cell r="AU399"/>
          <cell r="AV399"/>
          <cell r="AW399"/>
          <cell r="AX399">
            <v>0.77100000000000002</v>
          </cell>
          <cell r="AY399">
            <v>2503</v>
          </cell>
          <cell r="AZ399">
            <v>3047</v>
          </cell>
        </row>
        <row r="400">
          <cell r="A400">
            <v>41214</v>
          </cell>
          <cell r="B400">
            <v>0.75</v>
          </cell>
          <cell r="C400">
            <v>0</v>
          </cell>
          <cell r="D400">
            <v>7.9000000000000001E-2</v>
          </cell>
          <cell r="E400"/>
          <cell r="F400"/>
          <cell r="G400"/>
          <cell r="H400"/>
          <cell r="I400"/>
          <cell r="J400"/>
          <cell r="K400"/>
          <cell r="L400"/>
          <cell r="M400"/>
          <cell r="N400"/>
          <cell r="O400">
            <v>0.109</v>
          </cell>
          <cell r="P400">
            <v>0.192</v>
          </cell>
          <cell r="Q400">
            <v>0.36</v>
          </cell>
          <cell r="R400">
            <v>0.58799999999999997</v>
          </cell>
          <cell r="S400">
            <v>6.0000000000000001E-3</v>
          </cell>
          <cell r="T400">
            <v>-1.0999999999999999E-2</v>
          </cell>
          <cell r="U400">
            <v>4.4999999999999998E-2</v>
          </cell>
          <cell r="V400">
            <v>0.40600000000000003</v>
          </cell>
          <cell r="W400">
            <v>1.391</v>
          </cell>
          <cell r="X400">
            <v>2.2679999999999998</v>
          </cell>
          <cell r="Y400"/>
          <cell r="Z400"/>
          <cell r="AA400"/>
          <cell r="AB400"/>
          <cell r="AC400"/>
          <cell r="AD400"/>
          <cell r="AE400"/>
          <cell r="AF400"/>
          <cell r="AG400"/>
          <cell r="AH400"/>
          <cell r="AI400">
            <v>0.35599999999999998</v>
          </cell>
          <cell r="AJ400">
            <v>0.41099999999999998</v>
          </cell>
          <cell r="AK400">
            <v>0.52500000000000002</v>
          </cell>
          <cell r="AL400">
            <v>0.88</v>
          </cell>
          <cell r="AM400">
            <v>1.704</v>
          </cell>
          <cell r="AN400"/>
          <cell r="AO400"/>
          <cell r="AP400"/>
          <cell r="AQ400"/>
          <cell r="AR400"/>
          <cell r="AS400"/>
          <cell r="AT400"/>
          <cell r="AU400"/>
          <cell r="AV400"/>
          <cell r="AW400"/>
          <cell r="AX400">
            <v>0.77900000000000003</v>
          </cell>
          <cell r="AY400">
            <v>2514</v>
          </cell>
          <cell r="AZ400">
            <v>3033</v>
          </cell>
        </row>
        <row r="401">
          <cell r="A401">
            <v>41244</v>
          </cell>
          <cell r="B401">
            <v>0.75</v>
          </cell>
          <cell r="C401">
            <v>0</v>
          </cell>
          <cell r="D401">
            <v>7.2999999999999995E-2</v>
          </cell>
          <cell r="E401"/>
          <cell r="F401"/>
          <cell r="G401"/>
          <cell r="H401"/>
          <cell r="I401"/>
          <cell r="J401"/>
          <cell r="K401"/>
          <cell r="L401"/>
          <cell r="M401"/>
          <cell r="N401"/>
          <cell r="O401">
            <v>0.111</v>
          </cell>
          <cell r="P401">
            <v>0.185</v>
          </cell>
          <cell r="Q401">
            <v>0.32400000000000001</v>
          </cell>
          <cell r="R401">
            <v>0.54900000000000004</v>
          </cell>
          <cell r="S401">
            <v>0.02</v>
          </cell>
          <cell r="T401">
            <v>-2.1999999999999999E-2</v>
          </cell>
          <cell r="U401">
            <v>1.2E-2</v>
          </cell>
          <cell r="V401">
            <v>0.34599999999999997</v>
          </cell>
          <cell r="W401">
            <v>1.3560000000000001</v>
          </cell>
          <cell r="X401">
            <v>2.2480000000000002</v>
          </cell>
          <cell r="Y401"/>
          <cell r="Z401"/>
          <cell r="AA401"/>
          <cell r="AB401"/>
          <cell r="AC401"/>
          <cell r="AD401"/>
          <cell r="AE401"/>
          <cell r="AF401"/>
          <cell r="AG401"/>
          <cell r="AH401"/>
          <cell r="AI401">
            <v>0.316</v>
          </cell>
          <cell r="AJ401">
            <v>0.36699999999999999</v>
          </cell>
          <cell r="AK401">
            <v>0.46700000000000003</v>
          </cell>
          <cell r="AL401">
            <v>0.80300000000000005</v>
          </cell>
          <cell r="AM401">
            <v>1.6120000000000001</v>
          </cell>
          <cell r="AN401"/>
          <cell r="AO401"/>
          <cell r="AP401"/>
          <cell r="AQ401"/>
          <cell r="AR401"/>
          <cell r="AS401"/>
          <cell r="AT401"/>
          <cell r="AU401"/>
          <cell r="AV401"/>
          <cell r="AW401"/>
          <cell r="AX401">
            <v>0.76200000000000001</v>
          </cell>
          <cell r="AY401">
            <v>2626</v>
          </cell>
          <cell r="AZ401">
            <v>3018</v>
          </cell>
        </row>
        <row r="402">
          <cell r="A402">
            <v>41275</v>
          </cell>
          <cell r="B402">
            <v>0.75</v>
          </cell>
          <cell r="C402">
            <v>0</v>
          </cell>
          <cell r="D402">
            <v>6.9000000000000006E-2</v>
          </cell>
          <cell r="E402"/>
          <cell r="F402"/>
          <cell r="G402"/>
          <cell r="H402"/>
          <cell r="I402"/>
          <cell r="J402"/>
          <cell r="K402"/>
          <cell r="L402"/>
          <cell r="M402"/>
          <cell r="N402"/>
          <cell r="O402">
            <v>0.113</v>
          </cell>
          <cell r="P402">
            <v>0.20499999999999999</v>
          </cell>
          <cell r="Q402">
            <v>0.34399999999999997</v>
          </cell>
          <cell r="R402">
            <v>0.57499999999999996</v>
          </cell>
          <cell r="S402">
            <v>6.4000000000000001E-2</v>
          </cell>
          <cell r="T402">
            <v>0.14899999999999999</v>
          </cell>
          <cell r="U402">
            <v>0.22500000000000001</v>
          </cell>
          <cell r="V402">
            <v>0.60299999999999998</v>
          </cell>
          <cell r="W402">
            <v>1.56</v>
          </cell>
          <cell r="X402">
            <v>2.375</v>
          </cell>
          <cell r="Y402"/>
          <cell r="Z402"/>
          <cell r="AA402"/>
          <cell r="AB402"/>
          <cell r="AC402"/>
          <cell r="AD402"/>
          <cell r="AE402"/>
          <cell r="AF402"/>
          <cell r="AG402"/>
          <cell r="AH402"/>
          <cell r="AI402">
            <v>0.41699999999999998</v>
          </cell>
          <cell r="AJ402">
            <v>0.53300000000000003</v>
          </cell>
          <cell r="AK402">
            <v>0.66300000000000003</v>
          </cell>
          <cell r="AL402">
            <v>0.995</v>
          </cell>
          <cell r="AM402">
            <v>1.7629999999999999</v>
          </cell>
          <cell r="AN402"/>
          <cell r="AO402"/>
          <cell r="AP402"/>
          <cell r="AQ402"/>
          <cell r="AR402"/>
          <cell r="AS402"/>
          <cell r="AT402"/>
          <cell r="AU402"/>
          <cell r="AV402"/>
          <cell r="AW402"/>
          <cell r="AX402">
            <v>0.752</v>
          </cell>
          <cell r="AY402">
            <v>2715</v>
          </cell>
          <cell r="AZ402">
            <v>2929</v>
          </cell>
        </row>
        <row r="403">
          <cell r="A403">
            <v>41306</v>
          </cell>
          <cell r="B403">
            <v>0.75</v>
          </cell>
          <cell r="C403">
            <v>0</v>
          </cell>
          <cell r="D403">
            <v>6.8000000000000005E-2</v>
          </cell>
          <cell r="E403"/>
          <cell r="F403"/>
          <cell r="G403"/>
          <cell r="H403"/>
          <cell r="I403"/>
          <cell r="J403"/>
          <cell r="K403"/>
          <cell r="L403"/>
          <cell r="M403"/>
          <cell r="N403"/>
          <cell r="O403">
            <v>0.12</v>
          </cell>
          <cell r="P403">
            <v>0.223</v>
          </cell>
          <cell r="Q403">
            <v>0.36199999999999999</v>
          </cell>
          <cell r="R403">
            <v>0.59399999999999997</v>
          </cell>
          <cell r="S403">
            <v>7.0000000000000007E-2</v>
          </cell>
          <cell r="T403">
            <v>0.16900000000000001</v>
          </cell>
          <cell r="U403">
            <v>0.25</v>
          </cell>
          <cell r="V403">
            <v>0.61399999999999999</v>
          </cell>
          <cell r="W403">
            <v>1.597</v>
          </cell>
          <cell r="X403">
            <v>2.39</v>
          </cell>
          <cell r="Y403"/>
          <cell r="Z403"/>
          <cell r="AA403"/>
          <cell r="AB403"/>
          <cell r="AC403"/>
          <cell r="AD403"/>
          <cell r="AE403"/>
          <cell r="AF403"/>
          <cell r="AG403"/>
          <cell r="AH403"/>
          <cell r="AI403">
            <v>0.435</v>
          </cell>
          <cell r="AJ403">
            <v>0.56899999999999995</v>
          </cell>
          <cell r="AK403">
            <v>0.71599999999999997</v>
          </cell>
          <cell r="AL403">
            <v>1.071</v>
          </cell>
          <cell r="AM403">
            <v>1.8540000000000001</v>
          </cell>
          <cell r="AN403"/>
          <cell r="AO403"/>
          <cell r="AP403"/>
          <cell r="AQ403"/>
          <cell r="AR403"/>
          <cell r="AS403"/>
          <cell r="AT403"/>
          <cell r="AU403"/>
          <cell r="AV403"/>
          <cell r="AW403"/>
          <cell r="AX403">
            <v>0.75</v>
          </cell>
          <cell r="AY403">
            <v>2630</v>
          </cell>
          <cell r="AZ403">
            <v>2749</v>
          </cell>
        </row>
        <row r="404">
          <cell r="A404">
            <v>41334</v>
          </cell>
          <cell r="B404">
            <v>0.75</v>
          </cell>
          <cell r="C404">
            <v>0</v>
          </cell>
          <cell r="D404">
            <v>6.7000000000000004E-2</v>
          </cell>
          <cell r="E404"/>
          <cell r="F404"/>
          <cell r="G404"/>
          <cell r="H404"/>
          <cell r="I404"/>
          <cell r="J404"/>
          <cell r="K404"/>
          <cell r="L404"/>
          <cell r="M404"/>
          <cell r="N404"/>
          <cell r="O404">
            <v>0.11799999999999999</v>
          </cell>
          <cell r="P404">
            <v>0.20599999999999999</v>
          </cell>
          <cell r="Q404">
            <v>0.32900000000000001</v>
          </cell>
          <cell r="R404">
            <v>0.54500000000000004</v>
          </cell>
          <cell r="S404">
            <v>0.03</v>
          </cell>
          <cell r="T404">
            <v>3.3000000000000002E-2</v>
          </cell>
          <cell r="U404">
            <v>8.1000000000000003E-2</v>
          </cell>
          <cell r="V404">
            <v>0.40200000000000002</v>
          </cell>
          <cell r="W404">
            <v>1.4079999999999999</v>
          </cell>
          <cell r="X404">
            <v>2.2909999999999999</v>
          </cell>
          <cell r="Y404"/>
          <cell r="Z404"/>
          <cell r="AA404"/>
          <cell r="AB404"/>
          <cell r="AC404"/>
          <cell r="AD404"/>
          <cell r="AE404"/>
          <cell r="AF404"/>
          <cell r="AG404"/>
          <cell r="AH404"/>
          <cell r="AI404">
            <v>0.377</v>
          </cell>
          <cell r="AJ404">
            <v>0.46800000000000003</v>
          </cell>
          <cell r="AK404">
            <v>0.58699999999999997</v>
          </cell>
          <cell r="AL404">
            <v>0.91600000000000004</v>
          </cell>
          <cell r="AM404">
            <v>1.712</v>
          </cell>
          <cell r="AN404"/>
          <cell r="AO404"/>
          <cell r="AP404"/>
          <cell r="AQ404"/>
          <cell r="AR404"/>
          <cell r="AS404"/>
          <cell r="AT404"/>
          <cell r="AU404"/>
          <cell r="AV404"/>
          <cell r="AW404"/>
          <cell r="AX404">
            <v>0.77200000000000002</v>
          </cell>
          <cell r="AY404">
            <v>2680</v>
          </cell>
          <cell r="AZ404">
            <v>2648</v>
          </cell>
        </row>
        <row r="405">
          <cell r="A405">
            <v>41365</v>
          </cell>
          <cell r="B405">
            <v>0.75</v>
          </cell>
          <cell r="C405">
            <v>0</v>
          </cell>
          <cell r="D405">
            <v>8.1000000000000003E-2</v>
          </cell>
          <cell r="E405"/>
          <cell r="F405"/>
          <cell r="G405"/>
          <cell r="H405"/>
          <cell r="I405"/>
          <cell r="J405"/>
          <cell r="K405"/>
          <cell r="L405"/>
          <cell r="M405"/>
          <cell r="N405"/>
          <cell r="O405">
            <v>0.11799999999999999</v>
          </cell>
          <cell r="P405">
            <v>0.20899999999999999</v>
          </cell>
          <cell r="Q405">
            <v>0.32400000000000001</v>
          </cell>
          <cell r="R405">
            <v>0.52800000000000002</v>
          </cell>
          <cell r="S405">
            <v>1.0999999999999999E-2</v>
          </cell>
          <cell r="T405">
            <v>1.2999999999999999E-2</v>
          </cell>
          <cell r="U405">
            <v>5.6000000000000001E-2</v>
          </cell>
          <cell r="V405">
            <v>0.31900000000000001</v>
          </cell>
          <cell r="W405">
            <v>1.2509999999999999</v>
          </cell>
          <cell r="X405">
            <v>2.169</v>
          </cell>
          <cell r="Y405"/>
          <cell r="Z405"/>
          <cell r="AA405"/>
          <cell r="AB405"/>
          <cell r="AC405"/>
          <cell r="AD405"/>
          <cell r="AE405"/>
          <cell r="AF405"/>
          <cell r="AG405"/>
          <cell r="AH405"/>
          <cell r="AI405">
            <v>0.35299999999999998</v>
          </cell>
          <cell r="AJ405">
            <v>0.42699999999999999</v>
          </cell>
          <cell r="AK405">
            <v>0.52300000000000002</v>
          </cell>
          <cell r="AL405">
            <v>0.81599999999999995</v>
          </cell>
          <cell r="AM405">
            <v>1.5660000000000001</v>
          </cell>
          <cell r="AN405"/>
          <cell r="AO405"/>
          <cell r="AP405"/>
          <cell r="AQ405"/>
          <cell r="AR405"/>
          <cell r="AS405"/>
          <cell r="AT405"/>
          <cell r="AU405"/>
          <cell r="AV405"/>
          <cell r="AW405"/>
          <cell r="AX405">
            <v>0.76800000000000002</v>
          </cell>
          <cell r="AY405">
            <v>2636</v>
          </cell>
          <cell r="AZ405">
            <v>2611</v>
          </cell>
        </row>
        <row r="406">
          <cell r="A406">
            <v>41395</v>
          </cell>
          <cell r="B406">
            <v>0.5</v>
          </cell>
          <cell r="C406">
            <v>0</v>
          </cell>
          <cell r="D406">
            <v>7.9000000000000001E-2</v>
          </cell>
          <cell r="E406"/>
          <cell r="F406"/>
          <cell r="G406"/>
          <cell r="H406"/>
          <cell r="I406"/>
          <cell r="J406"/>
          <cell r="K406"/>
          <cell r="L406"/>
          <cell r="M406"/>
          <cell r="N406"/>
          <cell r="O406">
            <v>0.112</v>
          </cell>
          <cell r="P406">
            <v>0.20100000000000001</v>
          </cell>
          <cell r="Q406">
            <v>0.29899999999999999</v>
          </cell>
          <cell r="R406">
            <v>0.48399999999999999</v>
          </cell>
          <cell r="S406">
            <v>7.0000000000000001E-3</v>
          </cell>
          <cell r="T406">
            <v>1.9E-2</v>
          </cell>
          <cell r="U406">
            <v>7.9000000000000001E-2</v>
          </cell>
          <cell r="V406">
            <v>0.40899999999999997</v>
          </cell>
          <cell r="W406">
            <v>1.3660000000000001</v>
          </cell>
          <cell r="X406">
            <v>2.2690000000000001</v>
          </cell>
          <cell r="Y406"/>
          <cell r="Z406"/>
          <cell r="AA406"/>
          <cell r="AB406"/>
          <cell r="AC406"/>
          <cell r="AD406"/>
          <cell r="AE406"/>
          <cell r="AF406"/>
          <cell r="AG406"/>
          <cell r="AH406"/>
          <cell r="AI406">
            <v>0.313</v>
          </cell>
          <cell r="AJ406">
            <v>0.39100000000000001</v>
          </cell>
          <cell r="AK406">
            <v>0.505</v>
          </cell>
          <cell r="AL406">
            <v>0.83099999999999996</v>
          </cell>
          <cell r="AM406">
            <v>1.6180000000000001</v>
          </cell>
          <cell r="AN406"/>
          <cell r="AO406"/>
          <cell r="AP406"/>
          <cell r="AQ406"/>
          <cell r="AR406"/>
          <cell r="AS406"/>
          <cell r="AT406"/>
          <cell r="AU406"/>
          <cell r="AV406"/>
          <cell r="AW406"/>
          <cell r="AX406">
            <v>0.77100000000000002</v>
          </cell>
          <cell r="AY406">
            <v>2786</v>
          </cell>
          <cell r="AZ406">
            <v>2549</v>
          </cell>
        </row>
        <row r="407">
          <cell r="A407">
            <v>41426</v>
          </cell>
          <cell r="B407">
            <v>0.5</v>
          </cell>
          <cell r="C407">
            <v>0</v>
          </cell>
          <cell r="D407">
            <v>8.5999999999999993E-2</v>
          </cell>
          <cell r="E407"/>
          <cell r="F407"/>
          <cell r="G407"/>
          <cell r="H407"/>
          <cell r="I407"/>
          <cell r="J407"/>
          <cell r="K407"/>
          <cell r="L407"/>
          <cell r="M407"/>
          <cell r="N407"/>
          <cell r="O407">
            <v>0.121</v>
          </cell>
          <cell r="P407">
            <v>0.21</v>
          </cell>
          <cell r="Q407">
            <v>0.32100000000000001</v>
          </cell>
          <cell r="R407">
            <v>0.50700000000000001</v>
          </cell>
          <cell r="S407">
            <v>7.6999999999999999E-2</v>
          </cell>
          <cell r="T407">
            <v>0.17699999999999999</v>
          </cell>
          <cell r="U407">
            <v>0.25700000000000001</v>
          </cell>
          <cell r="V407">
            <v>0.65</v>
          </cell>
          <cell r="W407">
            <v>1.619</v>
          </cell>
          <cell r="X407">
            <v>2.4289999999999998</v>
          </cell>
          <cell r="Y407"/>
          <cell r="Z407"/>
          <cell r="AA407"/>
          <cell r="AB407"/>
          <cell r="AC407"/>
          <cell r="AD407"/>
          <cell r="AE407"/>
          <cell r="AF407"/>
          <cell r="AG407"/>
          <cell r="AH407"/>
          <cell r="AI407">
            <v>0.40300000000000002</v>
          </cell>
          <cell r="AJ407">
            <v>0.56399999999999995</v>
          </cell>
          <cell r="AK407">
            <v>0.73699999999999999</v>
          </cell>
          <cell r="AL407">
            <v>1.1399999999999999</v>
          </cell>
          <cell r="AM407">
            <v>1.9</v>
          </cell>
          <cell r="AN407"/>
          <cell r="AO407"/>
          <cell r="AP407"/>
          <cell r="AQ407"/>
          <cell r="AR407"/>
          <cell r="AS407"/>
          <cell r="AT407"/>
          <cell r="AU407"/>
          <cell r="AV407"/>
          <cell r="AW407"/>
          <cell r="AX407">
            <v>0.75800000000000001</v>
          </cell>
          <cell r="AY407">
            <v>2656</v>
          </cell>
          <cell r="AZ407">
            <v>2430</v>
          </cell>
        </row>
        <row r="408">
          <cell r="A408">
            <v>41456</v>
          </cell>
          <cell r="B408">
            <v>0.5</v>
          </cell>
          <cell r="C408">
            <v>0</v>
          </cell>
          <cell r="D408">
            <v>9.2999999999999999E-2</v>
          </cell>
          <cell r="E408"/>
          <cell r="F408"/>
          <cell r="G408"/>
          <cell r="H408"/>
          <cell r="I408"/>
          <cell r="J408"/>
          <cell r="K408"/>
          <cell r="L408"/>
          <cell r="M408"/>
          <cell r="N408"/>
          <cell r="O408">
            <v>0.125</v>
          </cell>
          <cell r="P408">
            <v>0.221</v>
          </cell>
          <cell r="Q408">
            <v>0.33600000000000002</v>
          </cell>
          <cell r="R408">
            <v>0.52500000000000002</v>
          </cell>
          <cell r="S408">
            <v>5.7000000000000002E-2</v>
          </cell>
          <cell r="T408">
            <v>0.126</v>
          </cell>
          <cell r="U408">
            <v>0.19600000000000001</v>
          </cell>
          <cell r="V408">
            <v>0.60499999999999998</v>
          </cell>
          <cell r="W408">
            <v>1.6259999999999999</v>
          </cell>
          <cell r="X408">
            <v>2.4369999999999998</v>
          </cell>
          <cell r="Y408"/>
          <cell r="Z408"/>
          <cell r="AA408"/>
          <cell r="AB408"/>
          <cell r="AC408"/>
          <cell r="AD408"/>
          <cell r="AE408"/>
          <cell r="AF408"/>
          <cell r="AG408"/>
          <cell r="AH408"/>
          <cell r="AI408">
            <v>0.40799999999999997</v>
          </cell>
          <cell r="AJ408">
            <v>0.53800000000000003</v>
          </cell>
          <cell r="AK408">
            <v>0.70199999999999996</v>
          </cell>
          <cell r="AL408">
            <v>1.1319999999999999</v>
          </cell>
          <cell r="AM408">
            <v>1.9419999999999999</v>
          </cell>
          <cell r="AN408"/>
          <cell r="AO408"/>
          <cell r="AP408"/>
          <cell r="AQ408"/>
          <cell r="AR408"/>
          <cell r="AS408"/>
          <cell r="AT408"/>
          <cell r="AU408"/>
          <cell r="AV408"/>
          <cell r="AW408"/>
          <cell r="AX408">
            <v>0.76400000000000001</v>
          </cell>
          <cell r="AY408">
            <v>2687</v>
          </cell>
          <cell r="AZ408">
            <v>2396</v>
          </cell>
        </row>
        <row r="409">
          <cell r="A409">
            <v>41487</v>
          </cell>
          <cell r="B409">
            <v>0.5</v>
          </cell>
          <cell r="C409">
            <v>0</v>
          </cell>
          <cell r="D409">
            <v>8.2000000000000003E-2</v>
          </cell>
          <cell r="E409"/>
          <cell r="F409"/>
          <cell r="G409"/>
          <cell r="H409"/>
          <cell r="I409"/>
          <cell r="J409"/>
          <cell r="K409"/>
          <cell r="L409"/>
          <cell r="M409"/>
          <cell r="N409"/>
          <cell r="O409">
            <v>0.128</v>
          </cell>
          <cell r="P409">
            <v>0.22600000000000001</v>
          </cell>
          <cell r="Q409">
            <v>0.34200000000000003</v>
          </cell>
          <cell r="R409">
            <v>0.54200000000000004</v>
          </cell>
          <cell r="S409">
            <v>7.3999999999999996E-2</v>
          </cell>
          <cell r="T409">
            <v>0.21199999999999999</v>
          </cell>
          <cell r="U409">
            <v>0.372</v>
          </cell>
          <cell r="V409">
            <v>0.77</v>
          </cell>
          <cell r="W409">
            <v>1.802</v>
          </cell>
          <cell r="X409">
            <v>2.5920000000000001</v>
          </cell>
          <cell r="Y409"/>
          <cell r="Z409"/>
          <cell r="AA409"/>
          <cell r="AB409"/>
          <cell r="AC409"/>
          <cell r="AD409"/>
          <cell r="AE409"/>
          <cell r="AF409"/>
          <cell r="AG409"/>
          <cell r="AH409"/>
          <cell r="AI409">
            <v>0.438</v>
          </cell>
          <cell r="AJ409">
            <v>0.60699999999999998</v>
          </cell>
          <cell r="AK409">
            <v>0.81299999999999994</v>
          </cell>
          <cell r="AL409">
            <v>1.2969999999999999</v>
          </cell>
          <cell r="AM409">
            <v>2.1219999999999999</v>
          </cell>
          <cell r="AN409"/>
          <cell r="AO409"/>
          <cell r="AP409"/>
          <cell r="AQ409"/>
          <cell r="AR409"/>
          <cell r="AS409"/>
          <cell r="AT409"/>
          <cell r="AU409"/>
          <cell r="AV409"/>
          <cell r="AW409"/>
          <cell r="AX409">
            <v>0.751</v>
          </cell>
          <cell r="AY409">
            <v>2804</v>
          </cell>
          <cell r="AZ409">
            <v>2361</v>
          </cell>
        </row>
        <row r="410">
          <cell r="A410">
            <v>41518</v>
          </cell>
          <cell r="B410">
            <v>0.5</v>
          </cell>
          <cell r="C410">
            <v>0</v>
          </cell>
          <cell r="D410">
            <v>0.08</v>
          </cell>
          <cell r="E410"/>
          <cell r="F410"/>
          <cell r="G410"/>
          <cell r="H410"/>
          <cell r="I410"/>
          <cell r="J410"/>
          <cell r="K410"/>
          <cell r="L410"/>
          <cell r="M410"/>
          <cell r="N410"/>
          <cell r="O410">
            <v>0.128</v>
          </cell>
          <cell r="P410">
            <v>0.223</v>
          </cell>
          <cell r="Q410">
            <v>0.34</v>
          </cell>
          <cell r="R410">
            <v>0.54300000000000004</v>
          </cell>
          <cell r="S410">
            <v>9.6000000000000002E-2</v>
          </cell>
          <cell r="T410">
            <v>0.22900000000000001</v>
          </cell>
          <cell r="U410">
            <v>0.40500000000000003</v>
          </cell>
          <cell r="V410">
            <v>0.94699999999999995</v>
          </cell>
          <cell r="W410">
            <v>1.93</v>
          </cell>
          <cell r="X410">
            <v>2.7120000000000002</v>
          </cell>
          <cell r="Y410"/>
          <cell r="Z410"/>
          <cell r="AA410"/>
          <cell r="AB410"/>
          <cell r="AC410"/>
          <cell r="AD410"/>
          <cell r="AE410"/>
          <cell r="AF410"/>
          <cell r="AG410"/>
          <cell r="AH410"/>
          <cell r="AI410">
            <v>0.42699999999999999</v>
          </cell>
          <cell r="AJ410">
            <v>0.61199999999999999</v>
          </cell>
          <cell r="AK410">
            <v>0.85299999999999998</v>
          </cell>
          <cell r="AL410">
            <v>1.369</v>
          </cell>
          <cell r="AM410">
            <v>2.2149999999999999</v>
          </cell>
          <cell r="AN410"/>
          <cell r="AO410"/>
          <cell r="AP410"/>
          <cell r="AQ410"/>
          <cell r="AR410"/>
          <cell r="AS410"/>
          <cell r="AT410"/>
          <cell r="AU410"/>
          <cell r="AV410"/>
          <cell r="AW410"/>
          <cell r="AX410">
            <v>0.749</v>
          </cell>
          <cell r="AY410">
            <v>2865</v>
          </cell>
          <cell r="AZ410">
            <v>2338</v>
          </cell>
        </row>
        <row r="411">
          <cell r="A411">
            <v>41548</v>
          </cell>
          <cell r="B411">
            <v>0.5</v>
          </cell>
          <cell r="C411">
            <v>0</v>
          </cell>
          <cell r="D411">
            <v>9.2999999999999999E-2</v>
          </cell>
          <cell r="E411"/>
          <cell r="F411"/>
          <cell r="G411"/>
          <cell r="H411"/>
          <cell r="I411"/>
          <cell r="J411"/>
          <cell r="K411"/>
          <cell r="L411"/>
          <cell r="M411"/>
          <cell r="N411"/>
          <cell r="O411">
            <v>0.128</v>
          </cell>
          <cell r="P411">
            <v>0.22600000000000001</v>
          </cell>
          <cell r="Q411">
            <v>0.34200000000000003</v>
          </cell>
          <cell r="R411">
            <v>0.54100000000000004</v>
          </cell>
          <cell r="S411">
            <v>9.4E-2</v>
          </cell>
          <cell r="T411">
            <v>0.17299999999999999</v>
          </cell>
          <cell r="U411">
            <v>0.29899999999999999</v>
          </cell>
          <cell r="V411">
            <v>0.80900000000000005</v>
          </cell>
          <cell r="W411">
            <v>1.8080000000000001</v>
          </cell>
          <cell r="X411">
            <v>2.681</v>
          </cell>
          <cell r="Y411"/>
          <cell r="Z411"/>
          <cell r="AA411"/>
          <cell r="AB411"/>
          <cell r="AC411"/>
          <cell r="AD411"/>
          <cell r="AE411"/>
          <cell r="AF411"/>
          <cell r="AG411"/>
          <cell r="AH411"/>
          <cell r="AI411">
            <v>0.42199999999999999</v>
          </cell>
          <cell r="AJ411">
            <v>0.56699999999999995</v>
          </cell>
          <cell r="AK411">
            <v>0.76600000000000001</v>
          </cell>
          <cell r="AL411">
            <v>1.2490000000000001</v>
          </cell>
          <cell r="AM411">
            <v>2.109</v>
          </cell>
          <cell r="AN411"/>
          <cell r="AO411"/>
          <cell r="AP411"/>
          <cell r="AQ411"/>
          <cell r="AR411"/>
          <cell r="AS411"/>
          <cell r="AT411"/>
          <cell r="AU411"/>
          <cell r="AV411"/>
          <cell r="AW411"/>
          <cell r="AX411">
            <v>0.73299999999999998</v>
          </cell>
          <cell r="AY411">
            <v>2989</v>
          </cell>
          <cell r="AZ411">
            <v>2319</v>
          </cell>
        </row>
        <row r="412">
          <cell r="A412">
            <v>41579</v>
          </cell>
          <cell r="B412">
            <v>0.25</v>
          </cell>
          <cell r="C412">
            <v>0</v>
          </cell>
          <cell r="D412">
            <v>0.10299999999999999</v>
          </cell>
          <cell r="E412"/>
          <cell r="F412"/>
          <cell r="G412"/>
          <cell r="H412"/>
          <cell r="I412"/>
          <cell r="J412"/>
          <cell r="K412"/>
          <cell r="L412"/>
          <cell r="M412"/>
          <cell r="N412"/>
          <cell r="O412">
            <v>0.13200000000000001</v>
          </cell>
          <cell r="P412">
            <v>0.223</v>
          </cell>
          <cell r="Q412">
            <v>0.32700000000000001</v>
          </cell>
          <cell r="R412">
            <v>0.50600000000000001</v>
          </cell>
          <cell r="S412">
            <v>6.6000000000000003E-2</v>
          </cell>
          <cell r="T412">
            <v>0.113</v>
          </cell>
          <cell r="U412">
            <v>0.21199999999999999</v>
          </cell>
          <cell r="V412">
            <v>0.66400000000000003</v>
          </cell>
          <cell r="W412">
            <v>1.7190000000000001</v>
          </cell>
          <cell r="X412">
            <v>2.6579999999999999</v>
          </cell>
          <cell r="Y412"/>
          <cell r="Z412"/>
          <cell r="AA412"/>
          <cell r="AB412"/>
          <cell r="AC412"/>
          <cell r="AD412"/>
          <cell r="AE412"/>
          <cell r="AF412"/>
          <cell r="AG412"/>
          <cell r="AH412"/>
          <cell r="AI412">
            <v>0.35899999999999999</v>
          </cell>
          <cell r="AJ412">
            <v>0.45700000000000002</v>
          </cell>
          <cell r="AK412">
            <v>0.623</v>
          </cell>
          <cell r="AL412">
            <v>1.0840000000000001</v>
          </cell>
          <cell r="AM412">
            <v>2.0019999999999998</v>
          </cell>
          <cell r="AN412"/>
          <cell r="AO412"/>
          <cell r="AP412"/>
          <cell r="AQ412"/>
          <cell r="AR412"/>
          <cell r="AS412"/>
          <cell r="AT412"/>
          <cell r="AU412"/>
          <cell r="AV412"/>
          <cell r="AW412"/>
          <cell r="AX412">
            <v>0.74099999999999999</v>
          </cell>
          <cell r="AY412">
            <v>3056</v>
          </cell>
          <cell r="AZ412">
            <v>2291</v>
          </cell>
        </row>
        <row r="413">
          <cell r="A413">
            <v>41609</v>
          </cell>
          <cell r="B413">
            <v>0.25</v>
          </cell>
          <cell r="C413">
            <v>0</v>
          </cell>
          <cell r="D413">
            <v>0.16900000000000001</v>
          </cell>
          <cell r="E413"/>
          <cell r="F413"/>
          <cell r="G413"/>
          <cell r="H413"/>
          <cell r="I413"/>
          <cell r="J413"/>
          <cell r="K413"/>
          <cell r="L413"/>
          <cell r="M413"/>
          <cell r="N413"/>
          <cell r="O413">
            <v>0.214</v>
          </cell>
          <cell r="P413">
            <v>0.27400000000000002</v>
          </cell>
          <cell r="Q413">
            <v>0.371</v>
          </cell>
          <cell r="R413">
            <v>0.54300000000000004</v>
          </cell>
          <cell r="S413">
            <v>0.14199999999999999</v>
          </cell>
          <cell r="T413">
            <v>0.217</v>
          </cell>
          <cell r="U413">
            <v>0.308</v>
          </cell>
          <cell r="V413">
            <v>0.83499999999999996</v>
          </cell>
          <cell r="W413">
            <v>1.853</v>
          </cell>
          <cell r="X413">
            <v>2.698</v>
          </cell>
          <cell r="Y413"/>
          <cell r="Z413"/>
          <cell r="AA413"/>
          <cell r="AB413"/>
          <cell r="AC413"/>
          <cell r="AD413"/>
          <cell r="AE413"/>
          <cell r="AF413"/>
          <cell r="AG413"/>
          <cell r="AH413"/>
          <cell r="AI413">
            <v>0.40600000000000003</v>
          </cell>
          <cell r="AJ413">
            <v>0.501</v>
          </cell>
          <cell r="AK413">
            <v>0.68899999999999995</v>
          </cell>
          <cell r="AL413">
            <v>1.1759999999999999</v>
          </cell>
          <cell r="AM413">
            <v>2.0830000000000002</v>
          </cell>
          <cell r="AN413"/>
          <cell r="AO413"/>
          <cell r="AP413"/>
          <cell r="AQ413"/>
          <cell r="AR413"/>
          <cell r="AS413"/>
          <cell r="AT413"/>
          <cell r="AU413"/>
          <cell r="AV413"/>
          <cell r="AW413"/>
          <cell r="AX413">
            <v>0.73</v>
          </cell>
          <cell r="AY413">
            <v>3010</v>
          </cell>
          <cell r="AZ413">
            <v>2285</v>
          </cell>
        </row>
        <row r="414">
          <cell r="A414">
            <v>41640</v>
          </cell>
          <cell r="B414">
            <v>0.25</v>
          </cell>
          <cell r="C414">
            <v>0</v>
          </cell>
          <cell r="D414">
            <v>0.19600000000000001</v>
          </cell>
          <cell r="E414"/>
          <cell r="F414"/>
          <cell r="G414"/>
          <cell r="H414"/>
          <cell r="I414"/>
          <cell r="J414"/>
          <cell r="K414"/>
          <cell r="L414"/>
          <cell r="M414"/>
          <cell r="N414"/>
          <cell r="O414">
            <v>0.224</v>
          </cell>
          <cell r="P414">
            <v>0.29199999999999998</v>
          </cell>
          <cell r="Q414">
            <v>0.39600000000000002</v>
          </cell>
          <cell r="R414">
            <v>0.56200000000000006</v>
          </cell>
          <cell r="S414">
            <v>0.126</v>
          </cell>
          <cell r="T414">
            <v>0.17199999999999999</v>
          </cell>
          <cell r="U414">
            <v>0.30599999999999999</v>
          </cell>
          <cell r="V414">
            <v>0.82799999999999996</v>
          </cell>
          <cell r="W414">
            <v>1.796</v>
          </cell>
          <cell r="X414">
            <v>2.6619999999999999</v>
          </cell>
          <cell r="Y414"/>
          <cell r="Z414"/>
          <cell r="AA414"/>
          <cell r="AB414"/>
          <cell r="AC414"/>
          <cell r="AD414"/>
          <cell r="AE414"/>
          <cell r="AF414"/>
          <cell r="AG414"/>
          <cell r="AH414"/>
          <cell r="AI414">
            <v>0.41499999999999998</v>
          </cell>
          <cell r="AJ414">
            <v>0.5</v>
          </cell>
          <cell r="AK414">
            <v>0.68899999999999995</v>
          </cell>
          <cell r="AL414">
            <v>1.163</v>
          </cell>
          <cell r="AM414">
            <v>2.0569999999999999</v>
          </cell>
          <cell r="AN414"/>
          <cell r="AO414"/>
          <cell r="AP414"/>
          <cell r="AQ414"/>
          <cell r="AR414"/>
          <cell r="AS414"/>
          <cell r="AT414"/>
          <cell r="AU414"/>
          <cell r="AV414"/>
          <cell r="AW414"/>
          <cell r="AX414">
            <v>0.73399999999999999</v>
          </cell>
          <cell r="AY414">
            <v>3092</v>
          </cell>
          <cell r="AZ414">
            <v>2217</v>
          </cell>
        </row>
        <row r="415">
          <cell r="A415">
            <v>41671</v>
          </cell>
          <cell r="B415">
            <v>0.25</v>
          </cell>
          <cell r="C415">
            <v>0</v>
          </cell>
          <cell r="D415">
            <v>0.157</v>
          </cell>
          <cell r="E415"/>
          <cell r="F415"/>
          <cell r="G415"/>
          <cell r="H415"/>
          <cell r="I415"/>
          <cell r="J415"/>
          <cell r="K415"/>
          <cell r="L415"/>
          <cell r="M415"/>
          <cell r="N415"/>
          <cell r="O415">
            <v>0.224</v>
          </cell>
          <cell r="P415">
            <v>0.28799999999999998</v>
          </cell>
          <cell r="Q415">
            <v>0.38700000000000001</v>
          </cell>
          <cell r="R415">
            <v>0.54900000000000004</v>
          </cell>
          <cell r="S415">
            <v>9.2999999999999999E-2</v>
          </cell>
          <cell r="T415">
            <v>0.108</v>
          </cell>
          <cell r="U415">
            <v>0.21</v>
          </cell>
          <cell r="V415">
            <v>0.66500000000000004</v>
          </cell>
          <cell r="W415">
            <v>1.66</v>
          </cell>
          <cell r="X415">
            <v>2.5230000000000001</v>
          </cell>
          <cell r="Y415"/>
          <cell r="Z415"/>
          <cell r="AA415"/>
          <cell r="AB415"/>
          <cell r="AC415"/>
          <cell r="AD415"/>
          <cell r="AE415"/>
          <cell r="AF415"/>
          <cell r="AG415"/>
          <cell r="AH415"/>
          <cell r="AI415">
            <v>0.38300000000000001</v>
          </cell>
          <cell r="AJ415">
            <v>0.438</v>
          </cell>
          <cell r="AK415">
            <v>0.59299999999999997</v>
          </cell>
          <cell r="AL415">
            <v>1.0109999999999999</v>
          </cell>
          <cell r="AM415">
            <v>1.8859999999999999</v>
          </cell>
          <cell r="AN415"/>
          <cell r="AO415"/>
          <cell r="AP415"/>
          <cell r="AQ415"/>
          <cell r="AR415"/>
          <cell r="AS415"/>
          <cell r="AT415"/>
          <cell r="AU415"/>
          <cell r="AV415"/>
          <cell r="AW415"/>
          <cell r="AX415">
            <v>0.73199999999999998</v>
          </cell>
          <cell r="AY415">
            <v>3086</v>
          </cell>
          <cell r="AZ415">
            <v>2181</v>
          </cell>
        </row>
        <row r="416">
          <cell r="A416">
            <v>41699</v>
          </cell>
          <cell r="B416">
            <v>0.25</v>
          </cell>
          <cell r="C416">
            <v>0</v>
          </cell>
          <cell r="D416">
            <v>0.192</v>
          </cell>
          <cell r="E416"/>
          <cell r="F416"/>
          <cell r="G416"/>
          <cell r="H416"/>
          <cell r="I416"/>
          <cell r="J416"/>
          <cell r="K416"/>
          <cell r="L416"/>
          <cell r="M416"/>
          <cell r="N416"/>
          <cell r="O416">
            <v>0.23200000000000001</v>
          </cell>
          <cell r="P416">
            <v>0.30499999999999999</v>
          </cell>
          <cell r="Q416">
            <v>0.40699999999999997</v>
          </cell>
          <cell r="R416">
            <v>0.57699999999999996</v>
          </cell>
          <cell r="S416">
            <v>0.151</v>
          </cell>
          <cell r="T416">
            <v>0.158</v>
          </cell>
          <cell r="U416">
            <v>0.218</v>
          </cell>
          <cell r="V416">
            <v>0.63700000000000001</v>
          </cell>
          <cell r="W416">
            <v>1.59</v>
          </cell>
          <cell r="X416">
            <v>2.484</v>
          </cell>
          <cell r="Y416"/>
          <cell r="Z416"/>
          <cell r="AA416"/>
          <cell r="AB416"/>
          <cell r="AC416"/>
          <cell r="AD416"/>
          <cell r="AE416"/>
          <cell r="AF416"/>
          <cell r="AG416"/>
          <cell r="AH416"/>
          <cell r="AI416">
            <v>0.41399999999999998</v>
          </cell>
          <cell r="AJ416">
            <v>0.47899999999999998</v>
          </cell>
          <cell r="AK416">
            <v>0.61399999999999999</v>
          </cell>
          <cell r="AL416">
            <v>0.995</v>
          </cell>
          <cell r="AM416">
            <v>1.83</v>
          </cell>
          <cell r="AN416"/>
          <cell r="AO416"/>
          <cell r="AP416"/>
          <cell r="AQ416"/>
          <cell r="AR416"/>
          <cell r="AS416"/>
          <cell r="AT416"/>
          <cell r="AU416"/>
          <cell r="AV416"/>
          <cell r="AW416"/>
          <cell r="AX416">
            <v>0.72299999999999998</v>
          </cell>
          <cell r="AY416">
            <v>3094</v>
          </cell>
          <cell r="AZ416">
            <v>2152</v>
          </cell>
        </row>
        <row r="417">
          <cell r="A417">
            <v>41730</v>
          </cell>
          <cell r="B417">
            <v>0.25</v>
          </cell>
          <cell r="C417">
            <v>0</v>
          </cell>
          <cell r="D417">
            <v>0.254</v>
          </cell>
          <cell r="E417"/>
          <cell r="F417"/>
          <cell r="G417"/>
          <cell r="H417"/>
          <cell r="I417"/>
          <cell r="J417"/>
          <cell r="K417"/>
          <cell r="L417"/>
          <cell r="M417"/>
          <cell r="N417"/>
          <cell r="O417">
            <v>0.253</v>
          </cell>
          <cell r="P417">
            <v>0.33</v>
          </cell>
          <cell r="Q417">
            <v>0.43</v>
          </cell>
          <cell r="R417">
            <v>0.60399999999999998</v>
          </cell>
          <cell r="S417">
            <v>0.14599999999999999</v>
          </cell>
          <cell r="T417">
            <v>0.16500000000000001</v>
          </cell>
          <cell r="U417">
            <v>0.222</v>
          </cell>
          <cell r="V417">
            <v>0.60099999999999998</v>
          </cell>
          <cell r="W417">
            <v>1.5269999999999999</v>
          </cell>
          <cell r="X417">
            <v>2.4249999999999998</v>
          </cell>
          <cell r="Y417"/>
          <cell r="Z417"/>
          <cell r="AA417"/>
          <cell r="AB417"/>
          <cell r="AC417"/>
          <cell r="AD417"/>
          <cell r="AE417"/>
          <cell r="AF417"/>
          <cell r="AG417"/>
          <cell r="AH417"/>
          <cell r="AI417">
            <v>0.41699999999999998</v>
          </cell>
          <cell r="AJ417">
            <v>0.47099999999999997</v>
          </cell>
          <cell r="AK417">
            <v>0.59499999999999997</v>
          </cell>
          <cell r="AL417">
            <v>0.95</v>
          </cell>
          <cell r="AM417">
            <v>1.7549999999999999</v>
          </cell>
          <cell r="AN417"/>
          <cell r="AO417"/>
          <cell r="AP417"/>
          <cell r="AQ417"/>
          <cell r="AR417"/>
          <cell r="AS417"/>
          <cell r="AT417"/>
          <cell r="AU417"/>
          <cell r="AV417"/>
          <cell r="AW417"/>
          <cell r="AX417">
            <v>0.72399999999999998</v>
          </cell>
          <cell r="AY417">
            <v>3172</v>
          </cell>
          <cell r="AZ417">
            <v>2169</v>
          </cell>
        </row>
        <row r="418">
          <cell r="A418">
            <v>41760</v>
          </cell>
          <cell r="B418">
            <v>0.25</v>
          </cell>
          <cell r="C418">
            <v>0</v>
          </cell>
          <cell r="D418">
            <v>0.248</v>
          </cell>
          <cell r="E418"/>
          <cell r="F418"/>
          <cell r="G418"/>
          <cell r="H418"/>
          <cell r="I418"/>
          <cell r="J418"/>
          <cell r="K418"/>
          <cell r="L418"/>
          <cell r="M418"/>
          <cell r="N418"/>
          <cell r="O418">
            <v>0.25900000000000001</v>
          </cell>
          <cell r="P418">
            <v>0.32500000000000001</v>
          </cell>
          <cell r="Q418">
            <v>0.41699999999999998</v>
          </cell>
          <cell r="R418">
            <v>0.59199999999999997</v>
          </cell>
          <cell r="S418">
            <v>0.108</v>
          </cell>
          <cell r="T418">
            <v>9.8000000000000004E-2</v>
          </cell>
          <cell r="U418">
            <v>0.14399999999999999</v>
          </cell>
          <cell r="V418">
            <v>0.49099999999999999</v>
          </cell>
          <cell r="W418">
            <v>1.4039999999999999</v>
          </cell>
          <cell r="X418">
            <v>2.3109999999999999</v>
          </cell>
          <cell r="Y418"/>
          <cell r="Z418"/>
          <cell r="AA418"/>
          <cell r="AB418"/>
          <cell r="AC418"/>
          <cell r="AD418"/>
          <cell r="AE418"/>
          <cell r="AF418"/>
          <cell r="AG418"/>
          <cell r="AH418"/>
          <cell r="AI418">
            <v>0.38200000000000001</v>
          </cell>
          <cell r="AJ418">
            <v>0.40500000000000003</v>
          </cell>
          <cell r="AK418">
            <v>0.504</v>
          </cell>
          <cell r="AL418">
            <v>0.82799999999999996</v>
          </cell>
          <cell r="AM418">
            <v>1.63</v>
          </cell>
          <cell r="AN418"/>
          <cell r="AO418"/>
          <cell r="AP418"/>
          <cell r="AQ418"/>
          <cell r="AR418"/>
          <cell r="AS418"/>
          <cell r="AT418"/>
          <cell r="AU418"/>
          <cell r="AV418"/>
          <cell r="AW418"/>
          <cell r="AX418">
            <v>0.72799999999999998</v>
          </cell>
          <cell r="AY418">
            <v>3197</v>
          </cell>
          <cell r="AZ418">
            <v>2197</v>
          </cell>
        </row>
        <row r="419">
          <cell r="A419">
            <v>41791</v>
          </cell>
          <cell r="B419">
            <v>0.15</v>
          </cell>
          <cell r="C419">
            <v>-0.1</v>
          </cell>
          <cell r="D419">
            <v>7.5999999999999998E-2</v>
          </cell>
          <cell r="E419"/>
          <cell r="F419"/>
          <cell r="G419"/>
          <cell r="H419"/>
          <cell r="I419"/>
          <cell r="J419"/>
          <cell r="K419"/>
          <cell r="L419"/>
          <cell r="M419"/>
          <cell r="N419"/>
          <cell r="O419">
            <v>0.153</v>
          </cell>
          <cell r="P419">
            <v>0.24099999999999999</v>
          </cell>
          <cell r="Q419">
            <v>0.33300000000000002</v>
          </cell>
          <cell r="R419">
            <v>0.51300000000000001</v>
          </cell>
          <cell r="S419">
            <v>4.3999999999999997E-2</v>
          </cell>
          <cell r="T419">
            <v>4.2999999999999997E-2</v>
          </cell>
          <cell r="U419">
            <v>8.4000000000000005E-2</v>
          </cell>
          <cell r="V419">
            <v>0.4</v>
          </cell>
          <cell r="W419">
            <v>1.35</v>
          </cell>
          <cell r="X419">
            <v>2.2949999999999999</v>
          </cell>
          <cell r="Y419"/>
          <cell r="Z419"/>
          <cell r="AA419"/>
          <cell r="AB419"/>
          <cell r="AC419"/>
          <cell r="AD419"/>
          <cell r="AE419"/>
          <cell r="AF419"/>
          <cell r="AG419"/>
          <cell r="AH419"/>
          <cell r="AI419">
            <v>0.311</v>
          </cell>
          <cell r="AJ419">
            <v>0.33</v>
          </cell>
          <cell r="AK419">
            <v>0.41</v>
          </cell>
          <cell r="AL419">
            <v>0.70499999999999996</v>
          </cell>
          <cell r="AM419">
            <v>1.532</v>
          </cell>
          <cell r="AN419"/>
          <cell r="AO419"/>
          <cell r="AP419"/>
          <cell r="AQ419"/>
          <cell r="AR419"/>
          <cell r="AS419"/>
          <cell r="AT419"/>
          <cell r="AU419"/>
          <cell r="AV419"/>
          <cell r="AW419"/>
          <cell r="AX419">
            <v>0.73499999999999999</v>
          </cell>
          <cell r="AY419">
            <v>3272</v>
          </cell>
          <cell r="AZ419">
            <v>2088</v>
          </cell>
        </row>
        <row r="420">
          <cell r="A420">
            <v>41821</v>
          </cell>
          <cell r="B420">
            <v>0.15</v>
          </cell>
          <cell r="C420">
            <v>-0.1</v>
          </cell>
          <cell r="D420">
            <v>4.2999999999999997E-2</v>
          </cell>
          <cell r="E420"/>
          <cell r="F420"/>
          <cell r="G420"/>
          <cell r="H420"/>
          <cell r="I420"/>
          <cell r="J420"/>
          <cell r="K420"/>
          <cell r="L420"/>
          <cell r="M420"/>
          <cell r="N420"/>
          <cell r="O420">
            <v>9.6000000000000002E-2</v>
          </cell>
          <cell r="P420">
            <v>0.20499999999999999</v>
          </cell>
          <cell r="Q420">
            <v>0.30499999999999999</v>
          </cell>
          <cell r="R420">
            <v>0.48799999999999999</v>
          </cell>
          <cell r="S420">
            <v>1.9E-2</v>
          </cell>
          <cell r="T420">
            <v>2.4E-2</v>
          </cell>
          <cell r="U420">
            <v>4.8000000000000001E-2</v>
          </cell>
          <cell r="V420">
            <v>0.318</v>
          </cell>
          <cell r="W420">
            <v>1.1950000000000001</v>
          </cell>
          <cell r="X420">
            <v>2.1320000000000001</v>
          </cell>
          <cell r="Y420"/>
          <cell r="Z420"/>
          <cell r="AA420"/>
          <cell r="AB420"/>
          <cell r="AC420"/>
          <cell r="AD420"/>
          <cell r="AE420"/>
          <cell r="AF420"/>
          <cell r="AG420"/>
          <cell r="AH420"/>
          <cell r="AI420">
            <v>0.29799999999999999</v>
          </cell>
          <cell r="AJ420">
            <v>0.32100000000000001</v>
          </cell>
          <cell r="AK420">
            <v>0.39200000000000002</v>
          </cell>
          <cell r="AL420">
            <v>0.64300000000000002</v>
          </cell>
          <cell r="AM420">
            <v>1.399</v>
          </cell>
          <cell r="AN420"/>
          <cell r="AO420"/>
          <cell r="AP420"/>
          <cell r="AQ420"/>
          <cell r="AR420"/>
          <cell r="AS420"/>
          <cell r="AT420"/>
          <cell r="AU420"/>
          <cell r="AV420"/>
          <cell r="AW420"/>
          <cell r="AX420">
            <v>0.73899999999999999</v>
          </cell>
          <cell r="AY420">
            <v>3192</v>
          </cell>
          <cell r="AZ420">
            <v>2044</v>
          </cell>
        </row>
        <row r="421">
          <cell r="A421">
            <v>41852</v>
          </cell>
          <cell r="B421">
            <v>0.15</v>
          </cell>
          <cell r="C421">
            <v>-0.1</v>
          </cell>
          <cell r="D421">
            <v>1.7999999999999999E-2</v>
          </cell>
          <cell r="E421"/>
          <cell r="F421"/>
          <cell r="G421"/>
          <cell r="H421"/>
          <cell r="I421"/>
          <cell r="J421"/>
          <cell r="K421"/>
          <cell r="L421"/>
          <cell r="M421"/>
          <cell r="N421"/>
          <cell r="O421">
            <v>8.5000000000000006E-2</v>
          </cell>
          <cell r="P421">
            <v>0.192</v>
          </cell>
          <cell r="Q421">
            <v>0.29199999999999998</v>
          </cell>
          <cell r="R421">
            <v>0.46899999999999997</v>
          </cell>
          <cell r="S421">
            <v>4.0000000000000001E-3</v>
          </cell>
          <cell r="T421">
            <v>-2E-3</v>
          </cell>
          <cell r="U421">
            <v>8.9999999999999993E-3</v>
          </cell>
          <cell r="V421">
            <v>0.23</v>
          </cell>
          <cell r="W421">
            <v>1.0149999999999999</v>
          </cell>
          <cell r="X421">
            <v>1.899</v>
          </cell>
          <cell r="Y421"/>
          <cell r="Z421"/>
          <cell r="AA421"/>
          <cell r="AB421"/>
          <cell r="AC421"/>
          <cell r="AD421"/>
          <cell r="AE421"/>
          <cell r="AF421"/>
          <cell r="AG421"/>
          <cell r="AH421"/>
          <cell r="AI421">
            <v>0.28499999999999998</v>
          </cell>
          <cell r="AJ421">
            <v>0.309</v>
          </cell>
          <cell r="AK421">
            <v>0.37</v>
          </cell>
          <cell r="AL421">
            <v>0.57899999999999996</v>
          </cell>
          <cell r="AM421">
            <v>1.236</v>
          </cell>
          <cell r="AN421"/>
          <cell r="AO421"/>
          <cell r="AP421"/>
          <cell r="AQ421"/>
          <cell r="AR421"/>
          <cell r="AS421"/>
          <cell r="AT421"/>
          <cell r="AU421"/>
          <cell r="AV421"/>
          <cell r="AW421"/>
          <cell r="AX421">
            <v>0.751</v>
          </cell>
          <cell r="AY421">
            <v>3089</v>
          </cell>
          <cell r="AZ421">
            <v>2039</v>
          </cell>
        </row>
        <row r="422">
          <cell r="A422">
            <v>41883</v>
          </cell>
          <cell r="B422">
            <v>0.05</v>
          </cell>
          <cell r="C422">
            <v>-0.2</v>
          </cell>
          <cell r="D422">
            <v>7.0000000000000001E-3</v>
          </cell>
          <cell r="E422"/>
          <cell r="F422"/>
          <cell r="G422"/>
          <cell r="H422"/>
          <cell r="I422"/>
          <cell r="J422"/>
          <cell r="K422"/>
          <cell r="L422"/>
          <cell r="M422"/>
          <cell r="N422"/>
          <cell r="O422">
            <v>1.7999999999999999E-2</v>
          </cell>
          <cell r="P422">
            <v>9.7000000000000003E-2</v>
          </cell>
          <cell r="Q422">
            <v>0.2</v>
          </cell>
          <cell r="R422">
            <v>0.36199999999999999</v>
          </cell>
          <cell r="S422">
            <v>-5.8999999999999997E-2</v>
          </cell>
          <cell r="T422">
            <v>-6.2E-2</v>
          </cell>
          <cell r="U422">
            <v>-2.5999999999999999E-2</v>
          </cell>
          <cell r="V422">
            <v>0.20200000000000001</v>
          </cell>
          <cell r="W422">
            <v>0.999</v>
          </cell>
          <cell r="X422">
            <v>1.9319999999999999</v>
          </cell>
          <cell r="Y422"/>
          <cell r="Z422"/>
          <cell r="AA422"/>
          <cell r="AB422"/>
          <cell r="AC422"/>
          <cell r="AD422"/>
          <cell r="AE422"/>
          <cell r="AF422"/>
          <cell r="AG422"/>
          <cell r="AH422"/>
          <cell r="AI422">
            <v>0.193</v>
          </cell>
          <cell r="AJ422">
            <v>0.214</v>
          </cell>
          <cell r="AK422">
            <v>0.27400000000000002</v>
          </cell>
          <cell r="AL422">
            <v>0.48699999999999999</v>
          </cell>
          <cell r="AM422">
            <v>1.1819999999999999</v>
          </cell>
          <cell r="AN422"/>
          <cell r="AO422"/>
          <cell r="AP422"/>
          <cell r="AQ422"/>
          <cell r="AR422"/>
          <cell r="AS422"/>
          <cell r="AT422"/>
          <cell r="AU422"/>
          <cell r="AV422"/>
          <cell r="AW422"/>
          <cell r="AX422">
            <v>0.77600000000000002</v>
          </cell>
          <cell r="AY422">
            <v>3233</v>
          </cell>
          <cell r="AZ422">
            <v>2038</v>
          </cell>
        </row>
        <row r="423">
          <cell r="A423">
            <v>41913</v>
          </cell>
          <cell r="B423">
            <v>0.05</v>
          </cell>
          <cell r="C423">
            <v>-0.2</v>
          </cell>
          <cell r="D423">
            <v>-4.0000000000000001E-3</v>
          </cell>
          <cell r="E423"/>
          <cell r="F423"/>
          <cell r="G423"/>
          <cell r="H423"/>
          <cell r="I423"/>
          <cell r="J423"/>
          <cell r="K423"/>
          <cell r="L423"/>
          <cell r="M423"/>
          <cell r="N423"/>
          <cell r="O423">
            <v>8.0000000000000002E-3</v>
          </cell>
          <cell r="P423">
            <v>8.3000000000000004E-2</v>
          </cell>
          <cell r="Q423">
            <v>0.184</v>
          </cell>
          <cell r="R423">
            <v>0.33800000000000002</v>
          </cell>
          <cell r="S423">
            <v>-6.3E-2</v>
          </cell>
          <cell r="T423">
            <v>-5.6000000000000001E-2</v>
          </cell>
          <cell r="U423">
            <v>-3.5999999999999997E-2</v>
          </cell>
          <cell r="V423">
            <v>0.152</v>
          </cell>
          <cell r="W423">
            <v>0.875</v>
          </cell>
          <cell r="X423">
            <v>1.792</v>
          </cell>
          <cell r="Y423"/>
          <cell r="Z423"/>
          <cell r="AA423"/>
          <cell r="AB423"/>
          <cell r="AC423"/>
          <cell r="AD423"/>
          <cell r="AE423"/>
          <cell r="AF423"/>
          <cell r="AG423"/>
          <cell r="AH423"/>
          <cell r="AI423">
            <v>0.189</v>
          </cell>
          <cell r="AJ423">
            <v>0.218</v>
          </cell>
          <cell r="AK423">
            <v>0.27300000000000002</v>
          </cell>
          <cell r="AL423">
            <v>0.45900000000000002</v>
          </cell>
          <cell r="AM423">
            <v>1.1020000000000001</v>
          </cell>
          <cell r="AN423"/>
          <cell r="AO423"/>
          <cell r="AP423"/>
          <cell r="AQ423"/>
          <cell r="AR423"/>
          <cell r="AS423"/>
          <cell r="AT423"/>
          <cell r="AU423"/>
          <cell r="AV423"/>
          <cell r="AW423"/>
          <cell r="AX423">
            <v>0.78900000000000003</v>
          </cell>
          <cell r="AY423">
            <v>3030</v>
          </cell>
          <cell r="AZ423">
            <v>2052</v>
          </cell>
        </row>
        <row r="424">
          <cell r="A424">
            <v>41944</v>
          </cell>
          <cell r="B424">
            <v>0.05</v>
          </cell>
          <cell r="C424">
            <v>-0.2</v>
          </cell>
          <cell r="D424">
            <v>-1.2E-2</v>
          </cell>
          <cell r="E424"/>
          <cell r="F424"/>
          <cell r="G424"/>
          <cell r="H424"/>
          <cell r="I424"/>
          <cell r="J424"/>
          <cell r="K424"/>
          <cell r="L424"/>
          <cell r="M424"/>
          <cell r="N424"/>
          <cell r="O424">
            <v>0.01</v>
          </cell>
          <cell r="P424">
            <v>8.1000000000000003E-2</v>
          </cell>
          <cell r="Q424">
            <v>0.182</v>
          </cell>
          <cell r="R424">
            <v>0.33500000000000002</v>
          </cell>
          <cell r="S424">
            <v>-5.8000000000000003E-2</v>
          </cell>
          <cell r="T424">
            <v>-4.2000000000000003E-2</v>
          </cell>
          <cell r="U424">
            <v>-2.8000000000000001E-2</v>
          </cell>
          <cell r="V424">
            <v>0.122</v>
          </cell>
          <cell r="W424">
            <v>0.79300000000000004</v>
          </cell>
          <cell r="X424">
            <v>1.7130000000000001</v>
          </cell>
          <cell r="Y424"/>
          <cell r="Z424"/>
          <cell r="AA424"/>
          <cell r="AB424"/>
          <cell r="AC424"/>
          <cell r="AD424"/>
          <cell r="AE424"/>
          <cell r="AF424"/>
          <cell r="AG424"/>
          <cell r="AH424"/>
          <cell r="AI424">
            <v>0.186</v>
          </cell>
          <cell r="AJ424">
            <v>0.21299999999999999</v>
          </cell>
          <cell r="AK424">
            <v>0.26200000000000001</v>
          </cell>
          <cell r="AL424">
            <v>0.42099999999999999</v>
          </cell>
          <cell r="AM424">
            <v>1.0029999999999999</v>
          </cell>
          <cell r="AN424"/>
          <cell r="AO424"/>
          <cell r="AP424"/>
          <cell r="AQ424"/>
          <cell r="AR424"/>
          <cell r="AS424"/>
          <cell r="AT424"/>
          <cell r="AU424"/>
          <cell r="AV424"/>
          <cell r="AW424"/>
          <cell r="AX424">
            <v>0.80200000000000005</v>
          </cell>
          <cell r="AY424">
            <v>3126</v>
          </cell>
          <cell r="AZ424">
            <v>2054</v>
          </cell>
        </row>
        <row r="425">
          <cell r="A425">
            <v>41974</v>
          </cell>
          <cell r="B425">
            <v>0.05</v>
          </cell>
          <cell r="C425">
            <v>-0.2</v>
          </cell>
          <cell r="D425">
            <v>-0.03</v>
          </cell>
          <cell r="E425"/>
          <cell r="F425"/>
          <cell r="G425"/>
          <cell r="H425"/>
          <cell r="I425"/>
          <cell r="J425"/>
          <cell r="K425"/>
          <cell r="L425"/>
          <cell r="M425"/>
          <cell r="N425"/>
          <cell r="O425">
            <v>2.3E-2</v>
          </cell>
          <cell r="P425">
            <v>8.1000000000000003E-2</v>
          </cell>
          <cell r="Q425">
            <v>0.17599999999999999</v>
          </cell>
          <cell r="R425">
            <v>0.32900000000000001</v>
          </cell>
          <cell r="S425">
            <v>-5.8999999999999997E-2</v>
          </cell>
          <cell r="T425">
            <v>-6.0999999999999999E-2</v>
          </cell>
          <cell r="U425">
            <v>-4.2000000000000003E-2</v>
          </cell>
          <cell r="V425">
            <v>7.9000000000000001E-2</v>
          </cell>
          <cell r="W425">
            <v>0.64200000000000002</v>
          </cell>
          <cell r="X425">
            <v>1.4990000000000001</v>
          </cell>
          <cell r="Y425"/>
          <cell r="Z425"/>
          <cell r="AA425"/>
          <cell r="AB425"/>
          <cell r="AC425"/>
          <cell r="AD425"/>
          <cell r="AE425"/>
          <cell r="AF425"/>
          <cell r="AG425"/>
          <cell r="AH425"/>
          <cell r="AI425">
            <v>0.17599999999999999</v>
          </cell>
          <cell r="AJ425">
            <v>0.2</v>
          </cell>
          <cell r="AK425">
            <v>0.25</v>
          </cell>
          <cell r="AL425">
            <v>0.39700000000000002</v>
          </cell>
          <cell r="AM425">
            <v>0.89900000000000002</v>
          </cell>
          <cell r="AN425"/>
          <cell r="AO425"/>
          <cell r="AP425"/>
          <cell r="AQ425"/>
          <cell r="AR425"/>
          <cell r="AS425"/>
          <cell r="AT425"/>
          <cell r="AU425"/>
          <cell r="AV425"/>
          <cell r="AW425"/>
          <cell r="AX425">
            <v>0.81299999999999994</v>
          </cell>
          <cell r="AY425">
            <v>3160</v>
          </cell>
          <cell r="AZ425">
            <v>2150</v>
          </cell>
        </row>
        <row r="426">
          <cell r="A426">
            <v>42005</v>
          </cell>
          <cell r="B426">
            <v>0.05</v>
          </cell>
          <cell r="C426">
            <v>-0.2</v>
          </cell>
          <cell r="D426">
            <v>-5.0999999999999997E-2</v>
          </cell>
          <cell r="E426"/>
          <cell r="F426"/>
          <cell r="G426"/>
          <cell r="H426"/>
          <cell r="I426"/>
          <cell r="J426"/>
          <cell r="K426"/>
          <cell r="L426"/>
          <cell r="M426"/>
          <cell r="N426"/>
          <cell r="O426">
            <v>5.0000000000000001E-3</v>
          </cell>
          <cell r="P426">
            <v>6.3E-2</v>
          </cell>
          <cell r="Q426">
            <v>0.152</v>
          </cell>
          <cell r="R426">
            <v>0.29799999999999999</v>
          </cell>
          <cell r="S426">
            <v>-0.121</v>
          </cell>
          <cell r="T426">
            <v>-0.13900000000000001</v>
          </cell>
          <cell r="U426">
            <v>-0.11600000000000001</v>
          </cell>
          <cell r="V426">
            <v>-8.0000000000000002E-3</v>
          </cell>
          <cell r="W426">
            <v>0.44600000000000001</v>
          </cell>
          <cell r="X426">
            <v>1.1739999999999999</v>
          </cell>
          <cell r="Y426"/>
          <cell r="Z426"/>
          <cell r="AA426"/>
          <cell r="AB426"/>
          <cell r="AC426"/>
          <cell r="AD426"/>
          <cell r="AE426"/>
          <cell r="AF426"/>
          <cell r="AG426"/>
          <cell r="AH426"/>
          <cell r="AI426">
            <v>0.13600000000000001</v>
          </cell>
          <cell r="AJ426">
            <v>0.14299999999999999</v>
          </cell>
          <cell r="AK426">
            <v>0.182</v>
          </cell>
          <cell r="AL426">
            <v>0.318</v>
          </cell>
          <cell r="AM426">
            <v>0.73699999999999999</v>
          </cell>
          <cell r="AN426"/>
          <cell r="AO426"/>
          <cell r="AP426"/>
          <cell r="AQ426"/>
          <cell r="AR426"/>
          <cell r="AS426"/>
          <cell r="AT426"/>
          <cell r="AU426"/>
          <cell r="AV426"/>
          <cell r="AW426"/>
          <cell r="AX426">
            <v>0.86</v>
          </cell>
          <cell r="AY426">
            <v>3207</v>
          </cell>
          <cell r="AZ426">
            <v>2182</v>
          </cell>
        </row>
        <row r="427">
          <cell r="A427">
            <v>42036</v>
          </cell>
          <cell r="B427">
            <v>0.05</v>
          </cell>
          <cell r="C427">
            <v>-0.2</v>
          </cell>
          <cell r="D427">
            <v>-3.5999999999999997E-2</v>
          </cell>
          <cell r="E427"/>
          <cell r="F427"/>
          <cell r="G427"/>
          <cell r="H427"/>
          <cell r="I427"/>
          <cell r="J427"/>
          <cell r="K427"/>
          <cell r="L427"/>
          <cell r="M427"/>
          <cell r="N427"/>
          <cell r="O427">
            <v>0</v>
          </cell>
          <cell r="P427">
            <v>4.8000000000000001E-2</v>
          </cell>
          <cell r="Q427">
            <v>0.126</v>
          </cell>
          <cell r="R427">
            <v>0.255</v>
          </cell>
          <cell r="S427">
            <v>-0.183</v>
          </cell>
          <cell r="T427">
            <v>-0.21299999999999999</v>
          </cell>
          <cell r="U427">
            <v>-0.184</v>
          </cell>
          <cell r="V427">
            <v>-5.8999999999999997E-2</v>
          </cell>
          <cell r="W427">
            <v>0.35199999999999998</v>
          </cell>
          <cell r="X427">
            <v>0.97799999999999998</v>
          </cell>
          <cell r="Y427"/>
          <cell r="Z427"/>
          <cell r="AA427"/>
          <cell r="AB427"/>
          <cell r="AC427"/>
          <cell r="AD427"/>
          <cell r="AE427"/>
          <cell r="AF427"/>
          <cell r="AG427"/>
          <cell r="AH427"/>
          <cell r="AI427">
            <v>0.125</v>
          </cell>
          <cell r="AJ427">
            <v>0.13</v>
          </cell>
          <cell r="AK427">
            <v>0.16700000000000001</v>
          </cell>
          <cell r="AL427">
            <v>0.30099999999999999</v>
          </cell>
          <cell r="AM427">
            <v>0.70599999999999996</v>
          </cell>
          <cell r="AN427"/>
          <cell r="AO427"/>
          <cell r="AP427"/>
          <cell r="AQ427"/>
          <cell r="AR427"/>
          <cell r="AS427"/>
          <cell r="AT427"/>
          <cell r="AU427"/>
          <cell r="AV427"/>
          <cell r="AW427"/>
          <cell r="AX427">
            <v>0.88100000000000001</v>
          </cell>
          <cell r="AY427">
            <v>3454</v>
          </cell>
          <cell r="AZ427">
            <v>2156</v>
          </cell>
        </row>
        <row r="428">
          <cell r="A428">
            <v>42064</v>
          </cell>
          <cell r="B428">
            <v>0.05</v>
          </cell>
          <cell r="C428">
            <v>-0.2</v>
          </cell>
          <cell r="D428">
            <v>-0.05</v>
          </cell>
          <cell r="E428"/>
          <cell r="F428"/>
          <cell r="G428"/>
          <cell r="H428"/>
          <cell r="I428"/>
          <cell r="J428"/>
          <cell r="K428"/>
          <cell r="L428"/>
          <cell r="M428"/>
          <cell r="N428"/>
          <cell r="O428">
            <v>-0.01</v>
          </cell>
          <cell r="P428">
            <v>2.7E-2</v>
          </cell>
          <cell r="Q428">
            <v>9.7000000000000003E-2</v>
          </cell>
          <cell r="R428">
            <v>0.21199999999999999</v>
          </cell>
          <cell r="S428">
            <v>-0.20100000000000001</v>
          </cell>
          <cell r="T428">
            <v>-0.22600000000000001</v>
          </cell>
          <cell r="U428">
            <v>-0.20300000000000001</v>
          </cell>
          <cell r="V428">
            <v>-0.08</v>
          </cell>
          <cell r="W428">
            <v>0.26</v>
          </cell>
          <cell r="X428">
            <v>0.75800000000000001</v>
          </cell>
          <cell r="Y428"/>
          <cell r="Z428"/>
          <cell r="AA428"/>
          <cell r="AB428"/>
          <cell r="AC428"/>
          <cell r="AD428"/>
          <cell r="AE428"/>
          <cell r="AF428"/>
          <cell r="AG428"/>
          <cell r="AH428"/>
          <cell r="AI428">
            <v>0.09</v>
          </cell>
          <cell r="AJ428">
            <v>9.5000000000000001E-2</v>
          </cell>
          <cell r="AK428">
            <v>0.13700000000000001</v>
          </cell>
          <cell r="AL428">
            <v>0.27400000000000002</v>
          </cell>
          <cell r="AM428">
            <v>0.623</v>
          </cell>
          <cell r="AN428"/>
          <cell r="AO428"/>
          <cell r="AP428"/>
          <cell r="AQ428"/>
          <cell r="AR428"/>
          <cell r="AS428"/>
          <cell r="AT428"/>
          <cell r="AU428"/>
          <cell r="AV428"/>
          <cell r="AW428"/>
          <cell r="AX428">
            <v>0.92400000000000004</v>
          </cell>
          <cell r="AY428">
            <v>3655</v>
          </cell>
          <cell r="AZ428">
            <v>2251</v>
          </cell>
        </row>
        <row r="429">
          <cell r="A429">
            <v>42095</v>
          </cell>
          <cell r="B429">
            <v>0.05</v>
          </cell>
          <cell r="C429">
            <v>-0.2</v>
          </cell>
          <cell r="D429">
            <v>-7.4999999999999997E-2</v>
          </cell>
          <cell r="E429"/>
          <cell r="F429"/>
          <cell r="G429"/>
          <cell r="H429"/>
          <cell r="I429"/>
          <cell r="J429"/>
          <cell r="K429"/>
          <cell r="L429"/>
          <cell r="M429"/>
          <cell r="N429"/>
          <cell r="O429">
            <v>-2.9000000000000001E-2</v>
          </cell>
          <cell r="P429">
            <v>5.0000000000000001E-3</v>
          </cell>
          <cell r="Q429">
            <v>7.2999999999999995E-2</v>
          </cell>
          <cell r="R429">
            <v>0.18</v>
          </cell>
          <cell r="S429">
            <v>-0.23899999999999999</v>
          </cell>
          <cell r="T429">
            <v>-0.26500000000000001</v>
          </cell>
          <cell r="U429">
            <v>-0.23300000000000001</v>
          </cell>
          <cell r="V429">
            <v>-0.11</v>
          </cell>
          <cell r="W429">
            <v>0.16400000000000001</v>
          </cell>
          <cell r="X429">
            <v>0.61599999999999999</v>
          </cell>
          <cell r="Y429"/>
          <cell r="Z429"/>
          <cell r="AA429"/>
          <cell r="AB429"/>
          <cell r="AC429"/>
          <cell r="AD429"/>
          <cell r="AE429"/>
          <cell r="AF429"/>
          <cell r="AG429"/>
          <cell r="AH429"/>
          <cell r="AI429">
            <v>7.0000000000000007E-2</v>
          </cell>
          <cell r="AJ429">
            <v>7.3999999999999996E-2</v>
          </cell>
          <cell r="AK429">
            <v>0.11</v>
          </cell>
          <cell r="AL429">
            <v>0.22600000000000001</v>
          </cell>
          <cell r="AM429">
            <v>0.52800000000000002</v>
          </cell>
          <cell r="AN429"/>
          <cell r="AO429"/>
          <cell r="AP429"/>
          <cell r="AQ429"/>
          <cell r="AR429"/>
          <cell r="AS429"/>
          <cell r="AT429"/>
          <cell r="AU429"/>
          <cell r="AV429"/>
          <cell r="AW429"/>
          <cell r="AX429">
            <v>0.92500000000000004</v>
          </cell>
          <cell r="AY429">
            <v>3734</v>
          </cell>
          <cell r="AZ429">
            <v>2361</v>
          </cell>
        </row>
        <row r="430">
          <cell r="A430">
            <v>42125</v>
          </cell>
          <cell r="B430">
            <v>0.05</v>
          </cell>
          <cell r="C430">
            <v>-0.2</v>
          </cell>
          <cell r="D430">
            <v>-0.106</v>
          </cell>
          <cell r="E430"/>
          <cell r="F430"/>
          <cell r="G430"/>
          <cell r="H430"/>
          <cell r="I430"/>
          <cell r="J430"/>
          <cell r="K430"/>
          <cell r="L430"/>
          <cell r="M430"/>
          <cell r="N430"/>
          <cell r="O430">
            <v>-0.05</v>
          </cell>
          <cell r="P430">
            <v>-0.01</v>
          </cell>
          <cell r="Q430">
            <v>5.7000000000000002E-2</v>
          </cell>
          <cell r="R430">
            <v>0.16500000000000001</v>
          </cell>
          <cell r="S430">
            <v>-0.23400000000000001</v>
          </cell>
          <cell r="T430">
            <v>-0.21099999999999999</v>
          </cell>
          <cell r="U430">
            <v>-0.154</v>
          </cell>
          <cell r="V430">
            <v>6.4000000000000001E-2</v>
          </cell>
          <cell r="W430">
            <v>0.58299999999999996</v>
          </cell>
          <cell r="X430">
            <v>1.2010000000000001</v>
          </cell>
          <cell r="Y430"/>
          <cell r="Z430"/>
          <cell r="AA430"/>
          <cell r="AB430"/>
          <cell r="AC430"/>
          <cell r="AD430"/>
          <cell r="AE430"/>
          <cell r="AF430"/>
          <cell r="AG430"/>
          <cell r="AH430"/>
          <cell r="AI430">
            <v>6.9000000000000006E-2</v>
          </cell>
          <cell r="AJ430">
            <v>0.106</v>
          </cell>
          <cell r="AK430">
            <v>0.17699999999999999</v>
          </cell>
          <cell r="AL430">
            <v>0.38900000000000001</v>
          </cell>
          <cell r="AM430">
            <v>0.89700000000000002</v>
          </cell>
          <cell r="AN430"/>
          <cell r="AO430"/>
          <cell r="AP430"/>
          <cell r="AQ430"/>
          <cell r="AR430"/>
          <cell r="AS430"/>
          <cell r="AT430"/>
          <cell r="AU430"/>
          <cell r="AV430"/>
          <cell r="AW430"/>
          <cell r="AX430">
            <v>0.89600000000000002</v>
          </cell>
          <cell r="AY430">
            <v>3618</v>
          </cell>
          <cell r="AZ430">
            <v>2417</v>
          </cell>
        </row>
        <row r="431">
          <cell r="A431">
            <v>42156</v>
          </cell>
          <cell r="B431">
            <v>0.05</v>
          </cell>
          <cell r="C431">
            <v>-0.2</v>
          </cell>
          <cell r="D431">
            <v>-0.11899999999999999</v>
          </cell>
          <cell r="E431"/>
          <cell r="F431"/>
          <cell r="G431"/>
          <cell r="H431"/>
          <cell r="I431"/>
          <cell r="J431"/>
          <cell r="K431"/>
          <cell r="L431"/>
          <cell r="M431"/>
          <cell r="N431"/>
          <cell r="O431">
            <v>-6.3E-2</v>
          </cell>
          <cell r="P431">
            <v>-1.4E-2</v>
          </cell>
          <cell r="Q431">
            <v>4.9000000000000002E-2</v>
          </cell>
          <cell r="R431">
            <v>0.16300000000000001</v>
          </cell>
          <cell r="S431">
            <v>-0.217</v>
          </cell>
          <cell r="T431">
            <v>-0.19</v>
          </cell>
          <cell r="U431">
            <v>-0.14299999999999999</v>
          </cell>
          <cell r="V431">
            <v>0.14699999999999999</v>
          </cell>
          <cell r="W431">
            <v>0.83099999999999996</v>
          </cell>
          <cell r="X431">
            <v>1.5429999999999999</v>
          </cell>
          <cell r="Y431"/>
          <cell r="Z431"/>
          <cell r="AA431"/>
          <cell r="AB431"/>
          <cell r="AC431"/>
          <cell r="AD431"/>
          <cell r="AE431"/>
          <cell r="AF431"/>
          <cell r="AG431"/>
          <cell r="AH431"/>
          <cell r="AI431">
            <v>7.8E-2</v>
          </cell>
          <cell r="AJ431">
            <v>0.13800000000000001</v>
          </cell>
          <cell r="AK431">
            <v>0.24</v>
          </cell>
          <cell r="AL431">
            <v>0.52600000000000002</v>
          </cell>
          <cell r="AM431">
            <v>1.1679999999999999</v>
          </cell>
          <cell r="AN431"/>
          <cell r="AO431"/>
          <cell r="AP431"/>
          <cell r="AQ431"/>
          <cell r="AR431"/>
          <cell r="AS431"/>
          <cell r="AT431"/>
          <cell r="AU431"/>
          <cell r="AV431"/>
          <cell r="AW431"/>
          <cell r="AX431">
            <v>0.89</v>
          </cell>
          <cell r="AY431">
            <v>3522</v>
          </cell>
          <cell r="AZ431">
            <v>2540</v>
          </cell>
        </row>
        <row r="432">
          <cell r="A432">
            <v>42186</v>
          </cell>
          <cell r="B432">
            <v>0.05</v>
          </cell>
          <cell r="C432">
            <v>-0.2</v>
          </cell>
          <cell r="D432">
            <v>-0.11799999999999999</v>
          </cell>
          <cell r="E432"/>
          <cell r="F432"/>
          <cell r="G432"/>
          <cell r="H432"/>
          <cell r="I432"/>
          <cell r="J432"/>
          <cell r="K432"/>
          <cell r="L432"/>
          <cell r="M432"/>
          <cell r="N432"/>
          <cell r="O432">
            <v>-7.0999999999999994E-2</v>
          </cell>
          <cell r="P432">
            <v>-1.9E-2</v>
          </cell>
          <cell r="Q432">
            <v>4.9000000000000002E-2</v>
          </cell>
          <cell r="R432">
            <v>0.16700000000000001</v>
          </cell>
          <cell r="S432">
            <v>-0.24199999999999999</v>
          </cell>
          <cell r="T432">
            <v>-0.23499999999999999</v>
          </cell>
          <cell r="U432">
            <v>-0.17399999999999999</v>
          </cell>
          <cell r="V432">
            <v>0.112</v>
          </cell>
          <cell r="W432">
            <v>0.75700000000000001</v>
          </cell>
          <cell r="X432">
            <v>1.498</v>
          </cell>
          <cell r="Y432"/>
          <cell r="Z432"/>
          <cell r="AA432"/>
          <cell r="AB432"/>
          <cell r="AC432"/>
          <cell r="AD432"/>
          <cell r="AE432"/>
          <cell r="AF432"/>
          <cell r="AG432"/>
          <cell r="AH432"/>
          <cell r="AI432">
            <v>6.3E-2</v>
          </cell>
          <cell r="AJ432">
            <v>0.111</v>
          </cell>
          <cell r="AK432">
            <v>0.19700000000000001</v>
          </cell>
          <cell r="AL432">
            <v>0.45900000000000002</v>
          </cell>
          <cell r="AM432">
            <v>1.1120000000000001</v>
          </cell>
          <cell r="AN432"/>
          <cell r="AO432"/>
          <cell r="AP432"/>
          <cell r="AQ432"/>
          <cell r="AR432"/>
          <cell r="AS432"/>
          <cell r="AT432"/>
          <cell r="AU432"/>
          <cell r="AV432"/>
          <cell r="AW432"/>
          <cell r="AX432">
            <v>0.90900000000000003</v>
          </cell>
          <cell r="AY432">
            <v>3545</v>
          </cell>
          <cell r="AZ432">
            <v>2537</v>
          </cell>
        </row>
        <row r="433">
          <cell r="A433">
            <v>42217</v>
          </cell>
          <cell r="B433">
            <v>0.05</v>
          </cell>
          <cell r="C433">
            <v>-0.2</v>
          </cell>
          <cell r="D433">
            <v>-0.121</v>
          </cell>
          <cell r="E433"/>
          <cell r="F433"/>
          <cell r="G433"/>
          <cell r="H433"/>
          <cell r="I433"/>
          <cell r="J433"/>
          <cell r="K433"/>
          <cell r="L433"/>
          <cell r="M433"/>
          <cell r="N433"/>
          <cell r="O433">
            <v>-8.7999999999999995E-2</v>
          </cell>
          <cell r="P433">
            <v>-2.8000000000000001E-2</v>
          </cell>
          <cell r="Q433">
            <v>4.3999999999999997E-2</v>
          </cell>
          <cell r="R433">
            <v>0.161</v>
          </cell>
          <cell r="S433">
            <v>-0.23599999999999999</v>
          </cell>
          <cell r="T433">
            <v>-0.25</v>
          </cell>
          <cell r="U433">
            <v>-0.19700000000000001</v>
          </cell>
          <cell r="V433">
            <v>0.04</v>
          </cell>
          <cell r="W433">
            <v>0.66500000000000004</v>
          </cell>
          <cell r="X433">
            <v>1.3540000000000001</v>
          </cell>
          <cell r="Y433"/>
          <cell r="Z433"/>
          <cell r="AA433"/>
          <cell r="AB433"/>
          <cell r="AC433"/>
          <cell r="AD433"/>
          <cell r="AE433"/>
          <cell r="AF433"/>
          <cell r="AG433"/>
          <cell r="AH433"/>
          <cell r="AI433">
            <v>4.8000000000000001E-2</v>
          </cell>
          <cell r="AJ433">
            <v>8.8999999999999996E-2</v>
          </cell>
          <cell r="AK433">
            <v>0.16800000000000001</v>
          </cell>
          <cell r="AL433">
            <v>0.4</v>
          </cell>
          <cell r="AM433">
            <v>1.006</v>
          </cell>
          <cell r="AN433"/>
          <cell r="AO433"/>
          <cell r="AP433"/>
          <cell r="AQ433"/>
          <cell r="AR433"/>
          <cell r="AS433"/>
          <cell r="AT433"/>
          <cell r="AU433"/>
          <cell r="AV433"/>
          <cell r="AW433"/>
          <cell r="AX433">
            <v>0.89800000000000002</v>
          </cell>
          <cell r="AY433">
            <v>3444</v>
          </cell>
          <cell r="AZ433">
            <v>2559</v>
          </cell>
        </row>
        <row r="434">
          <cell r="A434">
            <v>42248</v>
          </cell>
          <cell r="B434">
            <v>0.05</v>
          </cell>
          <cell r="C434">
            <v>-0.2</v>
          </cell>
          <cell r="D434">
            <v>-0.13600000000000001</v>
          </cell>
          <cell r="E434"/>
          <cell r="F434"/>
          <cell r="G434"/>
          <cell r="H434"/>
          <cell r="I434"/>
          <cell r="J434"/>
          <cell r="K434"/>
          <cell r="L434"/>
          <cell r="M434"/>
          <cell r="N434"/>
          <cell r="O434">
            <v>-0.105</v>
          </cell>
          <cell r="P434">
            <v>-3.6999999999999998E-2</v>
          </cell>
          <cell r="Q434">
            <v>3.5000000000000003E-2</v>
          </cell>
          <cell r="R434">
            <v>0.154</v>
          </cell>
          <cell r="S434">
            <v>-0.255</v>
          </cell>
          <cell r="T434">
            <v>-0.23400000000000001</v>
          </cell>
          <cell r="U434">
            <v>-0.17899999999999999</v>
          </cell>
          <cell r="V434">
            <v>4.1000000000000002E-2</v>
          </cell>
          <cell r="W434">
            <v>0.67500000000000004</v>
          </cell>
          <cell r="X434">
            <v>1.411</v>
          </cell>
          <cell r="Y434"/>
          <cell r="Z434"/>
          <cell r="AA434"/>
          <cell r="AB434"/>
          <cell r="AC434"/>
          <cell r="AD434"/>
          <cell r="AE434"/>
          <cell r="AF434"/>
          <cell r="AG434"/>
          <cell r="AH434"/>
          <cell r="AI434">
            <v>3.6999999999999998E-2</v>
          </cell>
          <cell r="AJ434">
            <v>7.0000000000000007E-2</v>
          </cell>
          <cell r="AK434">
            <v>0.14899999999999999</v>
          </cell>
          <cell r="AL434">
            <v>0.38300000000000001</v>
          </cell>
          <cell r="AM434">
            <v>1.0149999999999999</v>
          </cell>
          <cell r="AN434"/>
          <cell r="AO434"/>
          <cell r="AP434"/>
          <cell r="AQ434"/>
          <cell r="AR434"/>
          <cell r="AS434"/>
          <cell r="AT434"/>
          <cell r="AU434"/>
          <cell r="AV434"/>
          <cell r="AW434"/>
          <cell r="AX434">
            <v>0.89</v>
          </cell>
          <cell r="AY434">
            <v>3165</v>
          </cell>
          <cell r="AZ434">
            <v>2621</v>
          </cell>
        </row>
        <row r="435">
          <cell r="A435">
            <v>42278</v>
          </cell>
          <cell r="B435">
            <v>0.05</v>
          </cell>
          <cell r="C435">
            <v>-0.2</v>
          </cell>
          <cell r="D435">
            <v>-0.13900000000000001</v>
          </cell>
          <cell r="E435"/>
          <cell r="F435"/>
          <cell r="G435"/>
          <cell r="H435"/>
          <cell r="I435"/>
          <cell r="J435"/>
          <cell r="K435"/>
          <cell r="L435"/>
          <cell r="M435"/>
          <cell r="N435"/>
          <cell r="O435">
            <v>-0.11600000000000001</v>
          </cell>
          <cell r="P435">
            <v>-5.3999999999999999E-2</v>
          </cell>
          <cell r="Q435">
            <v>0.02</v>
          </cell>
          <cell r="R435">
            <v>0.128</v>
          </cell>
          <cell r="S435">
            <v>-0.30499999999999999</v>
          </cell>
          <cell r="T435">
            <v>-0.27900000000000003</v>
          </cell>
          <cell r="U435">
            <v>-0.23799999999999999</v>
          </cell>
          <cell r="V435">
            <v>-4.9000000000000002E-2</v>
          </cell>
          <cell r="W435">
            <v>0.54600000000000004</v>
          </cell>
          <cell r="X435">
            <v>1.3</v>
          </cell>
          <cell r="Y435"/>
          <cell r="Z435"/>
          <cell r="AA435"/>
          <cell r="AB435"/>
          <cell r="AC435"/>
          <cell r="AD435"/>
          <cell r="AE435"/>
          <cell r="AF435"/>
          <cell r="AG435"/>
          <cell r="AH435"/>
          <cell r="AI435">
            <v>4.0000000000000001E-3</v>
          </cell>
          <cell r="AJ435">
            <v>2.1000000000000001E-2</v>
          </cell>
          <cell r="AK435">
            <v>9.0999999999999998E-2</v>
          </cell>
          <cell r="AL435">
            <v>0.315</v>
          </cell>
          <cell r="AM435">
            <v>0.93</v>
          </cell>
          <cell r="AN435"/>
          <cell r="AO435"/>
          <cell r="AP435"/>
          <cell r="AQ435"/>
          <cell r="AR435"/>
          <cell r="AS435"/>
          <cell r="AT435"/>
          <cell r="AU435"/>
          <cell r="AV435"/>
          <cell r="AW435"/>
          <cell r="AX435">
            <v>0.89200000000000002</v>
          </cell>
          <cell r="AY435">
            <v>3275</v>
          </cell>
          <cell r="AZ435">
            <v>2665</v>
          </cell>
        </row>
        <row r="436">
          <cell r="A436">
            <v>42309</v>
          </cell>
          <cell r="B436">
            <v>0.05</v>
          </cell>
          <cell r="C436">
            <v>-0.2</v>
          </cell>
          <cell r="D436">
            <v>-0.13500000000000001</v>
          </cell>
          <cell r="E436"/>
          <cell r="F436"/>
          <cell r="G436"/>
          <cell r="H436"/>
          <cell r="I436"/>
          <cell r="J436"/>
          <cell r="K436"/>
          <cell r="L436"/>
          <cell r="M436"/>
          <cell r="N436"/>
          <cell r="O436">
            <v>-0.14000000000000001</v>
          </cell>
          <cell r="P436">
            <v>-8.7999999999999995E-2</v>
          </cell>
          <cell r="Q436">
            <v>-1.4999999999999999E-2</v>
          </cell>
          <cell r="R436">
            <v>7.9000000000000001E-2</v>
          </cell>
          <cell r="S436">
            <v>-0.35899999999999999</v>
          </cell>
          <cell r="T436">
            <v>-0.36399999999999999</v>
          </cell>
          <cell r="U436">
            <v>-0.32600000000000001</v>
          </cell>
          <cell r="V436">
            <v>-0.112</v>
          </cell>
          <cell r="W436">
            <v>0.54900000000000004</v>
          </cell>
          <cell r="X436">
            <v>1.383</v>
          </cell>
          <cell r="Y436"/>
          <cell r="Z436"/>
          <cell r="AA436"/>
          <cell r="AB436"/>
          <cell r="AC436"/>
          <cell r="AD436"/>
          <cell r="AE436"/>
          <cell r="AF436"/>
          <cell r="AG436"/>
          <cell r="AH436"/>
          <cell r="AI436">
            <v>-6.6000000000000003E-2</v>
          </cell>
          <cell r="AJ436">
            <v>-7.2999999999999995E-2</v>
          </cell>
          <cell r="AK436">
            <v>-0.01</v>
          </cell>
          <cell r="AL436">
            <v>0.22800000000000001</v>
          </cell>
          <cell r="AM436">
            <v>0.9</v>
          </cell>
          <cell r="AN436"/>
          <cell r="AO436"/>
          <cell r="AP436"/>
          <cell r="AQ436"/>
          <cell r="AR436"/>
          <cell r="AS436"/>
          <cell r="AT436"/>
          <cell r="AU436"/>
          <cell r="AV436"/>
          <cell r="AW436"/>
          <cell r="AX436">
            <v>0.93200000000000005</v>
          </cell>
          <cell r="AY436">
            <v>3440</v>
          </cell>
          <cell r="AZ436">
            <v>2707</v>
          </cell>
        </row>
        <row r="437">
          <cell r="A437">
            <v>42339</v>
          </cell>
          <cell r="B437">
            <v>0.05</v>
          </cell>
          <cell r="C437">
            <v>-0.3</v>
          </cell>
          <cell r="D437">
            <v>-0.19900000000000001</v>
          </cell>
          <cell r="E437"/>
          <cell r="F437"/>
          <cell r="G437"/>
          <cell r="H437"/>
          <cell r="I437"/>
          <cell r="J437"/>
          <cell r="K437"/>
          <cell r="L437"/>
          <cell r="M437"/>
          <cell r="N437"/>
          <cell r="O437">
            <v>-0.19</v>
          </cell>
          <cell r="P437">
            <v>-0.126</v>
          </cell>
          <cell r="Q437">
            <v>-0.04</v>
          </cell>
          <cell r="R437">
            <v>5.8999999999999997E-2</v>
          </cell>
          <cell r="S437">
            <v>-0.35599999999999998</v>
          </cell>
          <cell r="T437">
            <v>-0.34399999999999997</v>
          </cell>
          <cell r="U437">
            <v>-0.30099999999999999</v>
          </cell>
          <cell r="V437">
            <v>-7.4999999999999997E-2</v>
          </cell>
          <cell r="W437">
            <v>0.59599999999999997</v>
          </cell>
          <cell r="X437">
            <v>1.4079999999999999</v>
          </cell>
          <cell r="Y437"/>
          <cell r="Z437"/>
          <cell r="AA437"/>
          <cell r="AB437"/>
          <cell r="AC437"/>
          <cell r="AD437"/>
          <cell r="AE437"/>
          <cell r="AF437"/>
          <cell r="AG437"/>
          <cell r="AH437"/>
          <cell r="AI437">
            <v>-6.0999999999999999E-2</v>
          </cell>
          <cell r="AJ437">
            <v>-4.8000000000000001E-2</v>
          </cell>
          <cell r="AK437">
            <v>2.8000000000000001E-2</v>
          </cell>
          <cell r="AL437">
            <v>0.28499999999999998</v>
          </cell>
          <cell r="AM437">
            <v>0.94399999999999995</v>
          </cell>
          <cell r="AN437"/>
          <cell r="AO437"/>
          <cell r="AP437"/>
          <cell r="AQ437"/>
          <cell r="AR437"/>
          <cell r="AS437"/>
          <cell r="AT437"/>
          <cell r="AU437"/>
          <cell r="AV437"/>
          <cell r="AW437"/>
          <cell r="AX437">
            <v>0.91800000000000004</v>
          </cell>
          <cell r="AY437">
            <v>3289</v>
          </cell>
          <cell r="AZ437">
            <v>2768</v>
          </cell>
        </row>
        <row r="438">
          <cell r="A438">
            <v>42370</v>
          </cell>
          <cell r="B438">
            <v>0.05</v>
          </cell>
          <cell r="C438">
            <v>-0.3</v>
          </cell>
          <cell r="D438">
            <v>-0.23899999999999999</v>
          </cell>
          <cell r="E438"/>
          <cell r="F438"/>
          <cell r="G438"/>
          <cell r="H438"/>
          <cell r="I438"/>
          <cell r="J438"/>
          <cell r="K438"/>
          <cell r="L438"/>
          <cell r="M438"/>
          <cell r="N438"/>
          <cell r="O438">
            <v>-0.223</v>
          </cell>
          <cell r="P438">
            <v>-0.14599999999999999</v>
          </cell>
          <cell r="Q438">
            <v>-6.0999999999999999E-2</v>
          </cell>
          <cell r="R438">
            <v>4.2000000000000003E-2</v>
          </cell>
          <cell r="S438">
            <v>-0.4</v>
          </cell>
          <cell r="T438">
            <v>-0.40699999999999997</v>
          </cell>
          <cell r="U438">
            <v>-0.38100000000000001</v>
          </cell>
          <cell r="V438">
            <v>-0.16800000000000001</v>
          </cell>
          <cell r="W438">
            <v>0.50700000000000001</v>
          </cell>
          <cell r="X438">
            <v>1.302</v>
          </cell>
          <cell r="Y438"/>
          <cell r="Z438"/>
          <cell r="AA438"/>
          <cell r="AB438"/>
          <cell r="AC438"/>
          <cell r="AD438"/>
          <cell r="AE438"/>
          <cell r="AF438"/>
          <cell r="AG438"/>
          <cell r="AH438"/>
          <cell r="AI438">
            <v>-9.8000000000000004E-2</v>
          </cell>
          <cell r="AJ438">
            <v>-9.8000000000000004E-2</v>
          </cell>
          <cell r="AK438">
            <v>-3.1E-2</v>
          </cell>
          <cell r="AL438">
            <v>0.20499999999999999</v>
          </cell>
          <cell r="AM438">
            <v>0.83899999999999997</v>
          </cell>
          <cell r="AN438"/>
          <cell r="AO438"/>
          <cell r="AP438"/>
          <cell r="AQ438"/>
          <cell r="AR438"/>
          <cell r="AS438"/>
          <cell r="AT438"/>
          <cell r="AU438"/>
          <cell r="AV438"/>
          <cell r="AW438"/>
          <cell r="AX438">
            <v>0.92</v>
          </cell>
          <cell r="AY438">
            <v>3031</v>
          </cell>
          <cell r="AZ438">
            <v>2808</v>
          </cell>
        </row>
        <row r="439">
          <cell r="A439">
            <v>42401</v>
          </cell>
          <cell r="B439">
            <v>0.05</v>
          </cell>
          <cell r="C439">
            <v>-0.3</v>
          </cell>
          <cell r="D439">
            <v>-0.24</v>
          </cell>
          <cell r="E439"/>
          <cell r="F439"/>
          <cell r="G439"/>
          <cell r="H439"/>
          <cell r="I439"/>
          <cell r="J439"/>
          <cell r="K439"/>
          <cell r="L439"/>
          <cell r="M439"/>
          <cell r="N439"/>
          <cell r="O439">
            <v>-0.246</v>
          </cell>
          <cell r="P439">
            <v>-0.184</v>
          </cell>
          <cell r="Q439">
            <v>-0.115</v>
          </cell>
          <cell r="R439">
            <v>-8.0000000000000002E-3</v>
          </cell>
          <cell r="S439">
            <v>-0.47899999999999998</v>
          </cell>
          <cell r="T439">
            <v>-0.51700000000000002</v>
          </cell>
          <cell r="U439">
            <v>-0.47</v>
          </cell>
          <cell r="V439">
            <v>-0.31</v>
          </cell>
          <cell r="W439">
            <v>0.22700000000000001</v>
          </cell>
          <cell r="X439">
            <v>0.92900000000000005</v>
          </cell>
          <cell r="Y439"/>
          <cell r="Z439"/>
          <cell r="AA439"/>
          <cell r="AB439"/>
          <cell r="AC439"/>
          <cell r="AD439"/>
          <cell r="AE439"/>
          <cell r="AF439"/>
          <cell r="AG439"/>
          <cell r="AH439"/>
          <cell r="AI439">
            <v>-0.16300000000000001</v>
          </cell>
          <cell r="AJ439">
            <v>-0.17499999999999999</v>
          </cell>
          <cell r="AK439">
            <v>-0.13100000000000001</v>
          </cell>
          <cell r="AL439">
            <v>4.5999999999999999E-2</v>
          </cell>
          <cell r="AM439">
            <v>0.59799999999999998</v>
          </cell>
          <cell r="AN439"/>
          <cell r="AO439"/>
          <cell r="AP439"/>
          <cell r="AQ439"/>
          <cell r="AR439"/>
          <cell r="AS439"/>
          <cell r="AT439"/>
          <cell r="AU439"/>
          <cell r="AV439"/>
          <cell r="AW439"/>
          <cell r="AX439">
            <v>0.90100000000000002</v>
          </cell>
          <cell r="AY439">
            <v>2863</v>
          </cell>
          <cell r="AZ439">
            <v>2850</v>
          </cell>
        </row>
        <row r="440">
          <cell r="A440">
            <v>42430</v>
          </cell>
          <cell r="B440">
            <v>0</v>
          </cell>
          <cell r="C440">
            <v>-0.4</v>
          </cell>
          <cell r="D440">
            <v>-0.28799999999999998</v>
          </cell>
          <cell r="E440"/>
          <cell r="F440"/>
          <cell r="G440"/>
          <cell r="H440"/>
          <cell r="I440"/>
          <cell r="J440"/>
          <cell r="K440"/>
          <cell r="L440"/>
          <cell r="M440"/>
          <cell r="N440"/>
          <cell r="O440">
            <v>-0.308</v>
          </cell>
          <cell r="P440">
            <v>-0.22900000000000001</v>
          </cell>
          <cell r="Q440">
            <v>-0.13400000000000001</v>
          </cell>
          <cell r="R440">
            <v>-1.2E-2</v>
          </cell>
          <cell r="S440">
            <v>-0.47199999999999998</v>
          </cell>
          <cell r="T440">
            <v>-0.5</v>
          </cell>
          <cell r="U440">
            <v>-0.48</v>
          </cell>
          <cell r="V440">
            <v>-0.315</v>
          </cell>
          <cell r="W440">
            <v>0.215</v>
          </cell>
          <cell r="X440">
            <v>0.94599999999999995</v>
          </cell>
          <cell r="Y440"/>
          <cell r="Z440"/>
          <cell r="AA440"/>
          <cell r="AB440"/>
          <cell r="AC440"/>
          <cell r="AD440"/>
          <cell r="AE440"/>
          <cell r="AF440"/>
          <cell r="AG440"/>
          <cell r="AH440"/>
          <cell r="AI440">
            <v>-0.156</v>
          </cell>
          <cell r="AJ440">
            <v>-0.161</v>
          </cell>
          <cell r="AK440">
            <v>-0.126</v>
          </cell>
          <cell r="AL440">
            <v>3.5000000000000003E-2</v>
          </cell>
          <cell r="AM440">
            <v>0.58899999999999997</v>
          </cell>
          <cell r="AN440"/>
          <cell r="AO440"/>
          <cell r="AP440"/>
          <cell r="AQ440"/>
          <cell r="AR440"/>
          <cell r="AS440"/>
          <cell r="AT440"/>
          <cell r="AU440"/>
          <cell r="AV440"/>
          <cell r="AW440"/>
          <cell r="AX440">
            <v>0.89800000000000002</v>
          </cell>
          <cell r="AY440">
            <v>3031</v>
          </cell>
          <cell r="AZ440">
            <v>2898</v>
          </cell>
        </row>
        <row r="441">
          <cell r="A441">
            <v>42461</v>
          </cell>
          <cell r="B441">
            <v>0</v>
          </cell>
          <cell r="C441">
            <v>-0.4</v>
          </cell>
          <cell r="D441">
            <v>-0.33800000000000002</v>
          </cell>
          <cell r="E441"/>
          <cell r="F441"/>
          <cell r="G441"/>
          <cell r="H441"/>
          <cell r="I441"/>
          <cell r="J441"/>
          <cell r="K441"/>
          <cell r="L441"/>
          <cell r="M441"/>
          <cell r="N441"/>
          <cell r="O441">
            <v>-0.34100000000000003</v>
          </cell>
          <cell r="P441">
            <v>-0.249</v>
          </cell>
          <cell r="Q441">
            <v>-0.13800000000000001</v>
          </cell>
          <cell r="R441">
            <v>-0.01</v>
          </cell>
          <cell r="S441">
            <v>-0.498</v>
          </cell>
          <cell r="T441">
            <v>-0.5</v>
          </cell>
          <cell r="U441">
            <v>-0.496</v>
          </cell>
          <cell r="V441">
            <v>-0.34599999999999997</v>
          </cell>
          <cell r="W441">
            <v>0.17599999999999999</v>
          </cell>
          <cell r="X441">
            <v>0.86499999999999999</v>
          </cell>
          <cell r="Y441"/>
          <cell r="Z441"/>
          <cell r="AA441"/>
          <cell r="AB441"/>
          <cell r="AC441"/>
          <cell r="AD441"/>
          <cell r="AE441"/>
          <cell r="AF441"/>
          <cell r="AG441"/>
          <cell r="AH441"/>
          <cell r="AI441">
            <v>-0.15</v>
          </cell>
          <cell r="AJ441">
            <v>-0.153</v>
          </cell>
          <cell r="AK441">
            <v>-0.123</v>
          </cell>
          <cell r="AL441">
            <v>2.5999999999999999E-2</v>
          </cell>
          <cell r="AM441">
            <v>0.56999999999999995</v>
          </cell>
          <cell r="AN441"/>
          <cell r="AO441"/>
          <cell r="AP441"/>
          <cell r="AQ441"/>
          <cell r="AR441"/>
          <cell r="AS441"/>
          <cell r="AT441"/>
          <cell r="AU441"/>
          <cell r="AV441"/>
          <cell r="AW441"/>
          <cell r="AX441">
            <v>0.88200000000000001</v>
          </cell>
          <cell r="AY441">
            <v>3031</v>
          </cell>
          <cell r="AZ441">
            <v>3001</v>
          </cell>
        </row>
        <row r="442">
          <cell r="A442">
            <v>42491</v>
          </cell>
          <cell r="B442">
            <v>0</v>
          </cell>
          <cell r="C442">
            <v>-0.4</v>
          </cell>
          <cell r="D442">
            <v>-0.33800000000000002</v>
          </cell>
          <cell r="E442"/>
          <cell r="F442"/>
          <cell r="G442"/>
          <cell r="H442"/>
          <cell r="I442"/>
          <cell r="J442"/>
          <cell r="K442"/>
          <cell r="L442"/>
          <cell r="M442"/>
          <cell r="N442"/>
          <cell r="O442">
            <v>-0.34799999999999998</v>
          </cell>
          <cell r="P442">
            <v>-0.25700000000000001</v>
          </cell>
          <cell r="Q442">
            <v>-0.14399999999999999</v>
          </cell>
          <cell r="R442">
            <v>-1.2999999999999999E-2</v>
          </cell>
          <cell r="S442">
            <v>-0.51500000000000001</v>
          </cell>
          <cell r="T442">
            <v>-0.50900000000000001</v>
          </cell>
          <cell r="U442">
            <v>-0.51900000000000002</v>
          </cell>
          <cell r="V442">
            <v>-0.36299999999999999</v>
          </cell>
          <cell r="W442">
            <v>0.159</v>
          </cell>
          <cell r="X442">
            <v>0.87</v>
          </cell>
          <cell r="Y442"/>
          <cell r="Z442"/>
          <cell r="AA442"/>
          <cell r="AB442"/>
          <cell r="AC442"/>
          <cell r="AD442"/>
          <cell r="AE442"/>
          <cell r="AF442"/>
          <cell r="AG442"/>
          <cell r="AH442"/>
          <cell r="AI442">
            <v>-0.152</v>
          </cell>
          <cell r="AJ442">
            <v>-0.153</v>
          </cell>
          <cell r="AK442">
            <v>-0.121</v>
          </cell>
          <cell r="AL442">
            <v>1.7000000000000001E-2</v>
          </cell>
          <cell r="AM442">
            <v>0.55800000000000005</v>
          </cell>
          <cell r="AN442"/>
          <cell r="AO442"/>
          <cell r="AP442"/>
          <cell r="AQ442"/>
          <cell r="AR442"/>
          <cell r="AS442"/>
          <cell r="AT442"/>
          <cell r="AU442"/>
          <cell r="AV442"/>
          <cell r="AW442"/>
          <cell r="AX442">
            <v>0.88500000000000001</v>
          </cell>
          <cell r="AY442">
            <v>2984</v>
          </cell>
          <cell r="AZ442">
            <v>3067</v>
          </cell>
        </row>
        <row r="443">
          <cell r="A443">
            <v>42522</v>
          </cell>
          <cell r="B443">
            <v>0</v>
          </cell>
          <cell r="C443">
            <v>-0.4</v>
          </cell>
          <cell r="D443">
            <v>-0.33300000000000002</v>
          </cell>
          <cell r="E443"/>
          <cell r="F443"/>
          <cell r="G443"/>
          <cell r="H443"/>
          <cell r="I443"/>
          <cell r="J443"/>
          <cell r="K443"/>
          <cell r="L443"/>
          <cell r="M443"/>
          <cell r="N443"/>
          <cell r="O443">
            <v>-0.35599999999999998</v>
          </cell>
          <cell r="P443">
            <v>-0.26800000000000002</v>
          </cell>
          <cell r="Q443">
            <v>-0.16200000000000001</v>
          </cell>
          <cell r="R443">
            <v>-2.8000000000000001E-2</v>
          </cell>
          <cell r="S443">
            <v>-0.55500000000000005</v>
          </cell>
          <cell r="T443">
            <v>-0.58199999999999996</v>
          </cell>
          <cell r="U443">
            <v>-0.58799999999999997</v>
          </cell>
          <cell r="V443">
            <v>-0.46500000000000002</v>
          </cell>
          <cell r="W443">
            <v>1.2999999999999999E-2</v>
          </cell>
          <cell r="X443">
            <v>0.60299999999999998</v>
          </cell>
          <cell r="Y443"/>
          <cell r="Z443"/>
          <cell r="AA443"/>
          <cell r="AB443"/>
          <cell r="AC443"/>
          <cell r="AD443"/>
          <cell r="AE443"/>
          <cell r="AF443"/>
          <cell r="AG443"/>
          <cell r="AH443"/>
          <cell r="AI443">
            <v>-0.17</v>
          </cell>
          <cell r="AJ443">
            <v>-0.18099999999999999</v>
          </cell>
          <cell r="AK443">
            <v>-0.161</v>
          </cell>
          <cell r="AL443">
            <v>-3.6999999999999998E-2</v>
          </cell>
          <cell r="AM443">
            <v>0.47099999999999997</v>
          </cell>
          <cell r="AN443"/>
          <cell r="AO443"/>
          <cell r="AP443"/>
          <cell r="AQ443"/>
          <cell r="AR443"/>
          <cell r="AS443"/>
          <cell r="AT443"/>
          <cell r="AU443"/>
          <cell r="AV443"/>
          <cell r="AW443"/>
          <cell r="AX443">
            <v>0.89</v>
          </cell>
          <cell r="AY443">
            <v>2911</v>
          </cell>
          <cell r="AZ443">
            <v>3131</v>
          </cell>
        </row>
        <row r="444">
          <cell r="A444">
            <v>42552</v>
          </cell>
          <cell r="B444">
            <v>0</v>
          </cell>
          <cell r="C444">
            <v>-0.4</v>
          </cell>
          <cell r="D444">
            <v>-0.32900000000000001</v>
          </cell>
          <cell r="E444"/>
          <cell r="F444"/>
          <cell r="G444"/>
          <cell r="H444"/>
          <cell r="I444"/>
          <cell r="J444"/>
          <cell r="K444"/>
          <cell r="L444"/>
          <cell r="M444"/>
          <cell r="N444"/>
          <cell r="O444">
            <v>-0.36899999999999999</v>
          </cell>
          <cell r="P444">
            <v>-0.29499999999999998</v>
          </cell>
          <cell r="Q444">
            <v>-0.188</v>
          </cell>
          <cell r="R444">
            <v>-5.6000000000000001E-2</v>
          </cell>
          <cell r="S444">
            <v>-0.61099999999999999</v>
          </cell>
          <cell r="T444">
            <v>-0.65</v>
          </cell>
          <cell r="U444">
            <v>-0.67</v>
          </cell>
          <cell r="V444">
            <v>-0.55400000000000005</v>
          </cell>
          <cell r="W444">
            <v>-8.5999999999999993E-2</v>
          </cell>
          <cell r="X444">
            <v>0.433</v>
          </cell>
          <cell r="Y444"/>
          <cell r="Z444"/>
          <cell r="AA444"/>
          <cell r="AB444"/>
          <cell r="AC444"/>
          <cell r="AD444"/>
          <cell r="AE444"/>
          <cell r="AF444"/>
          <cell r="AG444"/>
          <cell r="AH444"/>
          <cell r="AI444">
            <v>-0.21199999999999999</v>
          </cell>
          <cell r="AJ444">
            <v>-0.22900000000000001</v>
          </cell>
          <cell r="AK444">
            <v>-0.224</v>
          </cell>
          <cell r="AL444">
            <v>-0.14299999999999999</v>
          </cell>
          <cell r="AM444">
            <v>0.316</v>
          </cell>
          <cell r="AN444"/>
          <cell r="AO444"/>
          <cell r="AP444"/>
          <cell r="AQ444"/>
          <cell r="AR444"/>
          <cell r="AS444"/>
          <cell r="AT444"/>
          <cell r="AU444"/>
          <cell r="AV444"/>
          <cell r="AW444"/>
          <cell r="AX444">
            <v>0.90400000000000003</v>
          </cell>
          <cell r="AY444">
            <v>2919</v>
          </cell>
          <cell r="AZ444">
            <v>3284</v>
          </cell>
        </row>
        <row r="445">
          <cell r="A445">
            <v>42583</v>
          </cell>
          <cell r="B445">
            <v>0</v>
          </cell>
          <cell r="C445">
            <v>-0.4</v>
          </cell>
          <cell r="D445">
            <v>-0.33900000000000002</v>
          </cell>
          <cell r="E445"/>
          <cell r="F445"/>
          <cell r="G445"/>
          <cell r="H445"/>
          <cell r="I445"/>
          <cell r="J445"/>
          <cell r="K445"/>
          <cell r="L445"/>
          <cell r="M445"/>
          <cell r="N445"/>
          <cell r="O445">
            <v>-0.37</v>
          </cell>
          <cell r="P445">
            <v>-0.29799999999999999</v>
          </cell>
          <cell r="Q445">
            <v>-0.189</v>
          </cell>
          <cell r="R445">
            <v>-4.8000000000000001E-2</v>
          </cell>
          <cell r="S445">
            <v>-0.6</v>
          </cell>
          <cell r="T445">
            <v>-0.61899999999999999</v>
          </cell>
          <cell r="U445">
            <v>-0.64500000000000002</v>
          </cell>
          <cell r="V445">
            <v>-0.51500000000000001</v>
          </cell>
          <cell r="W445">
            <v>-7.3999999999999996E-2</v>
          </cell>
          <cell r="X445">
            <v>0.42899999999999999</v>
          </cell>
          <cell r="Y445"/>
          <cell r="Z445"/>
          <cell r="AA445"/>
          <cell r="AB445"/>
          <cell r="AC445"/>
          <cell r="AD445"/>
          <cell r="AE445"/>
          <cell r="AF445"/>
          <cell r="AG445"/>
          <cell r="AH445"/>
          <cell r="AI445">
            <v>-0.20200000000000001</v>
          </cell>
          <cell r="AJ445">
            <v>-0.21099999999999999</v>
          </cell>
          <cell r="AK445">
            <v>-0.20399999999999999</v>
          </cell>
          <cell r="AL445">
            <v>-0.13100000000000001</v>
          </cell>
          <cell r="AM445">
            <v>0.29099999999999998</v>
          </cell>
          <cell r="AN445"/>
          <cell r="AO445"/>
          <cell r="AP445"/>
          <cell r="AQ445"/>
          <cell r="AR445"/>
          <cell r="AS445"/>
          <cell r="AT445"/>
          <cell r="AU445"/>
          <cell r="AV445"/>
          <cell r="AW445"/>
          <cell r="AX445">
            <v>0.89300000000000002</v>
          </cell>
          <cell r="AY445">
            <v>2993</v>
          </cell>
          <cell r="AZ445">
            <v>3330</v>
          </cell>
        </row>
        <row r="446">
          <cell r="A446">
            <v>42614</v>
          </cell>
          <cell r="B446">
            <v>0</v>
          </cell>
          <cell r="C446">
            <v>-0.4</v>
          </cell>
          <cell r="D446">
            <v>-0.34300000000000003</v>
          </cell>
          <cell r="E446"/>
          <cell r="F446"/>
          <cell r="G446"/>
          <cell r="H446"/>
          <cell r="I446"/>
          <cell r="J446"/>
          <cell r="K446"/>
          <cell r="L446"/>
          <cell r="M446"/>
          <cell r="N446"/>
          <cell r="O446">
            <v>-0.371</v>
          </cell>
          <cell r="P446">
            <v>-0.30199999999999999</v>
          </cell>
          <cell r="Q446">
            <v>-0.19900000000000001</v>
          </cell>
          <cell r="R446">
            <v>-5.7000000000000002E-2</v>
          </cell>
          <cell r="S446">
            <v>-0.61</v>
          </cell>
          <cell r="T446">
            <v>-0.65600000000000003</v>
          </cell>
          <cell r="U446">
            <v>-0.66300000000000003</v>
          </cell>
          <cell r="V446">
            <v>-0.52700000000000002</v>
          </cell>
          <cell r="W446">
            <v>-4.9000000000000002E-2</v>
          </cell>
          <cell r="X446">
            <v>0.53</v>
          </cell>
          <cell r="Y446"/>
          <cell r="Z446"/>
          <cell r="AA446"/>
          <cell r="AB446"/>
          <cell r="AC446"/>
          <cell r="AD446"/>
          <cell r="AE446"/>
          <cell r="AF446"/>
          <cell r="AG446"/>
          <cell r="AH446"/>
          <cell r="AI446">
            <v>-0.21299999999999999</v>
          </cell>
          <cell r="AJ446">
            <v>-0.22500000000000001</v>
          </cell>
          <cell r="AK446">
            <v>-0.216</v>
          </cell>
          <cell r="AL446">
            <v>-0.13300000000000001</v>
          </cell>
          <cell r="AM446">
            <v>0.315</v>
          </cell>
          <cell r="AN446"/>
          <cell r="AO446"/>
          <cell r="AP446"/>
          <cell r="AQ446"/>
          <cell r="AR446"/>
          <cell r="AS446"/>
          <cell r="AT446"/>
          <cell r="AU446"/>
          <cell r="AV446"/>
          <cell r="AW446"/>
          <cell r="AX446">
            <v>0.89200000000000002</v>
          </cell>
          <cell r="AY446">
            <v>3012</v>
          </cell>
          <cell r="AZ446">
            <v>3438</v>
          </cell>
        </row>
        <row r="447">
          <cell r="A447">
            <v>42644</v>
          </cell>
          <cell r="B447">
            <v>0</v>
          </cell>
          <cell r="C447">
            <v>-0.4</v>
          </cell>
          <cell r="D447">
            <v>-0.34699999999999998</v>
          </cell>
          <cell r="E447"/>
          <cell r="F447"/>
          <cell r="G447"/>
          <cell r="H447"/>
          <cell r="I447"/>
          <cell r="J447"/>
          <cell r="K447"/>
          <cell r="L447"/>
          <cell r="M447"/>
          <cell r="N447"/>
          <cell r="O447">
            <v>-0.371</v>
          </cell>
          <cell r="P447">
            <v>-0.309</v>
          </cell>
          <cell r="Q447">
            <v>-0.20699999999999999</v>
          </cell>
          <cell r="R447">
            <v>-6.9000000000000006E-2</v>
          </cell>
          <cell r="S447">
            <v>-0.68300000000000005</v>
          </cell>
          <cell r="T447">
            <v>-0.65700000000000003</v>
          </cell>
          <cell r="U447">
            <v>-0.65200000000000002</v>
          </cell>
          <cell r="V447">
            <v>-0.48199999999999998</v>
          </cell>
          <cell r="W447">
            <v>4.1000000000000002E-2</v>
          </cell>
          <cell r="X447">
            <v>0.66200000000000003</v>
          </cell>
          <cell r="Y447"/>
          <cell r="Z447"/>
          <cell r="AA447"/>
          <cell r="AB447"/>
          <cell r="AC447"/>
          <cell r="AD447"/>
          <cell r="AE447"/>
          <cell r="AF447"/>
          <cell r="AG447"/>
          <cell r="AH447"/>
          <cell r="AI447">
            <v>-0.20200000000000001</v>
          </cell>
          <cell r="AJ447">
            <v>-0.193</v>
          </cell>
          <cell r="AK447">
            <v>-0.16900000000000001</v>
          </cell>
          <cell r="AL447">
            <v>-6.0999999999999999E-2</v>
          </cell>
          <cell r="AM447">
            <v>0.41299999999999998</v>
          </cell>
          <cell r="AN447"/>
          <cell r="AO447"/>
          <cell r="AP447"/>
          <cell r="AQ447"/>
          <cell r="AR447"/>
          <cell r="AS447"/>
          <cell r="AT447"/>
          <cell r="AU447"/>
          <cell r="AV447"/>
          <cell r="AW447"/>
          <cell r="AX447">
            <v>0.90700000000000003</v>
          </cell>
          <cell r="AY447">
            <v>3042</v>
          </cell>
          <cell r="AZ447">
            <v>3507</v>
          </cell>
        </row>
        <row r="448">
          <cell r="A448">
            <v>42675</v>
          </cell>
          <cell r="B448">
            <v>0</v>
          </cell>
          <cell r="C448">
            <v>-0.4</v>
          </cell>
          <cell r="D448">
            <v>-0.34899999999999998</v>
          </cell>
          <cell r="E448"/>
          <cell r="F448"/>
          <cell r="G448"/>
          <cell r="H448"/>
          <cell r="I448"/>
          <cell r="J448"/>
          <cell r="K448"/>
          <cell r="L448"/>
          <cell r="M448"/>
          <cell r="N448"/>
          <cell r="O448">
            <v>-0.373</v>
          </cell>
          <cell r="P448">
            <v>-0.313</v>
          </cell>
          <cell r="Q448">
            <v>-0.215</v>
          </cell>
          <cell r="R448">
            <v>-7.3999999999999996E-2</v>
          </cell>
          <cell r="S448">
            <v>-0.72</v>
          </cell>
          <cell r="T448">
            <v>-0.66500000000000004</v>
          </cell>
          <cell r="U448">
            <v>-0.63900000000000001</v>
          </cell>
          <cell r="V448">
            <v>-0.39500000000000002</v>
          </cell>
          <cell r="W448">
            <v>0.23499999999999999</v>
          </cell>
          <cell r="X448">
            <v>0.86399999999999999</v>
          </cell>
          <cell r="Y448"/>
          <cell r="Z448"/>
          <cell r="AA448"/>
          <cell r="AB448"/>
          <cell r="AC448"/>
          <cell r="AD448"/>
          <cell r="AE448"/>
          <cell r="AF448"/>
          <cell r="AG448"/>
          <cell r="AH448"/>
          <cell r="AI448">
            <v>-0.192</v>
          </cell>
          <cell r="AJ448">
            <v>-0.14599999999999999</v>
          </cell>
          <cell r="AK448">
            <v>-8.3000000000000004E-2</v>
          </cell>
          <cell r="AL448">
            <v>8.5999999999999993E-2</v>
          </cell>
          <cell r="AM448">
            <v>0.622</v>
          </cell>
          <cell r="AN448"/>
          <cell r="AO448"/>
          <cell r="AP448"/>
          <cell r="AQ448"/>
          <cell r="AR448"/>
          <cell r="AS448"/>
          <cell r="AT448"/>
          <cell r="AU448"/>
          <cell r="AV448"/>
          <cell r="AW448"/>
          <cell r="AX448">
            <v>0.92800000000000005</v>
          </cell>
          <cell r="AY448">
            <v>3026</v>
          </cell>
          <cell r="AZ448">
            <v>3566</v>
          </cell>
        </row>
        <row r="449">
          <cell r="A449">
            <v>42705</v>
          </cell>
          <cell r="B449">
            <v>0</v>
          </cell>
          <cell r="C449">
            <v>-0.4</v>
          </cell>
          <cell r="D449">
            <v>-0.35</v>
          </cell>
          <cell r="E449"/>
          <cell r="F449"/>
          <cell r="G449"/>
          <cell r="H449"/>
          <cell r="I449"/>
          <cell r="J449"/>
          <cell r="K449"/>
          <cell r="L449"/>
          <cell r="M449"/>
          <cell r="N449"/>
          <cell r="O449">
            <v>-0.37</v>
          </cell>
          <cell r="P449">
            <v>-0.316</v>
          </cell>
          <cell r="Q449">
            <v>-0.218</v>
          </cell>
          <cell r="R449">
            <v>-0.08</v>
          </cell>
          <cell r="S449">
            <v>-0.79100000000000004</v>
          </cell>
          <cell r="T449">
            <v>-0.76</v>
          </cell>
          <cell r="U449">
            <v>-0.74299999999999999</v>
          </cell>
          <cell r="V449">
            <v>-0.46300000000000002</v>
          </cell>
          <cell r="W449">
            <v>0.29299999999999998</v>
          </cell>
          <cell r="X449">
            <v>1.0129999999999999</v>
          </cell>
          <cell r="Y449"/>
          <cell r="Z449"/>
          <cell r="AA449"/>
          <cell r="AB449"/>
          <cell r="AC449"/>
          <cell r="AD449"/>
          <cell r="AE449"/>
          <cell r="AF449"/>
          <cell r="AG449"/>
          <cell r="AH449"/>
          <cell r="AI449">
            <v>-0.19900000000000001</v>
          </cell>
          <cell r="AJ449">
            <v>-0.155</v>
          </cell>
          <cell r="AK449">
            <v>-8.7999999999999995E-2</v>
          </cell>
          <cell r="AL449">
            <v>0.115</v>
          </cell>
          <cell r="AM449">
            <v>0.72499999999999998</v>
          </cell>
          <cell r="AN449"/>
          <cell r="AO449"/>
          <cell r="AP449"/>
          <cell r="AQ449"/>
          <cell r="AR449"/>
          <cell r="AS449"/>
          <cell r="AT449"/>
          <cell r="AU449"/>
          <cell r="AV449"/>
          <cell r="AW449"/>
          <cell r="AX449">
            <v>0.94899999999999995</v>
          </cell>
          <cell r="AY449">
            <v>3207</v>
          </cell>
          <cell r="AZ449">
            <v>3663</v>
          </cell>
        </row>
        <row r="450">
          <cell r="A450">
            <v>42736</v>
          </cell>
          <cell r="B450">
            <v>0</v>
          </cell>
          <cell r="C450">
            <v>-0.4</v>
          </cell>
          <cell r="D450">
            <v>-0.35199999999999998</v>
          </cell>
          <cell r="E450"/>
          <cell r="F450"/>
          <cell r="G450"/>
          <cell r="H450"/>
          <cell r="I450"/>
          <cell r="J450"/>
          <cell r="K450"/>
          <cell r="L450"/>
          <cell r="M450"/>
          <cell r="N450"/>
          <cell r="O450">
            <v>-0.371</v>
          </cell>
          <cell r="P450">
            <v>-0.32600000000000001</v>
          </cell>
          <cell r="Q450">
            <v>-0.23599999999999999</v>
          </cell>
          <cell r="R450">
            <v>-9.5000000000000001E-2</v>
          </cell>
          <cell r="S450">
            <v>-0.67800000000000005</v>
          </cell>
          <cell r="T450">
            <v>-0.71</v>
          </cell>
          <cell r="U450">
            <v>-0.71299999999999997</v>
          </cell>
          <cell r="V450">
            <v>-0.45600000000000002</v>
          </cell>
          <cell r="W450">
            <v>0.34899999999999998</v>
          </cell>
          <cell r="X450">
            <v>1.0960000000000001</v>
          </cell>
          <cell r="Y450"/>
          <cell r="Z450"/>
          <cell r="AA450"/>
          <cell r="AB450"/>
          <cell r="AC450"/>
          <cell r="AD450"/>
          <cell r="AE450"/>
          <cell r="AF450"/>
          <cell r="AG450"/>
          <cell r="AH450"/>
          <cell r="AI450">
            <v>-0.219</v>
          </cell>
          <cell r="AJ450">
            <v>-0.16600000000000001</v>
          </cell>
          <cell r="AK450">
            <v>-8.8999999999999996E-2</v>
          </cell>
          <cell r="AL450">
            <v>0.123</v>
          </cell>
          <cell r="AM450">
            <v>0.73</v>
          </cell>
          <cell r="AN450"/>
          <cell r="AO450"/>
          <cell r="AP450"/>
          <cell r="AQ450"/>
          <cell r="AR450"/>
          <cell r="AS450"/>
          <cell r="AT450"/>
          <cell r="AU450"/>
          <cell r="AV450"/>
          <cell r="AW450"/>
          <cell r="AX450">
            <v>0.94099999999999995</v>
          </cell>
          <cell r="AY450">
            <v>3299</v>
          </cell>
          <cell r="AZ450">
            <v>3741</v>
          </cell>
        </row>
        <row r="451">
          <cell r="A451">
            <v>42767</v>
          </cell>
          <cell r="B451">
            <v>0</v>
          </cell>
          <cell r="C451">
            <v>-0.4</v>
          </cell>
          <cell r="D451">
            <v>-0.35299999999999998</v>
          </cell>
          <cell r="E451"/>
          <cell r="F451"/>
          <cell r="G451"/>
          <cell r="H451"/>
          <cell r="I451"/>
          <cell r="J451"/>
          <cell r="K451"/>
          <cell r="L451"/>
          <cell r="M451"/>
          <cell r="N451"/>
          <cell r="O451">
            <v>-0.372</v>
          </cell>
          <cell r="P451">
            <v>-0.32900000000000001</v>
          </cell>
          <cell r="Q451">
            <v>-0.24099999999999999</v>
          </cell>
          <cell r="R451">
            <v>-0.106</v>
          </cell>
          <cell r="S451">
            <v>-0.79300000000000004</v>
          </cell>
          <cell r="T451">
            <v>-0.81599999999999995</v>
          </cell>
          <cell r="U451">
            <v>-0.74099999999999999</v>
          </cell>
          <cell r="V451">
            <v>-0.45400000000000001</v>
          </cell>
          <cell r="W451">
            <v>0.31900000000000001</v>
          </cell>
          <cell r="X451">
            <v>1.099</v>
          </cell>
          <cell r="Y451"/>
          <cell r="Z451"/>
          <cell r="AA451"/>
          <cell r="AB451"/>
          <cell r="AC451"/>
          <cell r="AD451"/>
          <cell r="AE451"/>
          <cell r="AF451"/>
          <cell r="AG451"/>
          <cell r="AH451"/>
          <cell r="AI451">
            <v>-0.21099999999999999</v>
          </cell>
          <cell r="AJ451">
            <v>-0.14799999999999999</v>
          </cell>
          <cell r="AK451">
            <v>-6.9000000000000006E-2</v>
          </cell>
          <cell r="AL451">
            <v>0.14199999999999999</v>
          </cell>
          <cell r="AM451">
            <v>0.752</v>
          </cell>
          <cell r="AN451"/>
          <cell r="AO451"/>
          <cell r="AP451"/>
          <cell r="AQ451"/>
          <cell r="AR451"/>
          <cell r="AS451"/>
          <cell r="AT451"/>
          <cell r="AU451"/>
          <cell r="AV451"/>
          <cell r="AW451"/>
          <cell r="AX451">
            <v>0.94</v>
          </cell>
          <cell r="AY451">
            <v>3293</v>
          </cell>
          <cell r="AZ451">
            <v>3808</v>
          </cell>
        </row>
        <row r="452">
          <cell r="A452">
            <v>42795</v>
          </cell>
          <cell r="B452">
            <v>0</v>
          </cell>
          <cell r="C452">
            <v>-0.4</v>
          </cell>
          <cell r="D452">
            <v>-0.35299999999999998</v>
          </cell>
          <cell r="E452"/>
          <cell r="F452"/>
          <cell r="G452"/>
          <cell r="H452"/>
          <cell r="I452"/>
          <cell r="J452"/>
          <cell r="K452"/>
          <cell r="L452"/>
          <cell r="M452"/>
          <cell r="N452"/>
          <cell r="O452">
            <v>-0.372</v>
          </cell>
          <cell r="P452">
            <v>-0.32900000000000001</v>
          </cell>
          <cell r="Q452">
            <v>-0.24099999999999999</v>
          </cell>
          <cell r="R452">
            <v>-0.11</v>
          </cell>
          <cell r="S452">
            <v>-0.83699999999999997</v>
          </cell>
          <cell r="T452">
            <v>-0.78500000000000003</v>
          </cell>
          <cell r="U452">
            <v>-0.67200000000000004</v>
          </cell>
          <cell r="V452">
            <v>-0.36299999999999999</v>
          </cell>
          <cell r="W452">
            <v>0.39300000000000002</v>
          </cell>
          <cell r="X452">
            <v>1.163</v>
          </cell>
          <cell r="Y452"/>
          <cell r="Z452"/>
          <cell r="AA452"/>
          <cell r="AB452"/>
          <cell r="AC452"/>
          <cell r="AD452"/>
          <cell r="AE452"/>
          <cell r="AF452"/>
          <cell r="AG452"/>
          <cell r="AH452"/>
          <cell r="AI452">
            <v>-0.20300000000000001</v>
          </cell>
          <cell r="AJ452">
            <v>-0.11</v>
          </cell>
          <cell r="AK452">
            <v>-4.0000000000000001E-3</v>
          </cell>
          <cell r="AL452">
            <v>0.23499999999999999</v>
          </cell>
          <cell r="AM452">
            <v>0.82199999999999995</v>
          </cell>
          <cell r="AN452"/>
          <cell r="AO452"/>
          <cell r="AP452"/>
          <cell r="AQ452"/>
          <cell r="AR452"/>
          <cell r="AS452"/>
          <cell r="AT452"/>
          <cell r="AU452"/>
          <cell r="AV452"/>
          <cell r="AW452"/>
          <cell r="AX452">
            <v>0.93600000000000005</v>
          </cell>
          <cell r="AY452">
            <v>3427</v>
          </cell>
          <cell r="AZ452">
            <v>4101</v>
          </cell>
        </row>
        <row r="453">
          <cell r="A453">
            <v>42826</v>
          </cell>
          <cell r="B453">
            <v>0</v>
          </cell>
          <cell r="C453">
            <v>-0.4</v>
          </cell>
          <cell r="D453">
            <v>-0.35699999999999998</v>
          </cell>
          <cell r="E453"/>
          <cell r="F453"/>
          <cell r="G453"/>
          <cell r="H453"/>
          <cell r="I453"/>
          <cell r="J453"/>
          <cell r="K453"/>
          <cell r="L453"/>
          <cell r="M453"/>
          <cell r="N453"/>
          <cell r="O453">
            <v>-0.372</v>
          </cell>
          <cell r="P453">
            <v>-0.33</v>
          </cell>
          <cell r="Q453">
            <v>-0.245</v>
          </cell>
          <cell r="R453">
            <v>-0.11899999999999999</v>
          </cell>
          <cell r="S453">
            <v>-0.77900000000000003</v>
          </cell>
          <cell r="T453">
            <v>-0.79200000000000004</v>
          </cell>
          <cell r="U453">
            <v>-0.72799999999999998</v>
          </cell>
          <cell r="V453">
            <v>-0.45400000000000001</v>
          </cell>
          <cell r="W453">
            <v>0.249</v>
          </cell>
          <cell r="X453">
            <v>1.0009999999999999</v>
          </cell>
          <cell r="Y453"/>
          <cell r="Z453"/>
          <cell r="AA453"/>
          <cell r="AB453"/>
          <cell r="AC453"/>
          <cell r="AD453"/>
          <cell r="AE453"/>
          <cell r="AF453"/>
          <cell r="AG453"/>
          <cell r="AH453"/>
          <cell r="AI453">
            <v>-0.22</v>
          </cell>
          <cell r="AJ453">
            <v>-0.14899999999999999</v>
          </cell>
          <cell r="AK453">
            <v>-6.2E-2</v>
          </cell>
          <cell r="AL453">
            <v>0.156</v>
          </cell>
          <cell r="AM453">
            <v>0.73199999999999998</v>
          </cell>
          <cell r="AN453"/>
          <cell r="AO453"/>
          <cell r="AP453"/>
          <cell r="AQ453"/>
          <cell r="AR453"/>
          <cell r="AS453"/>
          <cell r="AT453"/>
          <cell r="AU453"/>
          <cell r="AV453"/>
          <cell r="AW453"/>
          <cell r="AX453">
            <v>0.93300000000000005</v>
          </cell>
          <cell r="AY453">
            <v>3492</v>
          </cell>
          <cell r="AZ453">
            <v>4148</v>
          </cell>
        </row>
        <row r="454">
          <cell r="A454">
            <v>42856</v>
          </cell>
          <cell r="B454">
            <v>0</v>
          </cell>
          <cell r="C454">
            <v>-0.4</v>
          </cell>
          <cell r="D454">
            <v>-0.35899999999999999</v>
          </cell>
          <cell r="E454"/>
          <cell r="F454"/>
          <cell r="G454"/>
          <cell r="H454"/>
          <cell r="I454"/>
          <cell r="J454"/>
          <cell r="K454"/>
          <cell r="L454"/>
          <cell r="M454"/>
          <cell r="N454"/>
          <cell r="O454">
            <v>-0.373</v>
          </cell>
          <cell r="P454">
            <v>-0.32900000000000001</v>
          </cell>
          <cell r="Q454">
            <v>-0.251</v>
          </cell>
          <cell r="R454">
            <v>-0.127</v>
          </cell>
          <cell r="S454">
            <v>-0.70899999999999996</v>
          </cell>
          <cell r="T454">
            <v>-0.68400000000000005</v>
          </cell>
          <cell r="U454">
            <v>-0.63500000000000001</v>
          </cell>
          <cell r="V454">
            <v>-0.34799999999999998</v>
          </cell>
          <cell r="W454">
            <v>0.375</v>
          </cell>
          <cell r="X454">
            <v>1.1859999999999999</v>
          </cell>
          <cell r="Y454"/>
          <cell r="Z454"/>
          <cell r="AA454"/>
          <cell r="AB454"/>
          <cell r="AC454"/>
          <cell r="AD454"/>
          <cell r="AE454"/>
          <cell r="AF454"/>
          <cell r="AG454"/>
          <cell r="AH454"/>
          <cell r="AI454">
            <v>-0.23</v>
          </cell>
          <cell r="AJ454">
            <v>-0.14299999999999999</v>
          </cell>
          <cell r="AK454">
            <v>-3.6999999999999998E-2</v>
          </cell>
          <cell r="AL454">
            <v>0.20499999999999999</v>
          </cell>
          <cell r="AM454">
            <v>0.81200000000000006</v>
          </cell>
          <cell r="AN454"/>
          <cell r="AO454"/>
          <cell r="AP454"/>
          <cell r="AQ454"/>
          <cell r="AR454"/>
          <cell r="AS454"/>
          <cell r="AT454"/>
          <cell r="AU454"/>
          <cell r="AV454"/>
          <cell r="AW454"/>
          <cell r="AX454">
            <v>0.90500000000000003</v>
          </cell>
          <cell r="AY454">
            <v>3602</v>
          </cell>
          <cell r="AZ454">
            <v>4196</v>
          </cell>
        </row>
        <row r="455">
          <cell r="A455">
            <v>42887</v>
          </cell>
          <cell r="B455">
            <v>0</v>
          </cell>
          <cell r="C455">
            <v>-0.4</v>
          </cell>
          <cell r="D455">
            <v>-0.35899999999999999</v>
          </cell>
          <cell r="E455"/>
          <cell r="F455"/>
          <cell r="G455"/>
          <cell r="H455"/>
          <cell r="I455"/>
          <cell r="J455"/>
          <cell r="K455"/>
          <cell r="L455"/>
          <cell r="M455"/>
          <cell r="N455"/>
          <cell r="O455">
            <v>-0.373</v>
          </cell>
          <cell r="P455">
            <v>-0.33</v>
          </cell>
          <cell r="Q455">
            <v>-0.26700000000000002</v>
          </cell>
          <cell r="R455">
            <v>-0.14899999999999999</v>
          </cell>
          <cell r="S455">
            <v>-0.70699999999999996</v>
          </cell>
          <cell r="T455">
            <v>-0.66200000000000003</v>
          </cell>
          <cell r="U455">
            <v>-0.63800000000000001</v>
          </cell>
          <cell r="V455">
            <v>-0.39</v>
          </cell>
          <cell r="W455">
            <v>0.29199999999999998</v>
          </cell>
          <cell r="X455">
            <v>1.1140000000000001</v>
          </cell>
          <cell r="Y455"/>
          <cell r="Z455"/>
          <cell r="AA455"/>
          <cell r="AB455"/>
          <cell r="AC455"/>
          <cell r="AD455"/>
          <cell r="AE455"/>
          <cell r="AF455"/>
          <cell r="AG455"/>
          <cell r="AH455"/>
          <cell r="AI455">
            <v>-0.24199999999999999</v>
          </cell>
          <cell r="AJ455">
            <v>-0.17199999999999999</v>
          </cell>
          <cell r="AK455">
            <v>-7.3999999999999996E-2</v>
          </cell>
          <cell r="AL455">
            <v>0.16200000000000001</v>
          </cell>
          <cell r="AM455">
            <v>0.76600000000000001</v>
          </cell>
          <cell r="AN455"/>
          <cell r="AO455"/>
          <cell r="AP455"/>
          <cell r="AQ455"/>
          <cell r="AR455"/>
          <cell r="AS455"/>
          <cell r="AT455"/>
          <cell r="AU455"/>
          <cell r="AV455"/>
          <cell r="AW455"/>
          <cell r="AX455">
            <v>0.89</v>
          </cell>
          <cell r="AY455">
            <v>3548</v>
          </cell>
          <cell r="AZ455">
            <v>4210</v>
          </cell>
        </row>
        <row r="456">
          <cell r="A456">
            <v>42917</v>
          </cell>
          <cell r="B456">
            <v>0</v>
          </cell>
          <cell r="C456">
            <v>-0.4</v>
          </cell>
          <cell r="D456">
            <v>-0.35899999999999999</v>
          </cell>
          <cell r="E456"/>
          <cell r="F456"/>
          <cell r="G456"/>
          <cell r="H456"/>
          <cell r="I456"/>
          <cell r="J456"/>
          <cell r="K456"/>
          <cell r="L456"/>
          <cell r="M456"/>
          <cell r="N456"/>
          <cell r="O456">
            <v>-0.373</v>
          </cell>
          <cell r="P456">
            <v>-0.33</v>
          </cell>
          <cell r="Q456">
            <v>-0.27300000000000002</v>
          </cell>
          <cell r="R456">
            <v>-0.154</v>
          </cell>
          <cell r="S456">
            <v>-0.66200000000000003</v>
          </cell>
          <cell r="T456">
            <v>-0.628</v>
          </cell>
          <cell r="U456">
            <v>-0.48399999999999999</v>
          </cell>
          <cell r="V456">
            <v>-0.14399999999999999</v>
          </cell>
          <cell r="W456">
            <v>0.54200000000000004</v>
          </cell>
          <cell r="X456">
            <v>1.3120000000000001</v>
          </cell>
          <cell r="Y456"/>
          <cell r="Z456"/>
          <cell r="AA456"/>
          <cell r="AB456"/>
          <cell r="AC456"/>
          <cell r="AD456"/>
          <cell r="AE456"/>
          <cell r="AF456"/>
          <cell r="AG456"/>
          <cell r="AH456"/>
          <cell r="AI456">
            <v>-0.245</v>
          </cell>
          <cell r="AJ456">
            <v>-0.13900000000000001</v>
          </cell>
          <cell r="AK456">
            <v>-6.0000000000000001E-3</v>
          </cell>
          <cell r="AL456">
            <v>0.28899999999999998</v>
          </cell>
          <cell r="AM456">
            <v>0.93300000000000005</v>
          </cell>
          <cell r="AN456"/>
          <cell r="AO456"/>
          <cell r="AP456"/>
          <cell r="AQ456"/>
          <cell r="AR456"/>
          <cell r="AS456"/>
          <cell r="AT456"/>
          <cell r="AU456"/>
          <cell r="AV456"/>
          <cell r="AW456"/>
          <cell r="AX456">
            <v>0.86699999999999999</v>
          </cell>
          <cell r="AY456">
            <v>3484</v>
          </cell>
          <cell r="AZ456">
            <v>4248</v>
          </cell>
        </row>
        <row r="457">
          <cell r="A457">
            <v>42948</v>
          </cell>
          <cell r="B457">
            <v>0</v>
          </cell>
          <cell r="C457">
            <v>-0.4</v>
          </cell>
          <cell r="D457">
            <v>-0.35599999999999998</v>
          </cell>
          <cell r="E457"/>
          <cell r="F457"/>
          <cell r="G457"/>
          <cell r="H457"/>
          <cell r="I457"/>
          <cell r="J457"/>
          <cell r="K457"/>
          <cell r="L457"/>
          <cell r="M457"/>
          <cell r="N457"/>
          <cell r="O457">
            <v>-0.372</v>
          </cell>
          <cell r="P457">
            <v>-0.32900000000000001</v>
          </cell>
          <cell r="Q457">
            <v>-0.27200000000000002</v>
          </cell>
          <cell r="R457">
            <v>-0.156</v>
          </cell>
          <cell r="S457">
            <v>-0.68700000000000006</v>
          </cell>
          <cell r="T457">
            <v>-0.70799999999999996</v>
          </cell>
          <cell r="U457">
            <v>-0.59599999999999997</v>
          </cell>
          <cell r="V457">
            <v>-0.27800000000000002</v>
          </cell>
          <cell r="W457">
            <v>0.41499999999999998</v>
          </cell>
          <cell r="X457">
            <v>1.1659999999999999</v>
          </cell>
          <cell r="Y457"/>
          <cell r="Z457"/>
          <cell r="AA457"/>
          <cell r="AB457"/>
          <cell r="AC457"/>
          <cell r="AD457"/>
          <cell r="AE457"/>
          <cell r="AF457"/>
          <cell r="AG457"/>
          <cell r="AH457"/>
          <cell r="AI457">
            <v>-0.254</v>
          </cell>
          <cell r="AJ457">
            <v>-0.17299999999999999</v>
          </cell>
          <cell r="AK457">
            <v>-6.2E-2</v>
          </cell>
          <cell r="AL457">
            <v>0.20200000000000001</v>
          </cell>
          <cell r="AM457">
            <v>0.83299999999999996</v>
          </cell>
          <cell r="AN457"/>
          <cell r="AO457"/>
          <cell r="AP457"/>
          <cell r="AQ457"/>
          <cell r="AR457"/>
          <cell r="AS457"/>
          <cell r="AT457"/>
          <cell r="AU457"/>
          <cell r="AV457"/>
          <cell r="AW457"/>
          <cell r="AX457">
            <v>0.84599999999999997</v>
          </cell>
          <cell r="AY457">
            <v>3451</v>
          </cell>
          <cell r="AZ457">
            <v>4279</v>
          </cell>
        </row>
        <row r="458">
          <cell r="A458">
            <v>42979</v>
          </cell>
          <cell r="B458">
            <v>0</v>
          </cell>
          <cell r="C458">
            <v>-0.4</v>
          </cell>
          <cell r="D458">
            <v>-0.35799999999999998</v>
          </cell>
          <cell r="E458"/>
          <cell r="F458"/>
          <cell r="G458"/>
          <cell r="H458"/>
          <cell r="I458"/>
          <cell r="J458"/>
          <cell r="K458"/>
          <cell r="L458"/>
          <cell r="M458"/>
          <cell r="N458"/>
          <cell r="O458">
            <v>-0.372</v>
          </cell>
          <cell r="P458">
            <v>-0.32900000000000001</v>
          </cell>
          <cell r="Q458">
            <v>-0.27300000000000002</v>
          </cell>
          <cell r="R458">
            <v>-0.16800000000000001</v>
          </cell>
          <cell r="S458">
            <v>-0.72699999999999998</v>
          </cell>
          <cell r="T458">
            <v>-0.71499999999999997</v>
          </cell>
          <cell r="U458">
            <v>-0.626</v>
          </cell>
          <cell r="V458">
            <v>-0.309</v>
          </cell>
          <cell r="W458">
            <v>0.40500000000000003</v>
          </cell>
          <cell r="X458">
            <v>1.214</v>
          </cell>
          <cell r="Y458"/>
          <cell r="Z458"/>
          <cell r="AA458"/>
          <cell r="AB458"/>
          <cell r="AC458"/>
          <cell r="AD458"/>
          <cell r="AE458"/>
          <cell r="AF458"/>
          <cell r="AG458"/>
          <cell r="AH458"/>
          <cell r="AI458">
            <v>-0.25900000000000001</v>
          </cell>
          <cell r="AJ458">
            <v>-0.182</v>
          </cell>
          <cell r="AK458">
            <v>-7.0999999999999994E-2</v>
          </cell>
          <cell r="AL458">
            <v>0.19800000000000001</v>
          </cell>
          <cell r="AM458">
            <v>0.84499999999999997</v>
          </cell>
          <cell r="AN458"/>
          <cell r="AO458"/>
          <cell r="AP458"/>
          <cell r="AQ458"/>
          <cell r="AR458"/>
          <cell r="AS458"/>
          <cell r="AT458"/>
          <cell r="AU458"/>
          <cell r="AV458"/>
          <cell r="AW458"/>
          <cell r="AX458">
            <v>0.84</v>
          </cell>
          <cell r="AY458">
            <v>3507</v>
          </cell>
          <cell r="AZ458">
            <v>4319</v>
          </cell>
        </row>
        <row r="459">
          <cell r="A459">
            <v>43009</v>
          </cell>
          <cell r="B459">
            <v>0</v>
          </cell>
          <cell r="C459">
            <v>-0.4</v>
          </cell>
          <cell r="D459">
            <v>-0.35899999999999999</v>
          </cell>
          <cell r="E459"/>
          <cell r="F459"/>
          <cell r="G459"/>
          <cell r="H459"/>
          <cell r="I459"/>
          <cell r="J459"/>
          <cell r="K459"/>
          <cell r="L459"/>
          <cell r="M459"/>
          <cell r="N459"/>
          <cell r="O459">
            <v>-0.372</v>
          </cell>
          <cell r="P459">
            <v>-0.33</v>
          </cell>
          <cell r="Q459">
            <v>-0.27400000000000002</v>
          </cell>
          <cell r="R459">
            <v>-0.18</v>
          </cell>
          <cell r="S459">
            <v>-0.72599999999999998</v>
          </cell>
          <cell r="T459">
            <v>-0.71899999999999997</v>
          </cell>
          <cell r="U459">
            <v>-0.61799999999999999</v>
          </cell>
          <cell r="V459">
            <v>-0.29499999999999998</v>
          </cell>
          <cell r="W459">
            <v>0.42599999999999999</v>
          </cell>
          <cell r="X459">
            <v>1.28</v>
          </cell>
          <cell r="Y459"/>
          <cell r="Z459"/>
          <cell r="AA459"/>
          <cell r="AB459"/>
          <cell r="AC459"/>
          <cell r="AD459"/>
          <cell r="AE459"/>
          <cell r="AF459"/>
          <cell r="AG459"/>
          <cell r="AH459"/>
          <cell r="AI459">
            <v>-0.26</v>
          </cell>
          <cell r="AJ459">
            <v>-0.18</v>
          </cell>
          <cell r="AK459">
            <v>-5.6000000000000001E-2</v>
          </cell>
          <cell r="AL459">
            <v>0.23</v>
          </cell>
          <cell r="AM459">
            <v>0.88100000000000001</v>
          </cell>
          <cell r="AN459"/>
          <cell r="AO459"/>
          <cell r="AP459"/>
          <cell r="AQ459"/>
          <cell r="AR459"/>
          <cell r="AS459"/>
          <cell r="AT459"/>
          <cell r="AU459"/>
          <cell r="AV459"/>
          <cell r="AW459"/>
          <cell r="AX459">
            <v>0.85099999999999998</v>
          </cell>
          <cell r="AY459">
            <v>3615</v>
          </cell>
          <cell r="AZ459">
            <v>4371</v>
          </cell>
        </row>
        <row r="460">
          <cell r="A460">
            <v>43040</v>
          </cell>
          <cell r="B460">
            <v>0</v>
          </cell>
          <cell r="C460">
            <v>-0.4</v>
          </cell>
          <cell r="D460">
            <v>-0.34899999999999998</v>
          </cell>
          <cell r="E460"/>
          <cell r="F460"/>
          <cell r="G460"/>
          <cell r="H460"/>
          <cell r="I460"/>
          <cell r="J460"/>
          <cell r="K460"/>
          <cell r="L460"/>
          <cell r="M460"/>
          <cell r="N460"/>
          <cell r="O460">
            <v>-0.372</v>
          </cell>
          <cell r="P460">
            <v>-0.32900000000000001</v>
          </cell>
          <cell r="Q460">
            <v>-0.27400000000000002</v>
          </cell>
          <cell r="R460">
            <v>-0.189</v>
          </cell>
          <cell r="S460">
            <v>-0.73199999999999998</v>
          </cell>
          <cell r="T460">
            <v>-0.72499999999999998</v>
          </cell>
          <cell r="U460">
            <v>-0.64700000000000002</v>
          </cell>
          <cell r="V460">
            <v>-0.34100000000000003</v>
          </cell>
          <cell r="W460">
            <v>0.36399999999999999</v>
          </cell>
          <cell r="X460">
            <v>1.2290000000000001</v>
          </cell>
          <cell r="Y460"/>
          <cell r="Z460"/>
          <cell r="AA460"/>
          <cell r="AB460"/>
          <cell r="AC460"/>
          <cell r="AD460"/>
          <cell r="AE460"/>
          <cell r="AF460"/>
          <cell r="AG460"/>
          <cell r="AH460"/>
          <cell r="AI460">
            <v>-0.26500000000000001</v>
          </cell>
          <cell r="AJ460">
            <v>-0.191</v>
          </cell>
          <cell r="AK460">
            <v>-7.2999999999999995E-2</v>
          </cell>
          <cell r="AL460">
            <v>0.20499999999999999</v>
          </cell>
          <cell r="AM460">
            <v>0.83299999999999996</v>
          </cell>
          <cell r="AN460"/>
          <cell r="AO460"/>
          <cell r="AP460"/>
          <cell r="AQ460"/>
          <cell r="AR460"/>
          <cell r="AS460"/>
          <cell r="AT460"/>
          <cell r="AU460"/>
          <cell r="AV460"/>
          <cell r="AW460"/>
          <cell r="AX460">
            <v>0.85199999999999998</v>
          </cell>
          <cell r="AY460">
            <v>3601</v>
          </cell>
          <cell r="AZ460">
            <v>4427</v>
          </cell>
        </row>
        <row r="461">
          <cell r="A461">
            <v>43070</v>
          </cell>
          <cell r="B461">
            <v>0</v>
          </cell>
          <cell r="C461">
            <v>-0.4</v>
          </cell>
          <cell r="D461">
            <v>-0.34200000000000003</v>
          </cell>
          <cell r="E461"/>
          <cell r="F461"/>
          <cell r="G461"/>
          <cell r="H461"/>
          <cell r="I461"/>
          <cell r="J461"/>
          <cell r="K461"/>
          <cell r="L461"/>
          <cell r="M461"/>
          <cell r="N461"/>
          <cell r="O461">
            <v>-0.36899999999999999</v>
          </cell>
          <cell r="P461">
            <v>-0.32800000000000001</v>
          </cell>
          <cell r="Q461">
            <v>-0.27100000000000002</v>
          </cell>
          <cell r="R461">
            <v>-0.19</v>
          </cell>
          <cell r="S461">
            <v>-0.72399999999999998</v>
          </cell>
          <cell r="T461">
            <v>-0.69</v>
          </cell>
          <cell r="U461">
            <v>-0.61</v>
          </cell>
          <cell r="V461">
            <v>-0.29899999999999999</v>
          </cell>
          <cell r="W461">
            <v>0.35299999999999998</v>
          </cell>
          <cell r="X461">
            <v>1.175</v>
          </cell>
          <cell r="Y461"/>
          <cell r="Z461"/>
          <cell r="AA461"/>
          <cell r="AB461"/>
          <cell r="AC461"/>
          <cell r="AD461"/>
          <cell r="AE461"/>
          <cell r="AF461"/>
          <cell r="AG461"/>
          <cell r="AH461"/>
          <cell r="AI461">
            <v>-0.26300000000000001</v>
          </cell>
          <cell r="AJ461">
            <v>-0.17599999999999999</v>
          </cell>
          <cell r="AK461">
            <v>-4.3999999999999997E-2</v>
          </cell>
          <cell r="AL461">
            <v>0.23699999999999999</v>
          </cell>
          <cell r="AM461">
            <v>0.82399999999999995</v>
          </cell>
          <cell r="AN461"/>
          <cell r="AO461"/>
          <cell r="AP461"/>
          <cell r="AQ461"/>
          <cell r="AR461"/>
          <cell r="AS461"/>
          <cell r="AT461"/>
          <cell r="AU461"/>
          <cell r="AV461"/>
          <cell r="AW461"/>
          <cell r="AX461">
            <v>0.84499999999999997</v>
          </cell>
          <cell r="AY461">
            <v>3565</v>
          </cell>
          <cell r="AZ461">
            <v>4472</v>
          </cell>
        </row>
        <row r="462">
          <cell r="A462">
            <v>43101</v>
          </cell>
          <cell r="B462">
            <v>0</v>
          </cell>
          <cell r="C462">
            <v>-0.4</v>
          </cell>
          <cell r="D462">
            <v>-0.36199999999999999</v>
          </cell>
          <cell r="E462"/>
          <cell r="F462"/>
          <cell r="G462"/>
          <cell r="H462"/>
          <cell r="I462"/>
          <cell r="J462"/>
          <cell r="K462"/>
          <cell r="L462"/>
          <cell r="M462"/>
          <cell r="N462"/>
          <cell r="O462">
            <v>-0.36899999999999999</v>
          </cell>
          <cell r="P462">
            <v>-0.32800000000000001</v>
          </cell>
          <cell r="Q462">
            <v>-0.27400000000000002</v>
          </cell>
          <cell r="R462">
            <v>-0.189</v>
          </cell>
          <cell r="S462">
            <v>-0.58099999999999996</v>
          </cell>
          <cell r="T462">
            <v>-0.58399999999999996</v>
          </cell>
          <cell r="U462">
            <v>-0.47499999999999998</v>
          </cell>
          <cell r="V462">
            <v>-0.128</v>
          </cell>
          <cell r="W462">
            <v>0.55200000000000005</v>
          </cell>
          <cell r="X462">
            <v>1.3069999999999999</v>
          </cell>
          <cell r="Y462"/>
          <cell r="Z462"/>
          <cell r="AA462"/>
          <cell r="AB462"/>
          <cell r="AC462"/>
          <cell r="AD462"/>
          <cell r="AE462"/>
          <cell r="AF462"/>
          <cell r="AG462"/>
          <cell r="AH462"/>
          <cell r="AI462">
            <v>-0.25800000000000001</v>
          </cell>
          <cell r="AJ462">
            <v>-0.13400000000000001</v>
          </cell>
          <cell r="AK462">
            <v>3.9E-2</v>
          </cell>
          <cell r="AL462">
            <v>0.372</v>
          </cell>
          <cell r="AM462">
            <v>0.96099999999999997</v>
          </cell>
          <cell r="AN462"/>
          <cell r="AO462"/>
          <cell r="AP462"/>
          <cell r="AQ462"/>
          <cell r="AR462"/>
          <cell r="AS462"/>
          <cell r="AT462"/>
          <cell r="AU462"/>
          <cell r="AV462"/>
          <cell r="AW462"/>
          <cell r="AX462">
            <v>0.82</v>
          </cell>
          <cell r="AY462">
            <v>3612</v>
          </cell>
          <cell r="AZ462">
            <v>4493</v>
          </cell>
        </row>
        <row r="463">
          <cell r="A463">
            <v>43132</v>
          </cell>
          <cell r="B463">
            <v>0</v>
          </cell>
          <cell r="C463">
            <v>-0.4</v>
          </cell>
          <cell r="D463">
            <v>-0.36499999999999999</v>
          </cell>
          <cell r="E463"/>
          <cell r="F463"/>
          <cell r="G463"/>
          <cell r="H463"/>
          <cell r="I463"/>
          <cell r="J463"/>
          <cell r="K463"/>
          <cell r="L463"/>
          <cell r="M463"/>
          <cell r="N463"/>
          <cell r="O463">
            <v>-0.37</v>
          </cell>
          <cell r="P463">
            <v>-0.32900000000000001</v>
          </cell>
          <cell r="Q463">
            <v>-0.27500000000000002</v>
          </cell>
          <cell r="R463">
            <v>-0.191</v>
          </cell>
          <cell r="S463">
            <v>-0.59699999999999998</v>
          </cell>
          <cell r="T463">
            <v>-0.54700000000000004</v>
          </cell>
          <cell r="U463">
            <v>-0.33100000000000002</v>
          </cell>
          <cell r="V463">
            <v>8.1000000000000003E-2</v>
          </cell>
          <cell r="W463">
            <v>0.72199999999999998</v>
          </cell>
          <cell r="X463">
            <v>1.3660000000000001</v>
          </cell>
          <cell r="Y463"/>
          <cell r="Z463"/>
          <cell r="AA463"/>
          <cell r="AB463"/>
          <cell r="AC463"/>
          <cell r="AD463"/>
          <cell r="AE463"/>
          <cell r="AF463"/>
          <cell r="AG463"/>
          <cell r="AH463"/>
          <cell r="AI463">
            <v>-0.25800000000000001</v>
          </cell>
          <cell r="AJ463">
            <v>-0.123</v>
          </cell>
          <cell r="AK463">
            <v>8.2000000000000003E-2</v>
          </cell>
          <cell r="AL463">
            <v>0.48</v>
          </cell>
          <cell r="AM463">
            <v>1.1220000000000001</v>
          </cell>
          <cell r="AN463"/>
          <cell r="AO463"/>
          <cell r="AP463"/>
          <cell r="AQ463"/>
          <cell r="AR463"/>
          <cell r="AS463"/>
          <cell r="AT463"/>
          <cell r="AU463"/>
          <cell r="AV463"/>
          <cell r="AW463"/>
          <cell r="AX463">
            <v>0.81</v>
          </cell>
          <cell r="AY463">
            <v>3427</v>
          </cell>
          <cell r="AZ463">
            <v>4512</v>
          </cell>
        </row>
        <row r="464">
          <cell r="A464">
            <v>43160</v>
          </cell>
          <cell r="B464">
            <v>0</v>
          </cell>
          <cell r="C464">
            <v>-0.4</v>
          </cell>
          <cell r="D464">
            <v>-0.36399999999999999</v>
          </cell>
          <cell r="E464"/>
          <cell r="F464"/>
          <cell r="G464"/>
          <cell r="H464"/>
          <cell r="I464"/>
          <cell r="J464"/>
          <cell r="K464"/>
          <cell r="L464"/>
          <cell r="M464"/>
          <cell r="N464"/>
          <cell r="O464">
            <v>-0.371</v>
          </cell>
          <cell r="P464">
            <v>-0.32800000000000001</v>
          </cell>
          <cell r="Q464">
            <v>-0.27100000000000002</v>
          </cell>
          <cell r="R464">
            <v>-0.191</v>
          </cell>
          <cell r="S464">
            <v>-0.65100000000000002</v>
          </cell>
          <cell r="T464">
            <v>-0.57999999999999996</v>
          </cell>
          <cell r="U464">
            <v>-0.40600000000000003</v>
          </cell>
          <cell r="V464">
            <v>-2.5999999999999999E-2</v>
          </cell>
          <cell r="W464">
            <v>0.58499999999999996</v>
          </cell>
          <cell r="X464">
            <v>1.234</v>
          </cell>
          <cell r="Y464"/>
          <cell r="Z464"/>
          <cell r="AA464"/>
          <cell r="AB464"/>
          <cell r="AC464"/>
          <cell r="AD464"/>
          <cell r="AE464"/>
          <cell r="AF464"/>
          <cell r="AG464"/>
          <cell r="AH464"/>
          <cell r="AI464">
            <v>-0.26100000000000001</v>
          </cell>
          <cell r="AJ464">
            <v>-0.14099999999999999</v>
          </cell>
          <cell r="AK464">
            <v>5.0999999999999997E-2</v>
          </cell>
          <cell r="AL464">
            <v>0.42299999999999999</v>
          </cell>
          <cell r="AM464">
            <v>1.0349999999999999</v>
          </cell>
          <cell r="AN464"/>
          <cell r="AO464"/>
          <cell r="AP464"/>
          <cell r="AQ464"/>
          <cell r="AR464"/>
          <cell r="AS464"/>
          <cell r="AT464"/>
          <cell r="AU464"/>
          <cell r="AV464"/>
          <cell r="AW464"/>
          <cell r="AX464">
            <v>0.81100000000000005</v>
          </cell>
          <cell r="AY464">
            <v>3374</v>
          </cell>
          <cell r="AZ464">
            <v>4530</v>
          </cell>
        </row>
        <row r="465">
          <cell r="A465">
            <v>43191</v>
          </cell>
          <cell r="B465">
            <v>0</v>
          </cell>
          <cell r="C465">
            <v>-0.4</v>
          </cell>
          <cell r="D465">
            <v>-0.36599999999999999</v>
          </cell>
          <cell r="E465"/>
          <cell r="F465"/>
          <cell r="G465"/>
          <cell r="H465"/>
          <cell r="I465"/>
          <cell r="J465"/>
          <cell r="K465"/>
          <cell r="L465"/>
          <cell r="M465"/>
          <cell r="N465"/>
          <cell r="O465">
            <v>-0.372</v>
          </cell>
          <cell r="P465">
            <v>-0.32800000000000001</v>
          </cell>
          <cell r="Q465">
            <v>-0.27</v>
          </cell>
          <cell r="R465">
            <v>-0.19</v>
          </cell>
          <cell r="S465">
            <v>-0.63700000000000001</v>
          </cell>
          <cell r="T465">
            <v>-0.57499999999999996</v>
          </cell>
          <cell r="U465">
            <v>-0.42699999999999999</v>
          </cell>
          <cell r="V465">
            <v>-6.0999999999999999E-2</v>
          </cell>
          <cell r="W465">
            <v>0.54500000000000004</v>
          </cell>
          <cell r="X465">
            <v>1.208</v>
          </cell>
          <cell r="Y465"/>
          <cell r="Z465"/>
          <cell r="AA465"/>
          <cell r="AB465"/>
          <cell r="AC465"/>
          <cell r="AD465"/>
          <cell r="AE465"/>
          <cell r="AF465"/>
          <cell r="AG465"/>
          <cell r="AH465"/>
          <cell r="AI465">
            <v>-0.25900000000000001</v>
          </cell>
          <cell r="AJ465">
            <v>-0.14299999999999999</v>
          </cell>
          <cell r="AK465">
            <v>3.5000000000000003E-2</v>
          </cell>
          <cell r="AL465">
            <v>0.38600000000000001</v>
          </cell>
          <cell r="AM465">
            <v>0.98199999999999998</v>
          </cell>
          <cell r="AN465"/>
          <cell r="AO465"/>
          <cell r="AP465"/>
          <cell r="AQ465"/>
          <cell r="AR465"/>
          <cell r="AS465"/>
          <cell r="AT465"/>
          <cell r="AU465"/>
          <cell r="AV465"/>
          <cell r="AW465"/>
          <cell r="AX465">
            <v>0.81499999999999995</v>
          </cell>
          <cell r="AY465">
            <v>3458</v>
          </cell>
          <cell r="AZ465">
            <v>4554</v>
          </cell>
        </row>
        <row r="466">
          <cell r="A466">
            <v>43221</v>
          </cell>
          <cell r="B466">
            <v>0</v>
          </cell>
          <cell r="C466">
            <v>-0.4</v>
          </cell>
          <cell r="D466">
            <v>-0.36299999999999999</v>
          </cell>
          <cell r="E466"/>
          <cell r="F466"/>
          <cell r="G466"/>
          <cell r="H466"/>
          <cell r="I466"/>
          <cell r="J466"/>
          <cell r="K466"/>
          <cell r="L466"/>
          <cell r="M466"/>
          <cell r="N466"/>
          <cell r="O466">
            <v>-0.371</v>
          </cell>
          <cell r="P466">
            <v>-0.32500000000000001</v>
          </cell>
          <cell r="Q466">
            <v>-0.27</v>
          </cell>
          <cell r="R466">
            <v>-0.188</v>
          </cell>
          <cell r="S466">
            <v>-0.63500000000000001</v>
          </cell>
          <cell r="T466">
            <v>-0.59299999999999997</v>
          </cell>
          <cell r="U466">
            <v>-0.47399999999999998</v>
          </cell>
          <cell r="V466">
            <v>-0.111</v>
          </cell>
          <cell r="W466">
            <v>0.51500000000000001</v>
          </cell>
          <cell r="X466">
            <v>1.212</v>
          </cell>
          <cell r="Y466"/>
          <cell r="Z466"/>
          <cell r="AA466"/>
          <cell r="AB466"/>
          <cell r="AC466"/>
          <cell r="AD466"/>
          <cell r="AE466"/>
          <cell r="AF466"/>
          <cell r="AG466"/>
          <cell r="AH466"/>
          <cell r="AI466">
            <v>-0.248</v>
          </cell>
          <cell r="AJ466">
            <v>-0.13700000000000001</v>
          </cell>
          <cell r="AK466">
            <v>2.9000000000000001E-2</v>
          </cell>
          <cell r="AL466">
            <v>0.372</v>
          </cell>
          <cell r="AM466">
            <v>0.98799999999999999</v>
          </cell>
          <cell r="AN466"/>
          <cell r="AO466"/>
          <cell r="AP466"/>
          <cell r="AQ466"/>
          <cell r="AR466"/>
          <cell r="AS466"/>
          <cell r="AT466"/>
          <cell r="AU466"/>
          <cell r="AV466"/>
          <cell r="AW466"/>
          <cell r="AX466">
            <v>0.84699999999999998</v>
          </cell>
          <cell r="AY466">
            <v>3537</v>
          </cell>
          <cell r="AZ466">
            <v>4563</v>
          </cell>
        </row>
        <row r="467">
          <cell r="A467">
            <v>43252</v>
          </cell>
          <cell r="B467">
            <v>0</v>
          </cell>
          <cell r="C467">
            <v>-0.4</v>
          </cell>
          <cell r="D467">
            <v>-0.36199999999999999</v>
          </cell>
          <cell r="E467"/>
          <cell r="F467"/>
          <cell r="G467"/>
          <cell r="H467"/>
          <cell r="I467"/>
          <cell r="J467"/>
          <cell r="K467"/>
          <cell r="L467"/>
          <cell r="M467"/>
          <cell r="N467"/>
          <cell r="O467">
            <v>-0.37</v>
          </cell>
          <cell r="P467">
            <v>-0.32200000000000001</v>
          </cell>
          <cell r="Q467">
            <v>-0.26900000000000002</v>
          </cell>
          <cell r="R467">
            <v>-0.18099999999999999</v>
          </cell>
          <cell r="S467">
            <v>-0.65200000000000002</v>
          </cell>
          <cell r="T467">
            <v>-0.63500000000000001</v>
          </cell>
          <cell r="U467">
            <v>-0.55200000000000005</v>
          </cell>
          <cell r="V467">
            <v>-0.23400000000000001</v>
          </cell>
          <cell r="W467">
            <v>0.39500000000000002</v>
          </cell>
          <cell r="X467">
            <v>1.129</v>
          </cell>
          <cell r="Y467"/>
          <cell r="Z467"/>
          <cell r="AA467"/>
          <cell r="AB467"/>
          <cell r="AC467"/>
          <cell r="AD467"/>
          <cell r="AE467"/>
          <cell r="AF467"/>
          <cell r="AG467"/>
          <cell r="AH467"/>
          <cell r="AI467">
            <v>-0.247</v>
          </cell>
          <cell r="AJ467">
            <v>-0.153</v>
          </cell>
          <cell r="AK467">
            <v>-3.0000000000000001E-3</v>
          </cell>
          <cell r="AL467">
            <v>0.314</v>
          </cell>
          <cell r="AM467">
            <v>0.93600000000000005</v>
          </cell>
          <cell r="AN467"/>
          <cell r="AO467"/>
          <cell r="AP467"/>
          <cell r="AQ467"/>
          <cell r="AR467"/>
          <cell r="AS467"/>
          <cell r="AT467"/>
          <cell r="AU467"/>
          <cell r="AV467"/>
          <cell r="AW467"/>
          <cell r="AX467">
            <v>0.85699999999999998</v>
          </cell>
          <cell r="AY467">
            <v>3443</v>
          </cell>
          <cell r="AZ467">
            <v>4593</v>
          </cell>
        </row>
        <row r="468">
          <cell r="A468">
            <v>43282</v>
          </cell>
          <cell r="B468">
            <v>0</v>
          </cell>
          <cell r="C468">
            <v>-0.4</v>
          </cell>
          <cell r="D468">
            <v>-0.36399999999999999</v>
          </cell>
          <cell r="E468"/>
          <cell r="F468"/>
          <cell r="G468"/>
          <cell r="H468"/>
          <cell r="I468"/>
          <cell r="J468"/>
          <cell r="K468"/>
          <cell r="L468"/>
          <cell r="M468"/>
          <cell r="N468"/>
          <cell r="O468">
            <v>-0.37</v>
          </cell>
          <cell r="P468">
            <v>-0.32100000000000001</v>
          </cell>
          <cell r="Q468">
            <v>-0.26900000000000002</v>
          </cell>
          <cell r="R468">
            <v>-0.18</v>
          </cell>
          <cell r="S468">
            <v>-0.65</v>
          </cell>
          <cell r="T468">
            <v>-0.626</v>
          </cell>
          <cell r="U468">
            <v>-0.54800000000000004</v>
          </cell>
          <cell r="V468">
            <v>-0.25700000000000001</v>
          </cell>
          <cell r="W468">
            <v>0.35599999999999998</v>
          </cell>
          <cell r="X468">
            <v>1.0329999999999999</v>
          </cell>
          <cell r="Y468"/>
          <cell r="Z468"/>
          <cell r="AA468"/>
          <cell r="AB468"/>
          <cell r="AC468"/>
          <cell r="AD468"/>
          <cell r="AE468"/>
          <cell r="AF468"/>
          <cell r="AG468"/>
          <cell r="AH468"/>
          <cell r="AI468">
            <v>-0.25600000000000001</v>
          </cell>
          <cell r="AJ468">
            <v>-0.16400000000000001</v>
          </cell>
          <cell r="AK468">
            <v>-2.1000000000000001E-2</v>
          </cell>
          <cell r="AL468">
            <v>0.28199999999999997</v>
          </cell>
          <cell r="AM468">
            <v>0.88600000000000001</v>
          </cell>
          <cell r="AN468"/>
          <cell r="AO468"/>
          <cell r="AP468"/>
          <cell r="AQ468"/>
          <cell r="AR468"/>
          <cell r="AS468"/>
          <cell r="AT468"/>
          <cell r="AU468"/>
          <cell r="AV468"/>
          <cell r="AW468"/>
          <cell r="AX468">
            <v>0.85599999999999998</v>
          </cell>
          <cell r="AY468">
            <v>3461</v>
          </cell>
          <cell r="AZ468">
            <v>4612</v>
          </cell>
        </row>
        <row r="469">
          <cell r="A469">
            <v>43313</v>
          </cell>
          <cell r="B469">
            <v>0</v>
          </cell>
          <cell r="C469">
            <v>-0.4</v>
          </cell>
          <cell r="D469">
            <v>-0.35899999999999999</v>
          </cell>
          <cell r="E469"/>
          <cell r="F469"/>
          <cell r="G469"/>
          <cell r="H469"/>
          <cell r="I469"/>
          <cell r="J469"/>
          <cell r="K469"/>
          <cell r="L469"/>
          <cell r="M469"/>
          <cell r="N469"/>
          <cell r="O469">
            <v>-0.37</v>
          </cell>
          <cell r="P469">
            <v>-0.31900000000000001</v>
          </cell>
          <cell r="Q469">
            <v>-0.26700000000000002</v>
          </cell>
          <cell r="R469">
            <v>-0.16900000000000001</v>
          </cell>
          <cell r="S469">
            <v>-0.626</v>
          </cell>
          <cell r="T469">
            <v>-0.60399999999999998</v>
          </cell>
          <cell r="U469">
            <v>-0.495</v>
          </cell>
          <cell r="V469">
            <v>-0.20899999999999999</v>
          </cell>
          <cell r="W469">
            <v>0.36099999999999999</v>
          </cell>
          <cell r="X469">
            <v>1.0249999999999999</v>
          </cell>
          <cell r="Y469"/>
          <cell r="Z469"/>
          <cell r="AA469"/>
          <cell r="AB469"/>
          <cell r="AC469"/>
          <cell r="AD469"/>
          <cell r="AE469"/>
          <cell r="AF469"/>
          <cell r="AG469"/>
          <cell r="AH469"/>
          <cell r="AI469">
            <v>-0.247</v>
          </cell>
          <cell r="AJ469">
            <v>-0.14899999999999999</v>
          </cell>
          <cell r="AK469">
            <v>-8.0000000000000002E-3</v>
          </cell>
          <cell r="AL469">
            <v>0.28899999999999998</v>
          </cell>
          <cell r="AM469">
            <v>0.89600000000000002</v>
          </cell>
          <cell r="AN469"/>
          <cell r="AO469"/>
          <cell r="AP469"/>
          <cell r="AQ469"/>
          <cell r="AR469"/>
          <cell r="AS469"/>
          <cell r="AT469"/>
          <cell r="AU469"/>
          <cell r="AV469"/>
          <cell r="AW469"/>
          <cell r="AX469">
            <v>0.86599999999999999</v>
          </cell>
          <cell r="AY469">
            <v>3437</v>
          </cell>
          <cell r="AZ469">
            <v>4621</v>
          </cell>
        </row>
        <row r="470">
          <cell r="A470">
            <v>43344</v>
          </cell>
          <cell r="B470">
            <v>0</v>
          </cell>
          <cell r="C470">
            <v>-0.4</v>
          </cell>
          <cell r="D470">
            <v>-0.36299999999999999</v>
          </cell>
          <cell r="E470"/>
          <cell r="F470"/>
          <cell r="G470"/>
          <cell r="H470"/>
          <cell r="I470"/>
          <cell r="J470"/>
          <cell r="K470"/>
          <cell r="L470"/>
          <cell r="M470"/>
          <cell r="N470"/>
          <cell r="O470">
            <v>-0.371</v>
          </cell>
          <cell r="P470">
            <v>-0.31900000000000001</v>
          </cell>
          <cell r="Q470">
            <v>-0.26800000000000002</v>
          </cell>
          <cell r="R470">
            <v>-0.16600000000000001</v>
          </cell>
          <cell r="S470">
            <v>-0.58599999999999997</v>
          </cell>
          <cell r="T470">
            <v>-0.53700000000000003</v>
          </cell>
          <cell r="U470">
            <v>-0.42799999999999999</v>
          </cell>
          <cell r="V470">
            <v>-0.125</v>
          </cell>
          <cell r="W470">
            <v>0.443</v>
          </cell>
          <cell r="X470">
            <v>1.0980000000000001</v>
          </cell>
          <cell r="Y470"/>
          <cell r="Z470"/>
          <cell r="AA470"/>
          <cell r="AB470"/>
          <cell r="AC470"/>
          <cell r="AD470"/>
          <cell r="AE470"/>
          <cell r="AF470"/>
          <cell r="AG470"/>
          <cell r="AH470"/>
          <cell r="AI470">
            <v>-0.25</v>
          </cell>
          <cell r="AJ470">
            <v>-0.13400000000000001</v>
          </cell>
          <cell r="AK470">
            <v>2.4E-2</v>
          </cell>
          <cell r="AL470">
            <v>0.33900000000000002</v>
          </cell>
          <cell r="AM470">
            <v>0.94799999999999995</v>
          </cell>
          <cell r="AN470"/>
          <cell r="AO470"/>
          <cell r="AP470"/>
          <cell r="AQ470"/>
          <cell r="AR470"/>
          <cell r="AS470"/>
          <cell r="AT470"/>
          <cell r="AU470"/>
          <cell r="AV470"/>
          <cell r="AW470"/>
          <cell r="AX470">
            <v>0.85799999999999998</v>
          </cell>
          <cell r="AY470">
            <v>3365</v>
          </cell>
          <cell r="AZ470">
            <v>4620</v>
          </cell>
        </row>
        <row r="471">
          <cell r="A471">
            <v>43374</v>
          </cell>
          <cell r="B471">
            <v>0</v>
          </cell>
          <cell r="C471">
            <v>-0.4</v>
          </cell>
          <cell r="D471">
            <v>-0.36599999999999999</v>
          </cell>
          <cell r="E471"/>
          <cell r="F471"/>
          <cell r="G471"/>
          <cell r="H471"/>
          <cell r="I471"/>
          <cell r="J471"/>
          <cell r="K471"/>
          <cell r="L471"/>
          <cell r="M471"/>
          <cell r="N471"/>
          <cell r="O471">
            <v>-0.37</v>
          </cell>
          <cell r="P471">
            <v>-0.318</v>
          </cell>
          <cell r="Q471">
            <v>-0.26400000000000001</v>
          </cell>
          <cell r="R471">
            <v>-0.154</v>
          </cell>
          <cell r="S471">
            <v>-0.64</v>
          </cell>
          <cell r="T471">
            <v>-0.57299999999999995</v>
          </cell>
          <cell r="U471">
            <v>-0.45400000000000001</v>
          </cell>
          <cell r="V471">
            <v>-0.124</v>
          </cell>
          <cell r="W471">
            <v>0.46</v>
          </cell>
          <cell r="X471">
            <v>1.087</v>
          </cell>
          <cell r="Y471"/>
          <cell r="Z471"/>
          <cell r="AA471"/>
          <cell r="AB471"/>
          <cell r="AC471"/>
          <cell r="AD471"/>
          <cell r="AE471"/>
          <cell r="AF471"/>
          <cell r="AG471"/>
          <cell r="AH471"/>
          <cell r="AI471">
            <v>-0.24099999999999999</v>
          </cell>
          <cell r="AJ471">
            <v>-0.107</v>
          </cell>
          <cell r="AK471">
            <v>6.4000000000000001E-2</v>
          </cell>
          <cell r="AL471">
            <v>0.39600000000000002</v>
          </cell>
          <cell r="AM471">
            <v>1.0069999999999999</v>
          </cell>
          <cell r="AN471"/>
          <cell r="AO471"/>
          <cell r="AP471"/>
          <cell r="AQ471"/>
          <cell r="AR471"/>
          <cell r="AS471"/>
          <cell r="AT471"/>
          <cell r="AU471"/>
          <cell r="AV471"/>
          <cell r="AW471"/>
          <cell r="AX471">
            <v>0.871</v>
          </cell>
          <cell r="AY471">
            <v>3245</v>
          </cell>
          <cell r="AZ471">
            <v>4625</v>
          </cell>
        </row>
        <row r="472">
          <cell r="A472">
            <v>43405</v>
          </cell>
          <cell r="B472">
            <v>0</v>
          </cell>
          <cell r="C472">
            <v>-0.4</v>
          </cell>
          <cell r="D472">
            <v>-0.36099999999999999</v>
          </cell>
          <cell r="E472"/>
          <cell r="F472"/>
          <cell r="G472"/>
          <cell r="H472"/>
          <cell r="I472"/>
          <cell r="J472"/>
          <cell r="K472"/>
          <cell r="L472"/>
          <cell r="M472"/>
          <cell r="N472"/>
          <cell r="O472">
            <v>-0.36899999999999999</v>
          </cell>
          <cell r="P472">
            <v>-0.316</v>
          </cell>
          <cell r="Q472">
            <v>-0.25700000000000001</v>
          </cell>
          <cell r="R472">
            <v>-0.14699999999999999</v>
          </cell>
          <cell r="S472">
            <v>-0.64300000000000002</v>
          </cell>
          <cell r="T472">
            <v>-0.58899999999999997</v>
          </cell>
          <cell r="U472">
            <v>-0.50600000000000001</v>
          </cell>
          <cell r="V472">
            <v>-0.20699999999999999</v>
          </cell>
          <cell r="W472">
            <v>0.38300000000000001</v>
          </cell>
          <cell r="X472">
            <v>1.0389999999999999</v>
          </cell>
          <cell r="Y472"/>
          <cell r="Z472"/>
          <cell r="AA472"/>
          <cell r="AB472"/>
          <cell r="AC472"/>
          <cell r="AD472"/>
          <cell r="AE472"/>
          <cell r="AF472"/>
          <cell r="AG472"/>
          <cell r="AH472"/>
          <cell r="AI472">
            <v>-0.24</v>
          </cell>
          <cell r="AJ472">
            <v>-0.129</v>
          </cell>
          <cell r="AK472">
            <v>2.1999999999999999E-2</v>
          </cell>
          <cell r="AL472">
            <v>0.33200000000000002</v>
          </cell>
          <cell r="AM472">
            <v>0.94</v>
          </cell>
          <cell r="AN472"/>
          <cell r="AO472"/>
          <cell r="AP472"/>
          <cell r="AQ472"/>
          <cell r="AR472"/>
          <cell r="AS472"/>
          <cell r="AT472"/>
          <cell r="AU472"/>
          <cell r="AV472"/>
          <cell r="AW472"/>
          <cell r="AX472">
            <v>0.88</v>
          </cell>
          <cell r="AY472">
            <v>3186</v>
          </cell>
          <cell r="AZ472">
            <v>4660</v>
          </cell>
        </row>
        <row r="473">
          <cell r="A473">
            <v>43435</v>
          </cell>
          <cell r="B473">
            <v>0</v>
          </cell>
          <cell r="C473">
            <v>-0.4</v>
          </cell>
          <cell r="D473">
            <v>-0.36</v>
          </cell>
          <cell r="E473"/>
          <cell r="F473"/>
          <cell r="G473"/>
          <cell r="H473"/>
          <cell r="I473"/>
          <cell r="J473"/>
          <cell r="K473"/>
          <cell r="L473"/>
          <cell r="M473"/>
          <cell r="N473"/>
          <cell r="O473">
            <v>-0.36699999999999999</v>
          </cell>
          <cell r="P473">
            <v>-0.312</v>
          </cell>
          <cell r="Q473">
            <v>-0.24099999999999999</v>
          </cell>
          <cell r="R473">
            <v>-0.129</v>
          </cell>
          <cell r="S473">
            <v>-0.61199999999999999</v>
          </cell>
          <cell r="T473">
            <v>-0.60199999999999998</v>
          </cell>
          <cell r="U473">
            <v>-0.55300000000000005</v>
          </cell>
          <cell r="V473">
            <v>-0.29599999999999999</v>
          </cell>
          <cell r="W473">
            <v>0.253</v>
          </cell>
          <cell r="X473">
            <v>0.878</v>
          </cell>
          <cell r="Y473"/>
          <cell r="Z473"/>
          <cell r="AA473"/>
          <cell r="AB473"/>
          <cell r="AC473"/>
          <cell r="AD473"/>
          <cell r="AE473"/>
          <cell r="AF473"/>
          <cell r="AG473"/>
          <cell r="AH473"/>
          <cell r="AI473">
            <v>-0.23</v>
          </cell>
          <cell r="AJ473">
            <v>-0.151</v>
          </cell>
          <cell r="AK473">
            <v>-3.3000000000000002E-2</v>
          </cell>
          <cell r="AL473">
            <v>0.246</v>
          </cell>
          <cell r="AM473">
            <v>0.84699999999999998</v>
          </cell>
          <cell r="AN473"/>
          <cell r="AO473"/>
          <cell r="AP473"/>
          <cell r="AQ473"/>
          <cell r="AR473"/>
          <cell r="AS473"/>
          <cell r="AT473"/>
          <cell r="AU473"/>
          <cell r="AV473"/>
          <cell r="AW473"/>
          <cell r="AX473">
            <v>0.879</v>
          </cell>
          <cell r="AY473">
            <v>3058</v>
          </cell>
          <cell r="AZ473">
            <v>4669</v>
          </cell>
        </row>
        <row r="474">
          <cell r="A474">
            <v>43466</v>
          </cell>
          <cell r="B474">
            <v>0</v>
          </cell>
          <cell r="C474">
            <v>-0.4</v>
          </cell>
          <cell r="D474">
            <v>-0.36699999999999999</v>
          </cell>
          <cell r="E474"/>
          <cell r="F474"/>
          <cell r="G474"/>
          <cell r="H474"/>
          <cell r="I474"/>
          <cell r="J474"/>
          <cell r="K474"/>
          <cell r="L474"/>
          <cell r="M474"/>
          <cell r="N474"/>
          <cell r="O474">
            <v>-0.36599999999999999</v>
          </cell>
          <cell r="P474">
            <v>-0.308</v>
          </cell>
          <cell r="Q474">
            <v>-0.23599999999999999</v>
          </cell>
          <cell r="R474">
            <v>-0.11600000000000001</v>
          </cell>
          <cell r="S474">
            <v>-0.55600000000000005</v>
          </cell>
          <cell r="T474">
            <v>-0.58899999999999997</v>
          </cell>
          <cell r="U474">
            <v>-0.54900000000000004</v>
          </cell>
          <cell r="V474">
            <v>-0.33500000000000002</v>
          </cell>
          <cell r="W474">
            <v>0.217</v>
          </cell>
          <cell r="X474">
            <v>0.82799999999999996</v>
          </cell>
          <cell r="Y474"/>
          <cell r="Z474"/>
          <cell r="AA474"/>
          <cell r="AB474"/>
          <cell r="AC474"/>
          <cell r="AD474"/>
          <cell r="AE474"/>
          <cell r="AF474"/>
          <cell r="AG474"/>
          <cell r="AH474"/>
          <cell r="AI474">
            <v>-0.224</v>
          </cell>
          <cell r="AJ474">
            <v>-0.16</v>
          </cell>
          <cell r="AK474">
            <v>-6.2E-2</v>
          </cell>
          <cell r="AL474">
            <v>0.17899999999999999</v>
          </cell>
          <cell r="AM474">
            <v>0.76900000000000002</v>
          </cell>
          <cell r="AN474"/>
          <cell r="AO474"/>
          <cell r="AP474"/>
          <cell r="AQ474"/>
          <cell r="AR474"/>
          <cell r="AS474"/>
          <cell r="AT474"/>
          <cell r="AU474"/>
          <cell r="AV474"/>
          <cell r="AW474"/>
          <cell r="AX474">
            <v>0.876</v>
          </cell>
          <cell r="AY474">
            <v>3089</v>
          </cell>
          <cell r="AZ474">
            <v>4709</v>
          </cell>
        </row>
        <row r="475">
          <cell r="A475">
            <v>43497</v>
          </cell>
          <cell r="B475">
            <v>0</v>
          </cell>
          <cell r="C475">
            <v>-0.4</v>
          </cell>
          <cell r="D475">
            <v>-0.36699999999999999</v>
          </cell>
          <cell r="E475"/>
          <cell r="F475"/>
          <cell r="G475"/>
          <cell r="H475"/>
          <cell r="I475"/>
          <cell r="J475"/>
          <cell r="K475"/>
          <cell r="L475"/>
          <cell r="M475"/>
          <cell r="N475"/>
          <cell r="O475">
            <v>-0.36799999999999999</v>
          </cell>
          <cell r="P475">
            <v>-0.308</v>
          </cell>
          <cell r="Q475">
            <v>-0.23200000000000001</v>
          </cell>
          <cell r="R475">
            <v>-0.108</v>
          </cell>
          <cell r="S475">
            <v>-0.51500000000000001</v>
          </cell>
          <cell r="T475">
            <v>-0.56000000000000005</v>
          </cell>
          <cell r="U475">
            <v>-0.51300000000000001</v>
          </cell>
          <cell r="V475">
            <v>-0.33200000000000002</v>
          </cell>
          <cell r="W475">
            <v>0.127</v>
          </cell>
          <cell r="X475">
            <v>0.747</v>
          </cell>
          <cell r="Y475"/>
          <cell r="Z475"/>
          <cell r="AA475"/>
          <cell r="AB475"/>
          <cell r="AC475"/>
          <cell r="AD475"/>
          <cell r="AE475"/>
          <cell r="AF475"/>
          <cell r="AG475"/>
          <cell r="AH475"/>
          <cell r="AI475">
            <v>-0.217</v>
          </cell>
          <cell r="AJ475">
            <v>-0.157</v>
          </cell>
          <cell r="AK475">
            <v>-7.0000000000000007E-2</v>
          </cell>
          <cell r="AL475">
            <v>0.13200000000000001</v>
          </cell>
          <cell r="AM475">
            <v>0.66300000000000003</v>
          </cell>
          <cell r="AN475"/>
          <cell r="AO475"/>
          <cell r="AP475"/>
          <cell r="AQ475"/>
          <cell r="AR475"/>
          <cell r="AS475"/>
          <cell r="AT475"/>
          <cell r="AU475"/>
          <cell r="AV475"/>
          <cell r="AW475"/>
          <cell r="AX475">
            <v>0.88100000000000001</v>
          </cell>
          <cell r="AY475">
            <v>3223</v>
          </cell>
          <cell r="AZ475">
            <v>4692</v>
          </cell>
        </row>
        <row r="476">
          <cell r="A476">
            <v>43525</v>
          </cell>
          <cell r="B476">
            <v>0</v>
          </cell>
          <cell r="C476">
            <v>-0.4</v>
          </cell>
          <cell r="D476">
            <v>-0.36799999999999999</v>
          </cell>
          <cell r="E476"/>
          <cell r="F476"/>
          <cell r="G476"/>
          <cell r="H476"/>
          <cell r="I476"/>
          <cell r="J476"/>
          <cell r="K476"/>
          <cell r="L476"/>
          <cell r="M476"/>
          <cell r="N476"/>
          <cell r="O476">
            <v>-0.36699999999999999</v>
          </cell>
          <cell r="P476">
            <v>-0.309</v>
          </cell>
          <cell r="Q476">
            <v>-0.23</v>
          </cell>
          <cell r="R476">
            <v>-0.109</v>
          </cell>
          <cell r="S476">
            <v>-0.54400000000000004</v>
          </cell>
          <cell r="T476">
            <v>-0.54500000000000004</v>
          </cell>
          <cell r="U476">
            <v>-0.52500000000000002</v>
          </cell>
          <cell r="V476">
            <v>-0.35699999999999998</v>
          </cell>
          <cell r="W476">
            <v>5.5E-2</v>
          </cell>
          <cell r="X476">
            <v>0.69799999999999995</v>
          </cell>
          <cell r="Y476"/>
          <cell r="Z476"/>
          <cell r="AA476"/>
          <cell r="AB476"/>
          <cell r="AC476"/>
          <cell r="AD476"/>
          <cell r="AE476"/>
          <cell r="AF476"/>
          <cell r="AG476"/>
          <cell r="AH476"/>
          <cell r="AI476">
            <v>-0.223</v>
          </cell>
          <cell r="AJ476">
            <v>-0.17299999999999999</v>
          </cell>
          <cell r="AK476">
            <v>-9.9000000000000005E-2</v>
          </cell>
          <cell r="AL476">
            <v>8.1000000000000003E-2</v>
          </cell>
          <cell r="AM476">
            <v>0.56699999999999995</v>
          </cell>
          <cell r="AN476"/>
          <cell r="AO476"/>
          <cell r="AP476"/>
          <cell r="AQ476"/>
          <cell r="AR476"/>
          <cell r="AS476"/>
          <cell r="AT476"/>
          <cell r="AU476"/>
          <cell r="AV476"/>
          <cell r="AW476"/>
          <cell r="AX476">
            <v>0.88500000000000001</v>
          </cell>
          <cell r="AY476">
            <v>3333</v>
          </cell>
          <cell r="AZ476">
            <v>4696</v>
          </cell>
        </row>
        <row r="477">
          <cell r="A477">
            <v>43556</v>
          </cell>
          <cell r="B477">
            <v>0</v>
          </cell>
          <cell r="C477">
            <v>-0.4</v>
          </cell>
          <cell r="D477">
            <v>-0.36699999999999999</v>
          </cell>
          <cell r="E477"/>
          <cell r="F477"/>
          <cell r="G477"/>
          <cell r="H477"/>
          <cell r="I477"/>
          <cell r="J477"/>
          <cell r="K477"/>
          <cell r="L477"/>
          <cell r="M477"/>
          <cell r="N477"/>
          <cell r="O477">
            <v>-0.36699999999999999</v>
          </cell>
          <cell r="P477">
            <v>-0.31</v>
          </cell>
          <cell r="Q477">
            <v>-0.23100000000000001</v>
          </cell>
          <cell r="R477">
            <v>-0.112</v>
          </cell>
          <cell r="S477">
            <v>-0.53700000000000003</v>
          </cell>
          <cell r="T477">
            <v>-0.57899999999999996</v>
          </cell>
          <cell r="U477">
            <v>-0.56499999999999995</v>
          </cell>
          <cell r="V477">
            <v>-0.40699999999999997</v>
          </cell>
          <cell r="W477">
            <v>1.0999999999999999E-2</v>
          </cell>
          <cell r="X477">
            <v>0.66</v>
          </cell>
          <cell r="Y477"/>
          <cell r="Z477"/>
          <cell r="AA477"/>
          <cell r="AB477"/>
          <cell r="AC477"/>
          <cell r="AD477"/>
          <cell r="AE477"/>
          <cell r="AF477"/>
          <cell r="AG477"/>
          <cell r="AH477"/>
          <cell r="AI477">
            <v>-0.23400000000000001</v>
          </cell>
          <cell r="AJ477">
            <v>-0.19800000000000001</v>
          </cell>
          <cell r="AK477">
            <v>-0.13400000000000001</v>
          </cell>
          <cell r="AL477">
            <v>3.9E-2</v>
          </cell>
          <cell r="AM477">
            <v>0.52</v>
          </cell>
          <cell r="AN477"/>
          <cell r="AO477"/>
          <cell r="AP477"/>
          <cell r="AQ477"/>
          <cell r="AR477"/>
          <cell r="AS477"/>
          <cell r="AT477"/>
          <cell r="AU477"/>
          <cell r="AV477"/>
          <cell r="AW477"/>
          <cell r="AX477">
            <v>0.89</v>
          </cell>
          <cell r="AY477">
            <v>3459</v>
          </cell>
          <cell r="AZ477">
            <v>4698</v>
          </cell>
        </row>
        <row r="478">
          <cell r="A478">
            <v>43586</v>
          </cell>
          <cell r="B478">
            <v>0</v>
          </cell>
          <cell r="C478">
            <v>-0.4</v>
          </cell>
          <cell r="D478">
            <v>-0.36699999999999999</v>
          </cell>
          <cell r="E478"/>
          <cell r="F478"/>
          <cell r="G478"/>
          <cell r="H478"/>
          <cell r="I478"/>
          <cell r="J478"/>
          <cell r="K478"/>
          <cell r="L478"/>
          <cell r="M478"/>
          <cell r="N478"/>
          <cell r="O478">
            <v>-0.36899999999999999</v>
          </cell>
          <cell r="P478">
            <v>-0.312</v>
          </cell>
          <cell r="Q478">
            <v>-0.23699999999999999</v>
          </cell>
          <cell r="R478">
            <v>-0.13400000000000001</v>
          </cell>
          <cell r="S478">
            <v>-0.55400000000000005</v>
          </cell>
          <cell r="T478">
            <v>-0.626</v>
          </cell>
          <cell r="U478">
            <v>-0.63200000000000001</v>
          </cell>
          <cell r="V478">
            <v>-0.49299999999999999</v>
          </cell>
          <cell r="W478">
            <v>-8.1000000000000003E-2</v>
          </cell>
          <cell r="X478">
            <v>0.56499999999999995</v>
          </cell>
          <cell r="Y478"/>
          <cell r="Z478"/>
          <cell r="AA478"/>
          <cell r="AB478"/>
          <cell r="AC478"/>
          <cell r="AD478"/>
          <cell r="AE478"/>
          <cell r="AF478"/>
          <cell r="AG478"/>
          <cell r="AH478"/>
          <cell r="AI478">
            <v>-0.25</v>
          </cell>
          <cell r="AJ478">
            <v>-0.22900000000000001</v>
          </cell>
          <cell r="AK478">
            <v>-0.18</v>
          </cell>
          <cell r="AL478">
            <v>-2.1999999999999999E-2</v>
          </cell>
          <cell r="AM478">
            <v>0.437</v>
          </cell>
          <cell r="AN478"/>
          <cell r="AO478"/>
          <cell r="AP478"/>
          <cell r="AQ478"/>
          <cell r="AR478"/>
          <cell r="AS478"/>
          <cell r="AT478"/>
          <cell r="AU478"/>
          <cell r="AV478"/>
          <cell r="AW478"/>
          <cell r="AX478">
            <v>0.89400000000000002</v>
          </cell>
          <cell r="AY478">
            <v>3385</v>
          </cell>
          <cell r="AZ478">
            <v>4686</v>
          </cell>
        </row>
        <row r="479">
          <cell r="A479">
            <v>43617</v>
          </cell>
          <cell r="B479">
            <v>0</v>
          </cell>
          <cell r="C479">
            <v>-0.4</v>
          </cell>
          <cell r="D479">
            <v>-0.36199999999999999</v>
          </cell>
          <cell r="E479"/>
          <cell r="F479"/>
          <cell r="G479"/>
          <cell r="H479"/>
          <cell r="I479"/>
          <cell r="J479"/>
          <cell r="K479"/>
          <cell r="L479"/>
          <cell r="M479"/>
          <cell r="N479"/>
          <cell r="O479">
            <v>-0.38500000000000001</v>
          </cell>
          <cell r="P479">
            <v>-0.32900000000000001</v>
          </cell>
          <cell r="Q479">
            <v>-0.27900000000000003</v>
          </cell>
          <cell r="R479">
            <v>-0.19</v>
          </cell>
          <cell r="S479">
            <v>-0.63600000000000001</v>
          </cell>
          <cell r="T479">
            <v>-0.70299999999999996</v>
          </cell>
          <cell r="U479">
            <v>-0.70699999999999996</v>
          </cell>
          <cell r="V479">
            <v>-0.61799999999999999</v>
          </cell>
          <cell r="W479">
            <v>-0.26800000000000002</v>
          </cell>
          <cell r="X479">
            <v>0.32500000000000001</v>
          </cell>
          <cell r="Y479"/>
          <cell r="Z479"/>
          <cell r="AA479"/>
          <cell r="AB479"/>
          <cell r="AC479"/>
          <cell r="AD479"/>
          <cell r="AE479"/>
          <cell r="AF479"/>
          <cell r="AG479"/>
          <cell r="AH479"/>
          <cell r="AI479">
            <v>-0.32100000000000001</v>
          </cell>
          <cell r="AJ479">
            <v>-0.33200000000000002</v>
          </cell>
          <cell r="AK479">
            <v>-0.30299999999999999</v>
          </cell>
          <cell r="AL479">
            <v>-0.17599999999999999</v>
          </cell>
          <cell r="AM479">
            <v>0.24199999999999999</v>
          </cell>
          <cell r="AN479"/>
          <cell r="AO479"/>
          <cell r="AP479"/>
          <cell r="AQ479"/>
          <cell r="AR479"/>
          <cell r="AS479"/>
          <cell r="AT479"/>
          <cell r="AU479"/>
          <cell r="AV479"/>
          <cell r="AW479"/>
          <cell r="AX479">
            <v>0.88500000000000001</v>
          </cell>
          <cell r="AY479">
            <v>3406</v>
          </cell>
          <cell r="AZ479">
            <v>4693</v>
          </cell>
        </row>
        <row r="480">
          <cell r="A480">
            <v>43647</v>
          </cell>
          <cell r="B480">
            <v>0</v>
          </cell>
          <cell r="C480">
            <v>-0.4</v>
          </cell>
          <cell r="D480">
            <v>-0.36699999999999999</v>
          </cell>
          <cell r="E480"/>
          <cell r="F480"/>
          <cell r="G480"/>
          <cell r="H480"/>
          <cell r="I480"/>
          <cell r="J480"/>
          <cell r="K480"/>
          <cell r="L480"/>
          <cell r="M480"/>
          <cell r="N480"/>
          <cell r="O480">
            <v>-0.39500000000000002</v>
          </cell>
          <cell r="P480">
            <v>-0.36499999999999999</v>
          </cell>
          <cell r="Q480">
            <v>-0.34699999999999998</v>
          </cell>
          <cell r="R480">
            <v>-0.28299999999999997</v>
          </cell>
          <cell r="S480">
            <v>-0.67200000000000004</v>
          </cell>
          <cell r="T480">
            <v>-0.752</v>
          </cell>
          <cell r="U480">
            <v>-0.76600000000000001</v>
          </cell>
          <cell r="V480">
            <v>-0.64700000000000002</v>
          </cell>
          <cell r="W480">
            <v>-0.33900000000000002</v>
          </cell>
          <cell r="X480">
            <v>0.254</v>
          </cell>
          <cell r="Y480"/>
          <cell r="Z480"/>
          <cell r="AA480"/>
          <cell r="AB480"/>
          <cell r="AC480"/>
          <cell r="AD480"/>
          <cell r="AE480"/>
          <cell r="AF480"/>
          <cell r="AG480"/>
          <cell r="AH480"/>
          <cell r="AI480">
            <v>-0.4</v>
          </cell>
          <cell r="AJ480">
            <v>-0.42</v>
          </cell>
          <cell r="AK480">
            <v>-0.39600000000000002</v>
          </cell>
          <cell r="AL480">
            <v>-0.27800000000000002</v>
          </cell>
          <cell r="AM480">
            <v>0.11899999999999999</v>
          </cell>
          <cell r="AN480"/>
          <cell r="AO480"/>
          <cell r="AP480"/>
          <cell r="AQ480"/>
          <cell r="AR480"/>
          <cell r="AS480"/>
          <cell r="AT480"/>
          <cell r="AU480"/>
          <cell r="AV480"/>
          <cell r="AW480"/>
          <cell r="AX480">
            <v>0.89200000000000002</v>
          </cell>
          <cell r="AY480">
            <v>3508</v>
          </cell>
          <cell r="AZ480">
            <v>4686</v>
          </cell>
        </row>
        <row r="481">
          <cell r="A481">
            <v>43678</v>
          </cell>
          <cell r="B481">
            <v>0</v>
          </cell>
          <cell r="C481">
            <v>-0.4</v>
          </cell>
          <cell r="D481">
            <v>-0.36099999999999999</v>
          </cell>
          <cell r="E481"/>
          <cell r="F481"/>
          <cell r="G481"/>
          <cell r="H481"/>
          <cell r="I481"/>
          <cell r="J481"/>
          <cell r="K481"/>
          <cell r="L481"/>
          <cell r="M481"/>
          <cell r="N481"/>
          <cell r="O481">
            <v>-0.41</v>
          </cell>
          <cell r="P481">
            <v>-0.40799999999999997</v>
          </cell>
          <cell r="Q481">
            <v>-0.40500000000000003</v>
          </cell>
          <cell r="R481">
            <v>-0.35599999999999998</v>
          </cell>
          <cell r="S481">
            <v>-0.77700000000000002</v>
          </cell>
          <cell r="T481">
            <v>-0.87</v>
          </cell>
          <cell r="U481">
            <v>-0.91400000000000003</v>
          </cell>
          <cell r="V481">
            <v>-0.84899999999999998</v>
          </cell>
          <cell r="W481">
            <v>-0.625</v>
          </cell>
          <cell r="X481">
            <v>-0.12</v>
          </cell>
          <cell r="Y481"/>
          <cell r="Z481"/>
          <cell r="AA481"/>
          <cell r="AB481"/>
          <cell r="AC481"/>
          <cell r="AD481"/>
          <cell r="AE481"/>
          <cell r="AF481"/>
          <cell r="AG481"/>
          <cell r="AH481"/>
          <cell r="AI481">
            <v>-0.47499999999999998</v>
          </cell>
          <cell r="AJ481">
            <v>-0.51700000000000002</v>
          </cell>
          <cell r="AK481">
            <v>-0.52300000000000002</v>
          </cell>
          <cell r="AL481">
            <v>-0.47199999999999998</v>
          </cell>
          <cell r="AM481">
            <v>-0.19700000000000001</v>
          </cell>
          <cell r="AN481"/>
          <cell r="AO481"/>
          <cell r="AP481"/>
          <cell r="AQ481"/>
          <cell r="AR481"/>
          <cell r="AS481"/>
          <cell r="AT481"/>
          <cell r="AU481"/>
          <cell r="AV481"/>
          <cell r="AW481"/>
          <cell r="AX481">
            <v>0.89900000000000002</v>
          </cell>
          <cell r="AY481">
            <v>3355</v>
          </cell>
          <cell r="AZ481">
            <v>4684</v>
          </cell>
        </row>
        <row r="482">
          <cell r="A482">
            <v>43709</v>
          </cell>
          <cell r="B482">
            <v>0</v>
          </cell>
          <cell r="C482">
            <v>-0.5</v>
          </cell>
          <cell r="D482">
            <v>-0.40300000000000002</v>
          </cell>
          <cell r="E482"/>
          <cell r="F482"/>
          <cell r="G482"/>
          <cell r="H482"/>
          <cell r="I482"/>
          <cell r="J482"/>
          <cell r="K482"/>
          <cell r="L482"/>
          <cell r="M482"/>
          <cell r="N482"/>
          <cell r="O482">
            <v>-0.44800000000000001</v>
          </cell>
          <cell r="P482">
            <v>-0.41799999999999998</v>
          </cell>
          <cell r="Q482">
            <v>-0.39400000000000002</v>
          </cell>
          <cell r="R482">
            <v>-0.33900000000000002</v>
          </cell>
          <cell r="S482">
            <v>-0.72499999999999998</v>
          </cell>
          <cell r="T482">
            <v>-0.79500000000000004</v>
          </cell>
          <cell r="U482">
            <v>-0.84</v>
          </cell>
          <cell r="V482">
            <v>-0.79500000000000004</v>
          </cell>
          <cell r="W482">
            <v>-0.56599999999999995</v>
          </cell>
          <cell r="X482">
            <v>-0.02</v>
          </cell>
          <cell r="Y482"/>
          <cell r="Z482"/>
          <cell r="AA482"/>
          <cell r="AB482"/>
          <cell r="AC482"/>
          <cell r="AD482"/>
          <cell r="AE482"/>
          <cell r="AF482"/>
          <cell r="AG482"/>
          <cell r="AH482"/>
          <cell r="AI482">
            <v>-0.44600000000000001</v>
          </cell>
          <cell r="AJ482">
            <v>-0.47799999999999998</v>
          </cell>
          <cell r="AK482">
            <v>-0.47899999999999998</v>
          </cell>
          <cell r="AL482">
            <v>-0.42599999999999999</v>
          </cell>
          <cell r="AM482">
            <v>-0.14499999999999999</v>
          </cell>
          <cell r="AN482"/>
          <cell r="AO482"/>
          <cell r="AP482"/>
          <cell r="AQ482"/>
          <cell r="AR482"/>
          <cell r="AS482"/>
          <cell r="AT482"/>
          <cell r="AU482"/>
          <cell r="AV482"/>
          <cell r="AW482"/>
          <cell r="AX482">
            <v>0.90900000000000003</v>
          </cell>
          <cell r="AY482">
            <v>3515</v>
          </cell>
          <cell r="AZ482">
            <v>4638</v>
          </cell>
        </row>
        <row r="483">
          <cell r="A483">
            <v>43739</v>
          </cell>
          <cell r="B483">
            <v>0</v>
          </cell>
          <cell r="C483">
            <v>-0.5</v>
          </cell>
          <cell r="D483">
            <v>-0.46400000000000002</v>
          </cell>
          <cell r="E483"/>
          <cell r="F483"/>
          <cell r="G483"/>
          <cell r="H483"/>
          <cell r="I483"/>
          <cell r="J483"/>
          <cell r="K483"/>
          <cell r="L483"/>
          <cell r="M483"/>
          <cell r="N483"/>
          <cell r="O483">
            <v>-0.45500000000000002</v>
          </cell>
          <cell r="P483">
            <v>-0.41299999999999998</v>
          </cell>
          <cell r="Q483">
            <v>-0.36199999999999999</v>
          </cell>
          <cell r="R483">
            <v>-0.30399999999999999</v>
          </cell>
          <cell r="S483">
            <v>-0.64</v>
          </cell>
          <cell r="T483">
            <v>-0.7</v>
          </cell>
          <cell r="U483">
            <v>-0.73899999999999999</v>
          </cell>
          <cell r="V483">
            <v>-0.67500000000000004</v>
          </cell>
          <cell r="W483">
            <v>-0.44700000000000001</v>
          </cell>
          <cell r="X483">
            <v>7.6999999999999999E-2</v>
          </cell>
          <cell r="Y483"/>
          <cell r="Z483"/>
          <cell r="AA483"/>
          <cell r="AB483"/>
          <cell r="AC483"/>
          <cell r="AD483"/>
          <cell r="AE483"/>
          <cell r="AF483"/>
          <cell r="AG483"/>
          <cell r="AH483"/>
          <cell r="AI483">
            <v>-0.39200000000000002</v>
          </cell>
          <cell r="AJ483">
            <v>-0.40400000000000003</v>
          </cell>
          <cell r="AK483">
            <v>-0.38800000000000001</v>
          </cell>
          <cell r="AL483">
            <v>-0.315</v>
          </cell>
          <cell r="AM483">
            <v>-2.9000000000000001E-2</v>
          </cell>
          <cell r="AN483"/>
          <cell r="AO483"/>
          <cell r="AP483"/>
          <cell r="AQ483"/>
          <cell r="AR483"/>
          <cell r="AS483"/>
          <cell r="AT483"/>
          <cell r="AU483"/>
          <cell r="AV483"/>
          <cell r="AW483"/>
          <cell r="AX483">
            <v>0.90400000000000003</v>
          </cell>
          <cell r="AY483">
            <v>3489</v>
          </cell>
          <cell r="AZ483">
            <v>4681</v>
          </cell>
        </row>
        <row r="484">
          <cell r="A484">
            <v>43770</v>
          </cell>
          <cell r="B484">
            <v>0</v>
          </cell>
          <cell r="C484">
            <v>-0.5</v>
          </cell>
          <cell r="D484">
            <v>-0.53700000000000003</v>
          </cell>
          <cell r="E484"/>
          <cell r="F484"/>
          <cell r="G484"/>
          <cell r="H484"/>
          <cell r="I484"/>
          <cell r="J484"/>
          <cell r="K484"/>
          <cell r="L484"/>
          <cell r="M484"/>
          <cell r="N484"/>
          <cell r="O484">
            <v>-0.45100000000000001</v>
          </cell>
          <cell r="P484">
            <v>-0.40100000000000002</v>
          </cell>
          <cell r="Q484">
            <v>-0.33700000000000002</v>
          </cell>
          <cell r="R484">
            <v>-0.27200000000000002</v>
          </cell>
          <cell r="S484">
            <v>-0.61799999999999999</v>
          </cell>
          <cell r="T484">
            <v>-0.63100000000000001</v>
          </cell>
          <cell r="U484">
            <v>-0.65500000000000003</v>
          </cell>
          <cell r="V484">
            <v>-0.57099999999999995</v>
          </cell>
          <cell r="W484">
            <v>-0.32600000000000001</v>
          </cell>
          <cell r="X484">
            <v>0.19900000000000001</v>
          </cell>
          <cell r="Y484"/>
          <cell r="Z484"/>
          <cell r="AA484"/>
          <cell r="AB484"/>
          <cell r="AC484"/>
          <cell r="AD484"/>
          <cell r="AE484"/>
          <cell r="AF484"/>
          <cell r="AG484"/>
          <cell r="AH484"/>
          <cell r="AI484">
            <v>-0.34599999999999997</v>
          </cell>
          <cell r="AJ484">
            <v>-0.34</v>
          </cell>
          <cell r="AK484">
            <v>-0.313</v>
          </cell>
          <cell r="AL484">
            <v>-0.22</v>
          </cell>
          <cell r="AM484">
            <v>8.4000000000000005E-2</v>
          </cell>
          <cell r="AN484"/>
          <cell r="AO484"/>
          <cell r="AP484"/>
          <cell r="AQ484"/>
          <cell r="AR484"/>
          <cell r="AS484"/>
          <cell r="AT484"/>
          <cell r="AU484"/>
          <cell r="AV484"/>
          <cell r="AW484"/>
          <cell r="AX484">
            <v>0.90500000000000003</v>
          </cell>
          <cell r="AY484">
            <v>3469</v>
          </cell>
          <cell r="AZ484">
            <v>4698</v>
          </cell>
        </row>
        <row r="485">
          <cell r="A485">
            <v>43800</v>
          </cell>
          <cell r="B485">
            <v>0</v>
          </cell>
          <cell r="C485">
            <v>-0.5</v>
          </cell>
          <cell r="D485">
            <v>-0.54100000000000004</v>
          </cell>
          <cell r="E485"/>
          <cell r="F485"/>
          <cell r="G485"/>
          <cell r="H485"/>
          <cell r="I485"/>
          <cell r="J485"/>
          <cell r="K485"/>
          <cell r="L485"/>
          <cell r="M485"/>
          <cell r="N485"/>
          <cell r="O485">
            <v>-0.45300000000000001</v>
          </cell>
          <cell r="P485">
            <v>-0.39500000000000002</v>
          </cell>
          <cell r="Q485">
            <v>-0.33600000000000002</v>
          </cell>
          <cell r="R485">
            <v>-0.26100000000000001</v>
          </cell>
          <cell r="S485">
            <v>-0.64100000000000001</v>
          </cell>
          <cell r="T485">
            <v>-0.626</v>
          </cell>
          <cell r="U485">
            <v>-0.63100000000000001</v>
          </cell>
          <cell r="V485">
            <v>-0.53700000000000003</v>
          </cell>
          <cell r="W485">
            <v>-0.27200000000000002</v>
          </cell>
          <cell r="X485">
            <v>0.253</v>
          </cell>
          <cell r="Y485"/>
          <cell r="Z485"/>
          <cell r="AA485"/>
          <cell r="AB485"/>
          <cell r="AC485"/>
          <cell r="AD485"/>
          <cell r="AE485"/>
          <cell r="AF485"/>
          <cell r="AG485"/>
          <cell r="AH485"/>
          <cell r="AI485">
            <v>-0.33600000000000002</v>
          </cell>
          <cell r="AJ485">
            <v>-0.317</v>
          </cell>
          <cell r="AK485">
            <v>-0.27900000000000003</v>
          </cell>
          <cell r="AL485">
            <v>-0.17399999999999999</v>
          </cell>
          <cell r="AM485">
            <v>0.128</v>
          </cell>
          <cell r="AN485"/>
          <cell r="AO485"/>
          <cell r="AP485"/>
          <cell r="AQ485"/>
          <cell r="AR485"/>
          <cell r="AS485"/>
          <cell r="AT485"/>
          <cell r="AU485"/>
          <cell r="AV485"/>
          <cell r="AW485"/>
          <cell r="AX485">
            <v>0.9</v>
          </cell>
          <cell r="AY485">
            <v>3443</v>
          </cell>
          <cell r="AZ485">
            <v>4692</v>
          </cell>
        </row>
        <row r="486">
          <cell r="A486">
            <v>43831</v>
          </cell>
          <cell r="B486">
            <v>0</v>
          </cell>
          <cell r="C486">
            <v>-0.5</v>
          </cell>
          <cell r="D486">
            <v>-0.53800000000000003</v>
          </cell>
          <cell r="E486"/>
          <cell r="F486"/>
          <cell r="G486"/>
          <cell r="H486"/>
          <cell r="I486"/>
          <cell r="J486"/>
          <cell r="K486"/>
          <cell r="L486"/>
          <cell r="M486"/>
          <cell r="N486"/>
          <cell r="O486">
            <v>-0.45700000000000002</v>
          </cell>
          <cell r="P486">
            <v>-0.39100000000000001</v>
          </cell>
          <cell r="Q486">
            <v>-0.33</v>
          </cell>
          <cell r="R486">
            <v>-0.253</v>
          </cell>
          <cell r="S486">
            <v>-0.58799999999999997</v>
          </cell>
          <cell r="T486">
            <v>-0.60799999999999998</v>
          </cell>
          <cell r="U486">
            <v>-0.61</v>
          </cell>
          <cell r="V486">
            <v>-0.54200000000000004</v>
          </cell>
          <cell r="W486">
            <v>-0.26600000000000001</v>
          </cell>
          <cell r="X486">
            <v>0.252</v>
          </cell>
          <cell r="Y486"/>
          <cell r="Z486"/>
          <cell r="AA486"/>
          <cell r="AB486"/>
          <cell r="AC486"/>
          <cell r="AD486"/>
          <cell r="AE486"/>
          <cell r="AF486"/>
          <cell r="AG486"/>
          <cell r="AH486"/>
          <cell r="AI486">
            <v>-0.33600000000000002</v>
          </cell>
          <cell r="AJ486">
            <v>-0.316</v>
          </cell>
          <cell r="AK486">
            <v>-0.28299999999999997</v>
          </cell>
          <cell r="AL486">
            <v>-0.189</v>
          </cell>
          <cell r="AM486">
            <v>9.9000000000000005E-2</v>
          </cell>
          <cell r="AN486"/>
          <cell r="AO486"/>
          <cell r="AP486"/>
          <cell r="AQ486"/>
          <cell r="AR486"/>
          <cell r="AS486"/>
          <cell r="AT486"/>
          <cell r="AU486"/>
          <cell r="AV486"/>
          <cell r="AW486"/>
          <cell r="AX486">
            <v>0.90100000000000002</v>
          </cell>
          <cell r="AY486"/>
          <cell r="AZ486">
            <v>4671</v>
          </cell>
        </row>
        <row r="487">
          <cell r="A487">
            <v>43862</v>
          </cell>
          <cell r="B487">
            <v>0</v>
          </cell>
          <cell r="C487">
            <v>-0.5</v>
          </cell>
          <cell r="D487">
            <v>-0.53800000000000003</v>
          </cell>
          <cell r="E487"/>
          <cell r="F487"/>
          <cell r="G487"/>
          <cell r="H487"/>
          <cell r="I487"/>
          <cell r="J487"/>
          <cell r="K487"/>
          <cell r="L487"/>
          <cell r="M487"/>
          <cell r="N487"/>
          <cell r="O487">
            <v>-0.47299999999999998</v>
          </cell>
          <cell r="P487">
            <v>-0.40899999999999997</v>
          </cell>
          <cell r="Q487">
            <v>-0.35499999999999998</v>
          </cell>
          <cell r="R487">
            <v>-0.28799999999999998</v>
          </cell>
          <cell r="S487">
            <v>-0.61499999999999999</v>
          </cell>
          <cell r="T487">
            <v>-0.66200000000000003</v>
          </cell>
          <cell r="U487">
            <v>-0.67900000000000005</v>
          </cell>
          <cell r="V487">
            <v>-0.63500000000000001</v>
          </cell>
          <cell r="W487">
            <v>-0.434</v>
          </cell>
          <cell r="X487">
            <v>7.2999999999999995E-2</v>
          </cell>
          <cell r="Y487"/>
          <cell r="Z487"/>
          <cell r="AA487"/>
          <cell r="AB487"/>
          <cell r="AC487"/>
          <cell r="AD487"/>
          <cell r="AE487"/>
          <cell r="AF487"/>
          <cell r="AG487"/>
          <cell r="AH487"/>
          <cell r="AI487">
            <v>-0.378</v>
          </cell>
          <cell r="AJ487">
            <v>-0.379</v>
          </cell>
          <cell r="AK487">
            <v>-0.36399999999999999</v>
          </cell>
          <cell r="AL487">
            <v>-0.30099999999999999</v>
          </cell>
          <cell r="AM487">
            <v>-6.8000000000000005E-2</v>
          </cell>
          <cell r="AN487"/>
          <cell r="AO487"/>
          <cell r="AP487"/>
          <cell r="AQ487"/>
          <cell r="AR487"/>
          <cell r="AS487"/>
          <cell r="AT487"/>
          <cell r="AU487"/>
          <cell r="AV487"/>
          <cell r="AW487"/>
          <cell r="AX487">
            <v>0.91700000000000004</v>
          </cell>
          <cell r="AY487"/>
          <cell r="AZ487">
            <v>4692</v>
          </cell>
        </row>
        <row r="488">
          <cell r="A488">
            <v>43891</v>
          </cell>
          <cell r="B488">
            <v>0</v>
          </cell>
          <cell r="C488">
            <v>-0.5</v>
          </cell>
          <cell r="D488">
            <v>-0.53400000000000003</v>
          </cell>
          <cell r="E488"/>
          <cell r="F488"/>
          <cell r="G488"/>
          <cell r="H488"/>
          <cell r="I488"/>
          <cell r="J488"/>
          <cell r="K488"/>
          <cell r="L488"/>
          <cell r="M488"/>
          <cell r="N488"/>
          <cell r="O488">
            <v>-0.47799999999999998</v>
          </cell>
          <cell r="P488">
            <v>-0.41699999999999998</v>
          </cell>
          <cell r="Q488">
            <v>-0.36499999999999999</v>
          </cell>
          <cell r="R488">
            <v>-0.26600000000000001</v>
          </cell>
          <cell r="S488">
            <v>-0.753</v>
          </cell>
          <cell r="T488">
            <v>-0.78900000000000003</v>
          </cell>
          <cell r="U488">
            <v>-0.78700000000000003</v>
          </cell>
          <cell r="V488">
            <v>-0.69899999999999995</v>
          </cell>
          <cell r="W488">
            <v>-0.51600000000000001</v>
          </cell>
          <cell r="X488">
            <v>-0.126</v>
          </cell>
          <cell r="Y488"/>
          <cell r="Z488"/>
          <cell r="AA488"/>
          <cell r="AB488"/>
          <cell r="AC488"/>
          <cell r="AD488"/>
          <cell r="AE488"/>
          <cell r="AF488"/>
          <cell r="AG488"/>
          <cell r="AH488"/>
          <cell r="AI488">
            <v>-0.39200000000000002</v>
          </cell>
          <cell r="AJ488">
            <v>-0.38700000000000001</v>
          </cell>
          <cell r="AK488">
            <v>-0.36499999999999999</v>
          </cell>
          <cell r="AL488">
            <v>-0.27900000000000003</v>
          </cell>
          <cell r="AM488">
            <v>-8.5999999999999993E-2</v>
          </cell>
          <cell r="AN488"/>
          <cell r="AO488"/>
          <cell r="AP488"/>
          <cell r="AQ488"/>
          <cell r="AR488"/>
          <cell r="AS488"/>
          <cell r="AT488"/>
          <cell r="AU488"/>
          <cell r="AV488"/>
          <cell r="AW488"/>
          <cell r="AX488">
            <v>0.90400000000000003</v>
          </cell>
          <cell r="AY488"/>
          <cell r="AZ488">
            <v>5063</v>
          </cell>
        </row>
        <row r="489">
          <cell r="A489">
            <v>43922</v>
          </cell>
          <cell r="B489">
            <v>0</v>
          </cell>
          <cell r="C489">
            <v>-0.5</v>
          </cell>
          <cell r="D489">
            <v>-0.53700000000000003</v>
          </cell>
          <cell r="E489"/>
          <cell r="F489"/>
          <cell r="G489"/>
          <cell r="H489"/>
          <cell r="I489"/>
          <cell r="J489"/>
          <cell r="K489"/>
          <cell r="L489"/>
          <cell r="M489"/>
          <cell r="N489"/>
          <cell r="O489">
            <v>-0.42799999999999999</v>
          </cell>
          <cell r="P489">
            <v>-0.254</v>
          </cell>
          <cell r="Q489">
            <v>-0.192</v>
          </cell>
          <cell r="R489">
            <v>-0.108</v>
          </cell>
          <cell r="S489">
            <v>-0.55500000000000005</v>
          </cell>
          <cell r="T489">
            <v>-0.66200000000000003</v>
          </cell>
          <cell r="U489">
            <v>-0.65700000000000003</v>
          </cell>
          <cell r="V489">
            <v>-0.61699999999999999</v>
          </cell>
          <cell r="W489">
            <v>-0.42899999999999999</v>
          </cell>
          <cell r="X489">
            <v>-2.3E-2</v>
          </cell>
          <cell r="Y489"/>
          <cell r="Z489"/>
          <cell r="AA489"/>
          <cell r="AB489"/>
          <cell r="AC489"/>
          <cell r="AD489"/>
          <cell r="AE489"/>
          <cell r="AF489"/>
          <cell r="AG489"/>
          <cell r="AH489"/>
          <cell r="AI489">
            <v>-0.24099999999999999</v>
          </cell>
          <cell r="AJ489">
            <v>-0.27300000000000002</v>
          </cell>
          <cell r="AK489">
            <v>-0.27600000000000002</v>
          </cell>
          <cell r="AL489">
            <v>-0.222</v>
          </cell>
          <cell r="AM489">
            <v>-4.2999999999999997E-2</v>
          </cell>
          <cell r="AN489"/>
          <cell r="AO489"/>
          <cell r="AP489"/>
          <cell r="AQ489"/>
          <cell r="AR489"/>
          <cell r="AS489"/>
          <cell r="AT489"/>
          <cell r="AU489"/>
          <cell r="AV489"/>
          <cell r="AW489"/>
          <cell r="AX489">
            <v>0.92</v>
          </cell>
          <cell r="AY489"/>
          <cell r="AZ489">
            <v>5347</v>
          </cell>
        </row>
        <row r="490">
          <cell r="A490">
            <v>43952</v>
          </cell>
          <cell r="B490">
            <v>0</v>
          </cell>
          <cell r="C490">
            <v>-0.5</v>
          </cell>
          <cell r="D490">
            <v>-0.54200000000000004</v>
          </cell>
          <cell r="E490"/>
          <cell r="F490"/>
          <cell r="G490"/>
          <cell r="H490"/>
          <cell r="I490"/>
          <cell r="J490"/>
          <cell r="K490"/>
          <cell r="L490"/>
          <cell r="M490"/>
          <cell r="N490"/>
          <cell r="O490">
            <v>-0.46400000000000002</v>
          </cell>
          <cell r="P490">
            <v>-0.27200000000000002</v>
          </cell>
          <cell r="Q490">
            <v>-0.14299999999999999</v>
          </cell>
          <cell r="R490">
            <v>-8.1000000000000003E-2</v>
          </cell>
          <cell r="S490">
            <v>-0.55900000000000005</v>
          </cell>
          <cell r="T490">
            <v>-0.71</v>
          </cell>
          <cell r="U490">
            <v>-0.72499999999999998</v>
          </cell>
          <cell r="V490">
            <v>-0.69799999999999995</v>
          </cell>
          <cell r="W490">
            <v>-0.501</v>
          </cell>
          <cell r="X490">
            <v>-0.06</v>
          </cell>
          <cell r="Y490"/>
          <cell r="Z490"/>
          <cell r="AA490"/>
          <cell r="AB490"/>
          <cell r="AC490"/>
          <cell r="AD490"/>
          <cell r="AE490"/>
          <cell r="AF490"/>
          <cell r="AG490"/>
          <cell r="AH490"/>
          <cell r="AI490">
            <v>-0.23300000000000001</v>
          </cell>
          <cell r="AJ490">
            <v>-0.29799999999999999</v>
          </cell>
          <cell r="AK490">
            <v>-0.316</v>
          </cell>
          <cell r="AL490">
            <v>-0.29199999999999998</v>
          </cell>
          <cell r="AM490">
            <v>-0.13100000000000001</v>
          </cell>
          <cell r="AN490"/>
          <cell r="AO490"/>
          <cell r="AP490"/>
          <cell r="AQ490"/>
          <cell r="AR490"/>
          <cell r="AS490"/>
          <cell r="AT490"/>
          <cell r="AU490"/>
          <cell r="AV490"/>
          <cell r="AW490"/>
          <cell r="AX490">
            <v>0.91700000000000004</v>
          </cell>
          <cell r="AY490"/>
          <cell r="AZ490">
            <v>5596</v>
          </cell>
        </row>
        <row r="491">
          <cell r="A491">
            <v>43983</v>
          </cell>
          <cell r="B491">
            <v>0</v>
          </cell>
          <cell r="C491">
            <v>-0.5</v>
          </cell>
          <cell r="D491">
            <v>-0.54600000000000004</v>
          </cell>
          <cell r="E491"/>
          <cell r="F491"/>
          <cell r="G491"/>
          <cell r="H491"/>
          <cell r="I491"/>
          <cell r="J491"/>
          <cell r="K491"/>
          <cell r="L491"/>
          <cell r="M491"/>
          <cell r="N491"/>
          <cell r="O491">
            <v>-0.49299999999999999</v>
          </cell>
          <cell r="P491">
            <v>-0.376</v>
          </cell>
          <cell r="Q491">
            <v>-0.223</v>
          </cell>
          <cell r="R491">
            <v>-0.14699999999999999</v>
          </cell>
          <cell r="S491">
            <v>-0.55900000000000005</v>
          </cell>
          <cell r="T491">
            <v>-0.65400000000000003</v>
          </cell>
          <cell r="U491">
            <v>-0.67100000000000004</v>
          </cell>
          <cell r="V491">
            <v>-0.63500000000000001</v>
          </cell>
          <cell r="W491">
            <v>-0.40100000000000002</v>
          </cell>
          <cell r="X491">
            <v>7.1999999999999995E-2</v>
          </cell>
          <cell r="Y491"/>
          <cell r="Z491"/>
          <cell r="AA491"/>
          <cell r="AB491"/>
          <cell r="AC491"/>
          <cell r="AD491"/>
          <cell r="AE491"/>
          <cell r="AF491"/>
          <cell r="AG491"/>
          <cell r="AH491"/>
          <cell r="AI491">
            <v>-0.29299999999999998</v>
          </cell>
          <cell r="AJ491">
            <v>-0.33200000000000002</v>
          </cell>
          <cell r="AK491">
            <v>-0.34</v>
          </cell>
          <cell r="AL491">
            <v>-0.30099999999999999</v>
          </cell>
          <cell r="AM491">
            <v>-0.113</v>
          </cell>
          <cell r="AN491"/>
          <cell r="AO491"/>
          <cell r="AP491"/>
          <cell r="AQ491"/>
          <cell r="AR491"/>
          <cell r="AS491"/>
          <cell r="AT491"/>
          <cell r="AU491"/>
          <cell r="AV491"/>
          <cell r="AW491"/>
          <cell r="AX491">
            <v>0.88800000000000001</v>
          </cell>
          <cell r="AY491"/>
          <cell r="AZ491">
            <v>6236</v>
          </cell>
        </row>
        <row r="492">
          <cell r="A492">
            <v>44013</v>
          </cell>
          <cell r="B492">
            <v>0</v>
          </cell>
          <cell r="C492">
            <v>-0.5</v>
          </cell>
          <cell r="D492">
            <v>-0.55000000000000004</v>
          </cell>
          <cell r="E492"/>
          <cell r="F492"/>
          <cell r="G492"/>
          <cell r="H492"/>
          <cell r="I492"/>
          <cell r="J492"/>
          <cell r="K492"/>
          <cell r="L492"/>
          <cell r="M492"/>
          <cell r="N492"/>
          <cell r="O492">
            <v>-0.50900000000000001</v>
          </cell>
          <cell r="P492">
            <v>-0.44400000000000001</v>
          </cell>
          <cell r="Q492">
            <v>-0.34599999999999997</v>
          </cell>
          <cell r="R492">
            <v>-0.27900000000000003</v>
          </cell>
          <cell r="S492">
            <v>-0.55600000000000005</v>
          </cell>
          <cell r="T492">
            <v>-0.67700000000000005</v>
          </cell>
          <cell r="U492">
            <v>-0.71299999999999997</v>
          </cell>
          <cell r="V492">
            <v>-0.66700000000000004</v>
          </cell>
          <cell r="W492">
            <v>-0.46100000000000002</v>
          </cell>
          <cell r="X492">
            <v>-2.9000000000000001E-2</v>
          </cell>
          <cell r="Y492"/>
          <cell r="Z492"/>
          <cell r="AA492"/>
          <cell r="AB492"/>
          <cell r="AC492"/>
          <cell r="AD492"/>
          <cell r="AE492"/>
          <cell r="AF492"/>
          <cell r="AG492"/>
          <cell r="AH492"/>
          <cell r="AI492">
            <v>-0.373</v>
          </cell>
          <cell r="AJ492">
            <v>-0.39300000000000002</v>
          </cell>
          <cell r="AK492">
            <v>-0.39500000000000002</v>
          </cell>
          <cell r="AL492">
            <v>-0.36199999999999999</v>
          </cell>
          <cell r="AM492">
            <v>-0.192</v>
          </cell>
          <cell r="AN492"/>
          <cell r="AO492"/>
          <cell r="AP492"/>
          <cell r="AQ492"/>
          <cell r="AR492"/>
          <cell r="AS492"/>
          <cell r="AT492"/>
          <cell r="AU492"/>
          <cell r="AV492"/>
          <cell r="AW492"/>
          <cell r="AX492">
            <v>0.872</v>
          </cell>
          <cell r="AY492"/>
          <cell r="AZ492">
            <v>6361</v>
          </cell>
        </row>
        <row r="493">
          <cell r="A493">
            <v>44044</v>
          </cell>
          <cell r="B493">
            <v>0</v>
          </cell>
          <cell r="C493">
            <v>-0.5</v>
          </cell>
          <cell r="D493">
            <v>-0.55300000000000005</v>
          </cell>
          <cell r="E493"/>
          <cell r="F493"/>
          <cell r="G493"/>
          <cell r="H493"/>
          <cell r="I493"/>
          <cell r="J493"/>
          <cell r="K493"/>
          <cell r="L493"/>
          <cell r="M493"/>
          <cell r="N493"/>
          <cell r="O493">
            <v>-0.51700000000000002</v>
          </cell>
          <cell r="P493">
            <v>-0.48</v>
          </cell>
          <cell r="Q493">
            <v>-0.433</v>
          </cell>
          <cell r="R493">
            <v>-0.35899999999999999</v>
          </cell>
          <cell r="S493">
            <v>-0.55300000000000005</v>
          </cell>
          <cell r="T493">
            <v>-0.67200000000000004</v>
          </cell>
          <cell r="U493">
            <v>-0.71499999999999997</v>
          </cell>
          <cell r="V493">
            <v>-0.67</v>
          </cell>
          <cell r="W493">
            <v>-0.46899999999999997</v>
          </cell>
          <cell r="X493">
            <v>-3.2000000000000001E-2</v>
          </cell>
          <cell r="Y493"/>
          <cell r="Z493"/>
          <cell r="AA493"/>
          <cell r="AB493"/>
          <cell r="AC493"/>
          <cell r="AD493"/>
          <cell r="AE493"/>
          <cell r="AF493"/>
          <cell r="AG493"/>
          <cell r="AH493"/>
          <cell r="AI493">
            <v>-0.433</v>
          </cell>
          <cell r="AJ493">
            <v>-0.42899999999999999</v>
          </cell>
          <cell r="AK493">
            <v>-0.42099999999999999</v>
          </cell>
          <cell r="AL493">
            <v>-0.378</v>
          </cell>
          <cell r="AM493">
            <v>-0.19700000000000001</v>
          </cell>
          <cell r="AN493"/>
          <cell r="AO493"/>
          <cell r="AP493"/>
          <cell r="AQ493"/>
          <cell r="AR493"/>
          <cell r="AS493"/>
          <cell r="AT493"/>
          <cell r="AU493"/>
          <cell r="AV493"/>
          <cell r="AW493"/>
          <cell r="AX493">
            <v>0.84499999999999997</v>
          </cell>
          <cell r="AY493"/>
          <cell r="AZ493">
            <v>6440</v>
          </cell>
        </row>
        <row r="494">
          <cell r="A494">
            <v>44075</v>
          </cell>
          <cell r="B494">
            <v>0</v>
          </cell>
          <cell r="C494">
            <v>-0.5</v>
          </cell>
          <cell r="D494">
            <v>-0.55400000000000005</v>
          </cell>
          <cell r="E494"/>
          <cell r="F494"/>
          <cell r="G494"/>
          <cell r="H494"/>
          <cell r="I494"/>
          <cell r="J494"/>
          <cell r="K494"/>
          <cell r="L494"/>
          <cell r="M494"/>
          <cell r="N494"/>
          <cell r="O494">
            <v>-0.52200000000000002</v>
          </cell>
          <cell r="P494">
            <v>-0.49099999999999999</v>
          </cell>
          <cell r="Q494">
            <v>-0.46300000000000002</v>
          </cell>
          <cell r="R494">
            <v>-0.41499999999999998</v>
          </cell>
          <cell r="S494">
            <v>-0.57599999999999996</v>
          </cell>
          <cell r="T494">
            <v>-0.69899999999999995</v>
          </cell>
          <cell r="U494">
            <v>-0.73499999999999999</v>
          </cell>
          <cell r="V494">
            <v>-0.69499999999999995</v>
          </cell>
          <cell r="W494">
            <v>-0.49</v>
          </cell>
          <cell r="X494">
            <v>-4.5999999999999999E-2</v>
          </cell>
          <cell r="Y494"/>
          <cell r="Z494"/>
          <cell r="AA494"/>
          <cell r="AB494"/>
          <cell r="AC494"/>
          <cell r="AD494"/>
          <cell r="AE494"/>
          <cell r="AF494"/>
          <cell r="AG494"/>
          <cell r="AH494"/>
          <cell r="AI494">
            <v>-0.47199999999999998</v>
          </cell>
          <cell r="AJ494">
            <v>-0.47599999999999998</v>
          </cell>
          <cell r="AK494">
            <v>-0.46800000000000003</v>
          </cell>
          <cell r="AL494">
            <v>-0.41899999999999998</v>
          </cell>
          <cell r="AM494">
            <v>-0.214</v>
          </cell>
          <cell r="AN494"/>
          <cell r="AO494"/>
          <cell r="AP494"/>
          <cell r="AQ494"/>
          <cell r="AR494"/>
          <cell r="AS494"/>
          <cell r="AT494"/>
          <cell r="AU494"/>
          <cell r="AV494"/>
          <cell r="AW494"/>
          <cell r="AX494">
            <v>0.84899999999999998</v>
          </cell>
          <cell r="AY494"/>
          <cell r="AZ494">
            <v>6535</v>
          </cell>
        </row>
        <row r="495">
          <cell r="A495">
            <v>44105</v>
          </cell>
          <cell r="B495">
            <v>0</v>
          </cell>
          <cell r="C495">
            <v>-0.5</v>
          </cell>
          <cell r="D495">
            <v>-0.55400000000000005</v>
          </cell>
          <cell r="E495"/>
          <cell r="F495"/>
          <cell r="G495"/>
          <cell r="H495"/>
          <cell r="I495"/>
          <cell r="J495"/>
          <cell r="K495"/>
          <cell r="L495"/>
          <cell r="M495"/>
          <cell r="N495"/>
          <cell r="O495">
            <v>-0.53800000000000003</v>
          </cell>
          <cell r="P495">
            <v>-0.50900000000000001</v>
          </cell>
          <cell r="Q495">
            <v>-0.49399999999999999</v>
          </cell>
          <cell r="R495">
            <v>-0.46600000000000003</v>
          </cell>
          <cell r="S495">
            <v>-0.65900000000000003</v>
          </cell>
          <cell r="T495">
            <v>-0.748</v>
          </cell>
          <cell r="U495">
            <v>-0.79500000000000004</v>
          </cell>
          <cell r="V495">
            <v>-0.76500000000000001</v>
          </cell>
          <cell r="W495">
            <v>-0.57199999999999995</v>
          </cell>
          <cell r="X495">
            <v>-0.151</v>
          </cell>
          <cell r="Y495"/>
          <cell r="Z495"/>
          <cell r="AA495"/>
          <cell r="AB495"/>
          <cell r="AC495"/>
          <cell r="AD495"/>
          <cell r="AE495"/>
          <cell r="AF495"/>
          <cell r="AG495"/>
          <cell r="AH495"/>
          <cell r="AI495">
            <v>-0.50600000000000001</v>
          </cell>
          <cell r="AJ495">
            <v>-0.51500000000000001</v>
          </cell>
          <cell r="AK495">
            <v>-0.50900000000000001</v>
          </cell>
          <cell r="AL495">
            <v>-0.45800000000000002</v>
          </cell>
          <cell r="AM495">
            <v>-0.253</v>
          </cell>
          <cell r="AN495"/>
          <cell r="AO495"/>
          <cell r="AP495"/>
          <cell r="AQ495"/>
          <cell r="AR495"/>
          <cell r="AS495"/>
          <cell r="AT495"/>
          <cell r="AU495"/>
          <cell r="AV495"/>
          <cell r="AW495"/>
          <cell r="AX495">
            <v>0.85</v>
          </cell>
          <cell r="AY495"/>
          <cell r="AZ495">
            <v>6776</v>
          </cell>
        </row>
        <row r="496">
          <cell r="A496">
            <v>44136</v>
          </cell>
          <cell r="B496">
            <v>0</v>
          </cell>
          <cell r="C496">
            <v>-0.5</v>
          </cell>
          <cell r="D496">
            <v>-0.55600000000000005</v>
          </cell>
          <cell r="E496"/>
          <cell r="F496"/>
          <cell r="G496"/>
          <cell r="H496"/>
          <cell r="I496"/>
          <cell r="J496"/>
          <cell r="K496"/>
          <cell r="L496"/>
          <cell r="M496"/>
          <cell r="N496"/>
          <cell r="O496">
            <v>-0.54100000000000004</v>
          </cell>
          <cell r="P496">
            <v>-0.52100000000000002</v>
          </cell>
          <cell r="Q496">
            <v>-0.50900000000000001</v>
          </cell>
          <cell r="R496">
            <v>-0.48099999999999998</v>
          </cell>
          <cell r="S496">
            <v>-0.67600000000000005</v>
          </cell>
          <cell r="T496">
            <v>-0.748</v>
          </cell>
          <cell r="U496">
            <v>-0.79100000000000004</v>
          </cell>
          <cell r="V496">
            <v>-0.75900000000000001</v>
          </cell>
          <cell r="W496">
            <v>-0.57199999999999995</v>
          </cell>
          <cell r="X496">
            <v>-0.158</v>
          </cell>
          <cell r="Y496"/>
          <cell r="Z496"/>
          <cell r="AA496"/>
          <cell r="AB496"/>
          <cell r="AC496"/>
          <cell r="AD496"/>
          <cell r="AE496"/>
          <cell r="AF496"/>
          <cell r="AG496"/>
          <cell r="AH496"/>
          <cell r="AI496">
            <v>-0.51900000000000002</v>
          </cell>
          <cell r="AJ496">
            <v>-0.52200000000000002</v>
          </cell>
          <cell r="AK496">
            <v>-0.51300000000000001</v>
          </cell>
          <cell r="AL496">
            <v>-0.45800000000000002</v>
          </cell>
          <cell r="AM496">
            <v>-0.23799999999999999</v>
          </cell>
          <cell r="AN496"/>
          <cell r="AO496"/>
          <cell r="AP496"/>
          <cell r="AQ496"/>
          <cell r="AR496"/>
          <cell r="AS496"/>
          <cell r="AT496"/>
          <cell r="AU496"/>
          <cell r="AV496"/>
          <cell r="AW496"/>
          <cell r="AX496">
            <v>0.84499999999999997</v>
          </cell>
          <cell r="AY496"/>
          <cell r="AZ496">
            <v>6883</v>
          </cell>
        </row>
        <row r="497">
          <cell r="A497">
            <v>44166</v>
          </cell>
          <cell r="B497">
            <v>0</v>
          </cell>
          <cell r="C497">
            <v>-0.5</v>
          </cell>
          <cell r="D497">
            <v>-0.55800000000000005</v>
          </cell>
          <cell r="E497"/>
          <cell r="F497"/>
          <cell r="G497"/>
          <cell r="H497"/>
          <cell r="I497"/>
          <cell r="J497"/>
          <cell r="K497"/>
          <cell r="L497"/>
          <cell r="M497"/>
          <cell r="N497"/>
          <cell r="O497">
            <v>-0.56100000000000005</v>
          </cell>
          <cell r="P497">
            <v>-0.53800000000000003</v>
          </cell>
          <cell r="Q497">
            <v>-0.51900000000000002</v>
          </cell>
          <cell r="R497">
            <v>-0.497</v>
          </cell>
          <cell r="S497">
            <v>-0.70899999999999996</v>
          </cell>
          <cell r="T497">
            <v>-0.73399999999999999</v>
          </cell>
          <cell r="U497">
            <v>-0.78200000000000003</v>
          </cell>
          <cell r="V497">
            <v>-0.754</v>
          </cell>
          <cell r="W497">
            <v>-0.57399999999999995</v>
          </cell>
          <cell r="X497">
            <v>-0.16400000000000001</v>
          </cell>
          <cell r="Y497"/>
          <cell r="Z497"/>
          <cell r="AA497"/>
          <cell r="AB497"/>
          <cell r="AC497"/>
          <cell r="AD497"/>
          <cell r="AE497"/>
          <cell r="AF497"/>
          <cell r="AG497"/>
          <cell r="AH497"/>
          <cell r="AI497">
            <v>-0.52600000000000002</v>
          </cell>
          <cell r="AJ497">
            <v>-0.52600000000000002</v>
          </cell>
          <cell r="AK497">
            <v>-0.51600000000000001</v>
          </cell>
          <cell r="AL497">
            <v>-0.46500000000000002</v>
          </cell>
          <cell r="AM497">
            <v>-0.26100000000000001</v>
          </cell>
          <cell r="AN497"/>
          <cell r="AO497"/>
          <cell r="AP497"/>
          <cell r="AQ497"/>
          <cell r="AR497"/>
          <cell r="AS497"/>
          <cell r="AT497"/>
          <cell r="AU497"/>
          <cell r="AV497"/>
          <cell r="AW497"/>
          <cell r="AX497">
            <v>0.82199999999999995</v>
          </cell>
          <cell r="AY497"/>
          <cell r="AZ497">
            <v>7015</v>
          </cell>
        </row>
        <row r="498">
          <cell r="A498">
            <v>44197</v>
          </cell>
          <cell r="B498">
            <v>0</v>
          </cell>
          <cell r="C498">
            <v>-0.5</v>
          </cell>
          <cell r="D498">
            <v>-0.56299999999999994</v>
          </cell>
          <cell r="E498"/>
          <cell r="F498"/>
          <cell r="G498"/>
          <cell r="H498"/>
          <cell r="I498"/>
          <cell r="J498"/>
          <cell r="K498"/>
          <cell r="L498"/>
          <cell r="M498"/>
          <cell r="N498"/>
          <cell r="O498">
            <v>-0.56200000000000006</v>
          </cell>
          <cell r="P498">
            <v>-0.54700000000000004</v>
          </cell>
          <cell r="Q498">
            <v>-0.52800000000000002</v>
          </cell>
          <cell r="R498">
            <v>-0.505</v>
          </cell>
          <cell r="S498">
            <v>-0.64300000000000002</v>
          </cell>
          <cell r="T498">
            <v>-0.71399999999999997</v>
          </cell>
          <cell r="U498">
            <v>-0.75600000000000001</v>
          </cell>
          <cell r="V498">
            <v>-0.72899999999999998</v>
          </cell>
          <cell r="W498">
            <v>-0.53200000000000003</v>
          </cell>
          <cell r="X498">
            <v>-0.121</v>
          </cell>
          <cell r="Y498"/>
          <cell r="Z498"/>
          <cell r="AA498"/>
          <cell r="AB498"/>
          <cell r="AC498"/>
          <cell r="AD498"/>
          <cell r="AE498"/>
          <cell r="AF498"/>
          <cell r="AG498"/>
          <cell r="AH498"/>
          <cell r="AI498">
            <v>-0.53300000000000003</v>
          </cell>
          <cell r="AJ498">
            <v>-0.52900000000000003</v>
          </cell>
          <cell r="AK498">
            <v>-0.51300000000000001</v>
          </cell>
          <cell r="AL498">
            <v>-0.45</v>
          </cell>
          <cell r="AM498">
            <v>-0.223</v>
          </cell>
          <cell r="AN498"/>
          <cell r="AO498"/>
          <cell r="AP498"/>
          <cell r="AQ498"/>
          <cell r="AR498"/>
          <cell r="AS498"/>
          <cell r="AT498"/>
          <cell r="AU498"/>
          <cell r="AV498"/>
          <cell r="AW498"/>
          <cell r="AX498">
            <v>0.82199999999999995</v>
          </cell>
          <cell r="AY498"/>
          <cell r="AZ498">
            <v>7033</v>
          </cell>
        </row>
        <row r="499">
          <cell r="A499">
            <v>44228</v>
          </cell>
          <cell r="B499">
            <v>0</v>
          </cell>
          <cell r="C499">
            <v>-0.5</v>
          </cell>
          <cell r="D499">
            <v>-0.56399999999999995</v>
          </cell>
          <cell r="E499"/>
          <cell r="F499"/>
          <cell r="G499"/>
          <cell r="H499"/>
          <cell r="I499"/>
          <cell r="J499"/>
          <cell r="K499"/>
          <cell r="L499"/>
          <cell r="M499"/>
          <cell r="N499"/>
          <cell r="O499">
            <v>-0.55300000000000005</v>
          </cell>
          <cell r="P499">
            <v>-0.54100000000000004</v>
          </cell>
          <cell r="Q499">
            <v>-0.52100000000000002</v>
          </cell>
          <cell r="R499">
            <v>-0.501</v>
          </cell>
          <cell r="S499">
            <v>-0.626</v>
          </cell>
          <cell r="T499">
            <v>-0.69799999999999995</v>
          </cell>
          <cell r="U499">
            <v>-0.71599999999999997</v>
          </cell>
          <cell r="V499">
            <v>-0.65500000000000003</v>
          </cell>
          <cell r="W499">
            <v>-0.38900000000000001</v>
          </cell>
          <cell r="X499">
            <v>9.4E-2</v>
          </cell>
          <cell r="Y499"/>
          <cell r="Z499"/>
          <cell r="AA499"/>
          <cell r="AB499"/>
          <cell r="AC499"/>
          <cell r="AD499"/>
          <cell r="AE499"/>
          <cell r="AF499"/>
          <cell r="AG499"/>
          <cell r="AH499"/>
          <cell r="AI499">
            <v>-0.52</v>
          </cell>
          <cell r="AJ499">
            <v>-0.50800000000000001</v>
          </cell>
          <cell r="AK499">
            <v>-0.47499999999999998</v>
          </cell>
          <cell r="AL499">
            <v>-0.36899999999999999</v>
          </cell>
          <cell r="AM499">
            <v>-6.6000000000000003E-2</v>
          </cell>
          <cell r="AN499"/>
          <cell r="AO499"/>
          <cell r="AP499"/>
          <cell r="AQ499"/>
          <cell r="AR499"/>
          <cell r="AS499"/>
          <cell r="AT499"/>
          <cell r="AU499"/>
          <cell r="AV499"/>
          <cell r="AW499"/>
          <cell r="AX499">
            <v>0.82699999999999996</v>
          </cell>
          <cell r="AY499"/>
          <cell r="AZ499">
            <v>7110</v>
          </cell>
        </row>
        <row r="500">
          <cell r="A500">
            <v>44256</v>
          </cell>
          <cell r="B500">
            <v>0</v>
          </cell>
          <cell r="C500">
            <v>-0.5</v>
          </cell>
          <cell r="D500">
            <v>-0.56399999999999995</v>
          </cell>
          <cell r="E500"/>
          <cell r="F500"/>
          <cell r="G500"/>
          <cell r="H500"/>
          <cell r="I500"/>
          <cell r="J500"/>
          <cell r="K500"/>
          <cell r="L500"/>
          <cell r="M500"/>
          <cell r="N500"/>
          <cell r="O500">
            <v>-0.55300000000000005</v>
          </cell>
          <cell r="P500">
            <v>-0.53900000000000003</v>
          </cell>
          <cell r="Q500">
            <v>-0.51600000000000001</v>
          </cell>
          <cell r="R500">
            <v>-0.48699999999999999</v>
          </cell>
          <cell r="S500">
            <v>-0.61799999999999999</v>
          </cell>
          <cell r="T500">
            <v>-0.69299999999999995</v>
          </cell>
          <cell r="U500">
            <v>-0.71599999999999997</v>
          </cell>
          <cell r="V500">
            <v>-0.63700000000000001</v>
          </cell>
          <cell r="W500">
            <v>-0.316</v>
          </cell>
          <cell r="X500">
            <v>0.219</v>
          </cell>
          <cell r="Y500"/>
          <cell r="Z500"/>
          <cell r="AA500"/>
          <cell r="AB500"/>
          <cell r="AC500"/>
          <cell r="AD500"/>
          <cell r="AE500"/>
          <cell r="AF500"/>
          <cell r="AG500"/>
          <cell r="AH500"/>
          <cell r="AI500">
            <v>-0.51400000000000001</v>
          </cell>
          <cell r="AJ500">
            <v>-0.495</v>
          </cell>
          <cell r="AK500">
            <v>-0.45600000000000002</v>
          </cell>
          <cell r="AL500">
            <v>-0.33300000000000002</v>
          </cell>
          <cell r="AM500">
            <v>2.7E-2</v>
          </cell>
          <cell r="AN500"/>
          <cell r="AO500"/>
          <cell r="AP500"/>
          <cell r="AQ500"/>
          <cell r="AR500"/>
          <cell r="AS500"/>
          <cell r="AT500"/>
          <cell r="AU500"/>
          <cell r="AV500"/>
          <cell r="AW500"/>
          <cell r="AX500">
            <v>0.84</v>
          </cell>
          <cell r="AY500"/>
          <cell r="AZ500">
            <v>7505</v>
          </cell>
        </row>
        <row r="501">
          <cell r="A501">
            <v>44287</v>
          </cell>
          <cell r="B501">
            <v>0</v>
          </cell>
          <cell r="C501">
            <v>-0.5</v>
          </cell>
          <cell r="D501">
            <v>-0.56599999999999995</v>
          </cell>
          <cell r="E501"/>
          <cell r="F501"/>
          <cell r="G501"/>
          <cell r="H501"/>
          <cell r="I501"/>
          <cell r="J501"/>
          <cell r="K501"/>
          <cell r="L501"/>
          <cell r="M501"/>
          <cell r="N501"/>
          <cell r="O501">
            <v>-0.55500000000000005</v>
          </cell>
          <cell r="P501">
            <v>-0.53800000000000003</v>
          </cell>
          <cell r="Q501">
            <v>-0.51600000000000001</v>
          </cell>
          <cell r="R501">
            <v>-0.48399999999999999</v>
          </cell>
          <cell r="S501">
            <v>-0.61799999999999999</v>
          </cell>
          <cell r="T501">
            <v>-0.69499999999999995</v>
          </cell>
          <cell r="U501">
            <v>-0.71199999999999997</v>
          </cell>
          <cell r="V501">
            <v>-0.61899999999999999</v>
          </cell>
          <cell r="W501">
            <v>-0.27500000000000002</v>
          </cell>
          <cell r="X501">
            <v>0.27500000000000002</v>
          </cell>
          <cell r="Y501"/>
          <cell r="Z501"/>
          <cell r="AA501"/>
          <cell r="AB501"/>
          <cell r="AC501"/>
          <cell r="AD501"/>
          <cell r="AE501"/>
          <cell r="AF501"/>
          <cell r="AG501"/>
          <cell r="AH501"/>
          <cell r="AI501">
            <v>-0.51600000000000001</v>
          </cell>
          <cell r="AJ501">
            <v>-0.495</v>
          </cell>
          <cell r="AK501">
            <v>-0.44500000000000001</v>
          </cell>
          <cell r="AL501">
            <v>-0.309</v>
          </cell>
          <cell r="AM501">
            <v>7.1999999999999995E-2</v>
          </cell>
          <cell r="AN501"/>
          <cell r="AO501"/>
          <cell r="AP501"/>
          <cell r="AQ501"/>
          <cell r="AR501"/>
          <cell r="AS501"/>
          <cell r="AT501"/>
          <cell r="AU501"/>
          <cell r="AV501"/>
          <cell r="AW501"/>
          <cell r="AX501">
            <v>0.83499999999999996</v>
          </cell>
          <cell r="AY501"/>
          <cell r="AZ501">
            <v>7568</v>
          </cell>
        </row>
        <row r="502">
          <cell r="A502">
            <v>44317</v>
          </cell>
          <cell r="B502">
            <v>0</v>
          </cell>
          <cell r="C502">
            <v>-0.5</v>
          </cell>
          <cell r="D502">
            <v>-0.56499999999999995</v>
          </cell>
          <cell r="E502"/>
          <cell r="F502"/>
          <cell r="G502"/>
          <cell r="H502"/>
          <cell r="I502"/>
          <cell r="J502"/>
          <cell r="K502"/>
          <cell r="L502"/>
          <cell r="M502"/>
          <cell r="N502"/>
          <cell r="O502">
            <v>-0.55800000000000005</v>
          </cell>
          <cell r="P502">
            <v>-0.54</v>
          </cell>
          <cell r="Q502">
            <v>-0.51300000000000001</v>
          </cell>
          <cell r="R502">
            <v>-0.48099999999999998</v>
          </cell>
          <cell r="S502">
            <v>-0.63</v>
          </cell>
          <cell r="T502">
            <v>-0.66600000000000004</v>
          </cell>
          <cell r="U502">
            <v>-0.66900000000000004</v>
          </cell>
          <cell r="V502">
            <v>-0.55100000000000005</v>
          </cell>
          <cell r="W502">
            <v>-0.16600000000000001</v>
          </cell>
          <cell r="X502">
            <v>0.39500000000000002</v>
          </cell>
          <cell r="Y502"/>
          <cell r="Z502"/>
          <cell r="AA502"/>
          <cell r="AB502"/>
          <cell r="AC502"/>
          <cell r="AD502"/>
          <cell r="AE502"/>
          <cell r="AF502"/>
          <cell r="AG502"/>
          <cell r="AH502"/>
          <cell r="AI502">
            <v>-0.50600000000000001</v>
          </cell>
          <cell r="AJ502">
            <v>-0.47</v>
          </cell>
          <cell r="AK502">
            <v>-0.40600000000000003</v>
          </cell>
          <cell r="AL502">
            <v>-0.248</v>
          </cell>
          <cell r="AM502">
            <v>0.14399999999999999</v>
          </cell>
          <cell r="AN502"/>
          <cell r="AO502"/>
          <cell r="AP502"/>
          <cell r="AQ502"/>
          <cell r="AR502"/>
          <cell r="AS502"/>
          <cell r="AT502"/>
          <cell r="AU502"/>
          <cell r="AV502"/>
          <cell r="AW502"/>
          <cell r="AX502">
            <v>0.82299999999999995</v>
          </cell>
          <cell r="AY502"/>
          <cell r="AZ502">
            <v>7658</v>
          </cell>
        </row>
        <row r="503">
          <cell r="A503">
            <v>44348</v>
          </cell>
          <cell r="B503">
            <v>0</v>
          </cell>
          <cell r="C503">
            <v>-0.5</v>
          </cell>
          <cell r="D503">
            <v>-0.56499999999999995</v>
          </cell>
          <cell r="E503"/>
          <cell r="F503"/>
          <cell r="G503"/>
          <cell r="H503"/>
          <cell r="I503"/>
          <cell r="J503"/>
          <cell r="K503"/>
          <cell r="L503"/>
          <cell r="M503"/>
          <cell r="N503"/>
          <cell r="O503">
            <v>-0.55500000000000005</v>
          </cell>
          <cell r="P503">
            <v>-0.54300000000000004</v>
          </cell>
          <cell r="Q503">
            <v>-0.51500000000000001</v>
          </cell>
          <cell r="R503">
            <v>-0.48399999999999999</v>
          </cell>
          <cell r="S503">
            <v>-0.63500000000000001</v>
          </cell>
          <cell r="T503">
            <v>-0.66400000000000003</v>
          </cell>
          <cell r="U503">
            <v>-0.68100000000000005</v>
          </cell>
          <cell r="V503">
            <v>-0.58799999999999997</v>
          </cell>
          <cell r="W503">
            <v>-0.20499999999999999</v>
          </cell>
          <cell r="X503">
            <v>0.32</v>
          </cell>
          <cell r="Y503"/>
          <cell r="Z503"/>
          <cell r="AA503"/>
          <cell r="AB503"/>
          <cell r="AC503"/>
          <cell r="AD503"/>
          <cell r="AE503"/>
          <cell r="AF503"/>
          <cell r="AG503"/>
          <cell r="AH503"/>
          <cell r="AI503">
            <v>-0.50600000000000001</v>
          </cell>
          <cell r="AJ503">
            <v>-0.46700000000000003</v>
          </cell>
          <cell r="AK503">
            <v>-0.40899999999999997</v>
          </cell>
          <cell r="AL503">
            <v>-0.26700000000000002</v>
          </cell>
          <cell r="AM503">
            <v>0.10299999999999999</v>
          </cell>
          <cell r="AN503"/>
          <cell r="AO503"/>
          <cell r="AP503"/>
          <cell r="AQ503"/>
          <cell r="AR503"/>
          <cell r="AS503"/>
          <cell r="AT503"/>
          <cell r="AU503"/>
          <cell r="AV503"/>
          <cell r="AW503"/>
          <cell r="AX503">
            <v>0.83099999999999996</v>
          </cell>
          <cell r="AY503"/>
          <cell r="AZ503">
            <v>7877</v>
          </cell>
        </row>
        <row r="504">
          <cell r="A504">
            <v>44378</v>
          </cell>
          <cell r="B504">
            <v>0</v>
          </cell>
          <cell r="C504">
            <v>-0.5</v>
          </cell>
          <cell r="D504">
            <v>-0.56599999999999995</v>
          </cell>
          <cell r="E504"/>
          <cell r="F504"/>
          <cell r="G504"/>
          <cell r="H504"/>
          <cell r="I504"/>
          <cell r="J504"/>
          <cell r="K504"/>
          <cell r="L504"/>
          <cell r="M504"/>
          <cell r="N504"/>
          <cell r="O504">
            <v>-0.55600000000000005</v>
          </cell>
          <cell r="P504">
            <v>-0.54500000000000004</v>
          </cell>
          <cell r="Q504">
            <v>-0.51600000000000001</v>
          </cell>
          <cell r="R504">
            <v>-0.49099999999999999</v>
          </cell>
          <cell r="S504">
            <v>-0.64400000000000002</v>
          </cell>
          <cell r="T504">
            <v>-0.70099999999999996</v>
          </cell>
          <cell r="U504">
            <v>-0.73699999999999999</v>
          </cell>
          <cell r="V504">
            <v>-0.65200000000000002</v>
          </cell>
          <cell r="W504">
            <v>-0.34799999999999998</v>
          </cell>
          <cell r="X504">
            <v>0.14099999999999999</v>
          </cell>
          <cell r="Y504"/>
          <cell r="Z504"/>
          <cell r="AA504"/>
          <cell r="AB504"/>
          <cell r="AC504"/>
          <cell r="AD504"/>
          <cell r="AE504"/>
          <cell r="AF504"/>
          <cell r="AG504"/>
          <cell r="AH504"/>
          <cell r="AI504">
            <v>-0.50900000000000001</v>
          </cell>
          <cell r="AJ504">
            <v>-0.47299999999999998</v>
          </cell>
          <cell r="AK504">
            <v>-0.42599999999999999</v>
          </cell>
          <cell r="AL504">
            <v>-0.32100000000000001</v>
          </cell>
          <cell r="AM504">
            <v>-4.0000000000000001E-3</v>
          </cell>
          <cell r="AN504"/>
          <cell r="AO504"/>
          <cell r="AP504"/>
          <cell r="AQ504"/>
          <cell r="AR504"/>
          <cell r="AS504"/>
          <cell r="AT504"/>
          <cell r="AU504"/>
          <cell r="AV504"/>
          <cell r="AW504"/>
          <cell r="AX504">
            <v>0.84599999999999997</v>
          </cell>
          <cell r="AY504"/>
          <cell r="AZ504">
            <v>7987</v>
          </cell>
        </row>
        <row r="505">
          <cell r="A505">
            <v>44409</v>
          </cell>
          <cell r="B505">
            <v>0</v>
          </cell>
          <cell r="C505">
            <v>-0.5</v>
          </cell>
          <cell r="D505">
            <v>-0.56799999999999995</v>
          </cell>
          <cell r="E505"/>
          <cell r="F505"/>
          <cell r="G505"/>
          <cell r="H505"/>
          <cell r="I505"/>
          <cell r="J505"/>
          <cell r="K505"/>
          <cell r="L505"/>
          <cell r="M505"/>
          <cell r="N505"/>
          <cell r="O505">
            <v>-0.56000000000000005</v>
          </cell>
          <cell r="P505">
            <v>-0.54800000000000004</v>
          </cell>
          <cell r="Q505">
            <v>-0.52700000000000002</v>
          </cell>
          <cell r="R505">
            <v>-0.498</v>
          </cell>
          <cell r="S505">
            <v>-0.66</v>
          </cell>
          <cell r="T505">
            <v>-0.748</v>
          </cell>
          <cell r="U505">
            <v>-0.79500000000000004</v>
          </cell>
          <cell r="V505">
            <v>-0.73</v>
          </cell>
          <cell r="W505">
            <v>-0.46200000000000002</v>
          </cell>
          <cell r="X505">
            <v>-6.0000000000000001E-3</v>
          </cell>
          <cell r="Y505"/>
          <cell r="Z505"/>
          <cell r="AA505"/>
          <cell r="AB505"/>
          <cell r="AC505"/>
          <cell r="AD505"/>
          <cell r="AE505"/>
          <cell r="AF505"/>
          <cell r="AG505"/>
          <cell r="AH505"/>
          <cell r="AI505">
            <v>-0.52400000000000002</v>
          </cell>
          <cell r="AJ505">
            <v>-0.496</v>
          </cell>
          <cell r="AK505">
            <v>-0.45800000000000002</v>
          </cell>
          <cell r="AL505">
            <v>-0.37</v>
          </cell>
          <cell r="AM505">
            <v>-9.0999999999999998E-2</v>
          </cell>
          <cell r="AN505"/>
          <cell r="AO505"/>
          <cell r="AP505"/>
          <cell r="AQ505"/>
          <cell r="AR505"/>
          <cell r="AS505"/>
          <cell r="AT505"/>
          <cell r="AU505"/>
          <cell r="AV505"/>
          <cell r="AW505"/>
          <cell r="AX505">
            <v>0.85</v>
          </cell>
          <cell r="AY505"/>
          <cell r="AZ505">
            <v>8191</v>
          </cell>
        </row>
        <row r="506">
          <cell r="A506">
            <v>44440</v>
          </cell>
          <cell r="B506">
            <v>0</v>
          </cell>
          <cell r="C506">
            <v>-0.5</v>
          </cell>
          <cell r="D506">
            <v>-0.56999999999999995</v>
          </cell>
          <cell r="E506"/>
          <cell r="F506"/>
          <cell r="G506"/>
          <cell r="H506"/>
          <cell r="I506"/>
          <cell r="J506"/>
          <cell r="K506"/>
          <cell r="L506"/>
          <cell r="M506"/>
          <cell r="N506"/>
          <cell r="O506">
            <v>-0.55800000000000005</v>
          </cell>
          <cell r="P506">
            <v>-0.54500000000000004</v>
          </cell>
          <cell r="Q506">
            <v>-0.52200000000000002</v>
          </cell>
          <cell r="R506">
            <v>-0.49199999999999999</v>
          </cell>
          <cell r="S506">
            <v>-0.67</v>
          </cell>
          <cell r="T506">
            <v>-0.70099999999999996</v>
          </cell>
          <cell r="U506">
            <v>-0.72499999999999998</v>
          </cell>
          <cell r="V506">
            <v>-0.622</v>
          </cell>
          <cell r="W506">
            <v>-0.30299999999999999</v>
          </cell>
          <cell r="X506">
            <v>0.186</v>
          </cell>
          <cell r="Y506"/>
          <cell r="Z506"/>
          <cell r="AA506"/>
          <cell r="AB506"/>
          <cell r="AC506"/>
          <cell r="AD506"/>
          <cell r="AE506"/>
          <cell r="AF506"/>
          <cell r="AG506"/>
          <cell r="AH506"/>
          <cell r="AI506">
            <v>-0.50600000000000001</v>
          </cell>
          <cell r="AJ506">
            <v>-0.45400000000000001</v>
          </cell>
          <cell r="AK506">
            <v>-0.39300000000000002</v>
          </cell>
          <cell r="AL506">
            <v>-0.26400000000000001</v>
          </cell>
          <cell r="AM506">
            <v>6.0999999999999999E-2</v>
          </cell>
          <cell r="AN506"/>
          <cell r="AO506"/>
          <cell r="AP506"/>
          <cell r="AQ506"/>
          <cell r="AR506"/>
          <cell r="AS506"/>
          <cell r="AT506"/>
          <cell r="AU506"/>
          <cell r="AV506"/>
          <cell r="AW506"/>
          <cell r="AX506">
            <v>0.85</v>
          </cell>
          <cell r="AY506"/>
          <cell r="AZ506">
            <v>8273</v>
          </cell>
        </row>
        <row r="507">
          <cell r="A507">
            <v>44470</v>
          </cell>
          <cell r="B507">
            <v>0</v>
          </cell>
          <cell r="C507">
            <v>-0.5</v>
          </cell>
          <cell r="D507">
            <v>-0.57099999999999995</v>
          </cell>
          <cell r="E507"/>
          <cell r="F507"/>
          <cell r="G507"/>
          <cell r="H507"/>
          <cell r="I507"/>
          <cell r="J507"/>
          <cell r="K507"/>
          <cell r="L507"/>
          <cell r="M507"/>
          <cell r="N507"/>
          <cell r="O507">
            <v>-0.56000000000000005</v>
          </cell>
          <cell r="P507">
            <v>-0.55000000000000004</v>
          </cell>
          <cell r="Q507">
            <v>-0.52700000000000002</v>
          </cell>
          <cell r="R507">
            <v>-0.47699999999999998</v>
          </cell>
          <cell r="S507">
            <v>-0.66700000000000004</v>
          </cell>
          <cell r="T507">
            <v>-0.66300000000000003</v>
          </cell>
          <cell r="U507">
            <v>-0.64400000000000002</v>
          </cell>
          <cell r="V507">
            <v>-0.48899999999999999</v>
          </cell>
          <cell r="W507">
            <v>-0.14599999999999999</v>
          </cell>
          <cell r="X507">
            <v>0.26700000000000002</v>
          </cell>
          <cell r="Y507"/>
          <cell r="Z507"/>
          <cell r="AA507"/>
          <cell r="AB507"/>
          <cell r="AC507"/>
          <cell r="AD507"/>
          <cell r="AE507"/>
          <cell r="AF507"/>
          <cell r="AG507"/>
          <cell r="AH507"/>
          <cell r="AI507">
            <v>-0.48699999999999999</v>
          </cell>
          <cell r="AJ507">
            <v>-0.36899999999999999</v>
          </cell>
          <cell r="AK507">
            <v>-0.25900000000000001</v>
          </cell>
          <cell r="AL507">
            <v>-9.2999999999999999E-2</v>
          </cell>
          <cell r="AM507">
            <v>0.23499999999999999</v>
          </cell>
          <cell r="AN507"/>
          <cell r="AO507"/>
          <cell r="AP507"/>
          <cell r="AQ507"/>
          <cell r="AR507"/>
          <cell r="AS507"/>
          <cell r="AT507"/>
          <cell r="AU507"/>
          <cell r="AV507"/>
          <cell r="AW507"/>
          <cell r="AX507">
            <v>0.86199999999999999</v>
          </cell>
          <cell r="AY507"/>
          <cell r="AZ507">
            <v>8366</v>
          </cell>
        </row>
        <row r="508">
          <cell r="A508">
            <v>44501</v>
          </cell>
          <cell r="B508">
            <v>0</v>
          </cell>
          <cell r="C508">
            <v>-0.5</v>
          </cell>
          <cell r="D508">
            <v>-0.57299999999999995</v>
          </cell>
          <cell r="E508"/>
          <cell r="F508"/>
          <cell r="G508"/>
          <cell r="H508"/>
          <cell r="I508"/>
          <cell r="J508"/>
          <cell r="K508"/>
          <cell r="L508"/>
          <cell r="M508"/>
          <cell r="N508"/>
          <cell r="O508">
            <v>-0.56499999999999995</v>
          </cell>
          <cell r="P508">
            <v>-0.56699999999999995</v>
          </cell>
          <cell r="Q508">
            <v>-0.53400000000000003</v>
          </cell>
          <cell r="R508">
            <v>-0.48699999999999999</v>
          </cell>
          <cell r="S508">
            <v>-0.746</v>
          </cell>
          <cell r="T508">
            <v>-0.72</v>
          </cell>
          <cell r="U508">
            <v>-0.71599999999999997</v>
          </cell>
          <cell r="V508">
            <v>-0.55700000000000005</v>
          </cell>
          <cell r="W508">
            <v>-0.252</v>
          </cell>
          <cell r="X508">
            <v>7.4999999999999997E-2</v>
          </cell>
          <cell r="Y508"/>
          <cell r="Z508"/>
          <cell r="AA508"/>
          <cell r="AB508"/>
          <cell r="AC508"/>
          <cell r="AD508"/>
          <cell r="AE508"/>
          <cell r="AF508"/>
          <cell r="AG508"/>
          <cell r="AH508"/>
          <cell r="AI508">
            <v>-0.48799999999999999</v>
          </cell>
          <cell r="AJ508">
            <v>-0.34100000000000003</v>
          </cell>
          <cell r="AK508">
            <v>-0.223</v>
          </cell>
          <cell r="AL508">
            <v>-9.0999999999999998E-2</v>
          </cell>
          <cell r="AM508">
            <v>0.17399999999999999</v>
          </cell>
          <cell r="AN508"/>
          <cell r="AO508"/>
          <cell r="AP508"/>
          <cell r="AQ508"/>
          <cell r="AR508"/>
          <cell r="AS508"/>
          <cell r="AT508"/>
          <cell r="AU508"/>
          <cell r="AV508"/>
          <cell r="AW508"/>
          <cell r="AX508">
            <v>0.877</v>
          </cell>
          <cell r="AY508"/>
          <cell r="AZ508">
            <v>8457</v>
          </cell>
        </row>
        <row r="509">
          <cell r="A509">
            <v>44531</v>
          </cell>
          <cell r="B509">
            <v>0</v>
          </cell>
          <cell r="C509">
            <v>-0.5</v>
          </cell>
          <cell r="D509">
            <v>-0.57699999999999996</v>
          </cell>
          <cell r="E509"/>
          <cell r="F509"/>
          <cell r="G509"/>
          <cell r="H509"/>
          <cell r="I509"/>
          <cell r="J509"/>
          <cell r="K509"/>
          <cell r="L509"/>
          <cell r="M509"/>
          <cell r="N509"/>
          <cell r="O509">
            <v>-0.59599999999999997</v>
          </cell>
          <cell r="P509">
            <v>-0.58199999999999996</v>
          </cell>
          <cell r="Q509">
            <v>-0.54500000000000004</v>
          </cell>
          <cell r="R509">
            <v>-0.502</v>
          </cell>
          <cell r="S509">
            <v>-0.67300000000000004</v>
          </cell>
          <cell r="T509">
            <v>-0.68700000000000006</v>
          </cell>
          <cell r="U509">
            <v>-0.70599999999999996</v>
          </cell>
          <cell r="V509">
            <v>-0.55900000000000005</v>
          </cell>
          <cell r="W509">
            <v>-0.313</v>
          </cell>
          <cell r="X509">
            <v>1.9E-2</v>
          </cell>
          <cell r="Y509"/>
          <cell r="Z509"/>
          <cell r="AA509"/>
          <cell r="AB509"/>
          <cell r="AC509"/>
          <cell r="AD509"/>
          <cell r="AE509"/>
          <cell r="AF509"/>
          <cell r="AG509"/>
          <cell r="AH509"/>
          <cell r="AI509">
            <v>-0.49399999999999999</v>
          </cell>
          <cell r="AJ509">
            <v>-0.34100000000000003</v>
          </cell>
          <cell r="AK509">
            <v>-0.215</v>
          </cell>
          <cell r="AL509">
            <v>-8.3000000000000004E-2</v>
          </cell>
          <cell r="AM509">
            <v>0.155</v>
          </cell>
          <cell r="AN509"/>
          <cell r="AO509"/>
          <cell r="AP509"/>
          <cell r="AQ509"/>
          <cell r="AR509"/>
          <cell r="AS509"/>
          <cell r="AT509"/>
          <cell r="AU509"/>
          <cell r="AV509"/>
          <cell r="AW509"/>
          <cell r="AX509">
            <v>0.88400000000000001</v>
          </cell>
          <cell r="AY509"/>
          <cell r="AZ509">
            <v>8566</v>
          </cell>
        </row>
        <row r="510">
          <cell r="A510">
            <v>44562</v>
          </cell>
          <cell r="B510">
            <v>0</v>
          </cell>
          <cell r="C510">
            <v>-0.5</v>
          </cell>
          <cell r="D510">
            <v>-0.57799999999999996</v>
          </cell>
          <cell r="E510"/>
          <cell r="F510"/>
          <cell r="G510"/>
          <cell r="H510"/>
          <cell r="I510"/>
          <cell r="J510"/>
          <cell r="K510"/>
          <cell r="L510"/>
          <cell r="M510"/>
          <cell r="N510"/>
          <cell r="O510">
            <v>-0.56499999999999995</v>
          </cell>
          <cell r="P510">
            <v>-0.56000000000000005</v>
          </cell>
          <cell r="Q510">
            <v>-0.52700000000000002</v>
          </cell>
          <cell r="R510">
            <v>-0.47699999999999998</v>
          </cell>
          <cell r="S510">
            <v>-0.65600000000000003</v>
          </cell>
          <cell r="T510">
            <v>-0.59799999999999998</v>
          </cell>
          <cell r="U510">
            <v>-0.55100000000000005</v>
          </cell>
          <cell r="V510">
            <v>-0.35699999999999998</v>
          </cell>
          <cell r="W510">
            <v>-5.6000000000000001E-2</v>
          </cell>
          <cell r="X510">
            <v>0.25600000000000001</v>
          </cell>
          <cell r="Y510"/>
          <cell r="Z510"/>
          <cell r="AA510"/>
          <cell r="AB510"/>
          <cell r="AC510"/>
          <cell r="AD510"/>
          <cell r="AE510"/>
          <cell r="AF510"/>
          <cell r="AG510"/>
          <cell r="AH510"/>
          <cell r="AI510">
            <v>-0.46</v>
          </cell>
          <cell r="AJ510">
            <v>-0.24</v>
          </cell>
          <cell r="AK510">
            <v>-7.0000000000000007E-2</v>
          </cell>
          <cell r="AL510">
            <v>0.105</v>
          </cell>
          <cell r="AM510">
            <v>0.38100000000000001</v>
          </cell>
          <cell r="AN510"/>
          <cell r="AO510"/>
          <cell r="AP510"/>
          <cell r="AQ510"/>
          <cell r="AR510"/>
          <cell r="AS510"/>
          <cell r="AT510"/>
          <cell r="AU510"/>
          <cell r="AV510"/>
          <cell r="AW510"/>
          <cell r="AX510">
            <v>0.88400000000000001</v>
          </cell>
          <cell r="AY510"/>
          <cell r="AZ510">
            <v>8623</v>
          </cell>
        </row>
        <row r="511">
          <cell r="A511">
            <v>44593</v>
          </cell>
          <cell r="B511">
            <v>0</v>
          </cell>
          <cell r="C511">
            <v>-0.5</v>
          </cell>
          <cell r="D511">
            <v>-0.57699999999999996</v>
          </cell>
          <cell r="E511"/>
          <cell r="F511"/>
          <cell r="G511"/>
          <cell r="H511"/>
          <cell r="I511"/>
          <cell r="J511"/>
          <cell r="K511"/>
          <cell r="L511"/>
          <cell r="M511"/>
          <cell r="N511"/>
          <cell r="O511">
            <v>-0.55300000000000005</v>
          </cell>
          <cell r="P511">
            <v>-0.53100000000000003</v>
          </cell>
          <cell r="Q511">
            <v>-0.47599999999999998</v>
          </cell>
          <cell r="R511">
            <v>-0.33500000000000002</v>
          </cell>
          <cell r="S511">
            <v>-0.63400000000000001</v>
          </cell>
          <cell r="T511">
            <v>-0.38100000000000001</v>
          </cell>
          <cell r="U511">
            <v>-0.24</v>
          </cell>
          <cell r="V511">
            <v>-1.4E-2</v>
          </cell>
          <cell r="W511">
            <v>0.21099999999999999</v>
          </cell>
          <cell r="X511">
            <v>0.443</v>
          </cell>
          <cell r="Y511"/>
          <cell r="Z511"/>
          <cell r="AA511"/>
          <cell r="AB511"/>
          <cell r="AC511"/>
          <cell r="AD511"/>
          <cell r="AE511"/>
          <cell r="AF511"/>
          <cell r="AG511"/>
          <cell r="AH511"/>
          <cell r="AI511">
            <v>-0.3</v>
          </cell>
          <cell r="AJ511">
            <v>0.126</v>
          </cell>
          <cell r="AK511">
            <v>0.35199999999999998</v>
          </cell>
          <cell r="AL511">
            <v>0.53500000000000003</v>
          </cell>
          <cell r="AM511">
            <v>0.76</v>
          </cell>
          <cell r="AN511"/>
          <cell r="AO511"/>
          <cell r="AP511"/>
          <cell r="AQ511"/>
          <cell r="AR511"/>
          <cell r="AS511"/>
          <cell r="AT511"/>
          <cell r="AU511"/>
          <cell r="AV511"/>
          <cell r="AW511"/>
          <cell r="AX511">
            <v>0.88200000000000001</v>
          </cell>
          <cell r="AY511"/>
          <cell r="AZ511">
            <v>8671</v>
          </cell>
        </row>
        <row r="512">
          <cell r="A512">
            <v>44621</v>
          </cell>
          <cell r="B512">
            <v>0</v>
          </cell>
          <cell r="C512">
            <v>-0.5</v>
          </cell>
          <cell r="D512">
            <v>-0.57899999999999996</v>
          </cell>
          <cell r="E512"/>
          <cell r="F512"/>
          <cell r="G512"/>
          <cell r="H512"/>
          <cell r="I512"/>
          <cell r="J512"/>
          <cell r="K512"/>
          <cell r="L512"/>
          <cell r="M512"/>
          <cell r="N512"/>
          <cell r="O512">
            <v>-0.54400000000000004</v>
          </cell>
          <cell r="P512">
            <v>-0.495</v>
          </cell>
          <cell r="Q512">
            <v>-0.41799999999999998</v>
          </cell>
          <cell r="R512">
            <v>-0.23699999999999999</v>
          </cell>
          <cell r="S512">
            <v>-0.60399999999999998</v>
          </cell>
          <cell r="T512">
            <v>-0.36399999999999999</v>
          </cell>
          <cell r="U512">
            <v>-0.193</v>
          </cell>
          <cell r="V512">
            <v>5.7000000000000002E-2</v>
          </cell>
          <cell r="W512">
            <v>0.32900000000000001</v>
          </cell>
          <cell r="X512">
            <v>0.50900000000000001</v>
          </cell>
          <cell r="Y512"/>
          <cell r="Z512"/>
          <cell r="AA512"/>
          <cell r="AB512"/>
          <cell r="AC512"/>
          <cell r="AD512"/>
          <cell r="AE512"/>
          <cell r="AF512"/>
          <cell r="AG512"/>
          <cell r="AH512"/>
          <cell r="AI512">
            <v>-0.20399999999999999</v>
          </cell>
          <cell r="AJ512">
            <v>0.27700000000000002</v>
          </cell>
          <cell r="AK512">
            <v>0.498</v>
          </cell>
          <cell r="AL512">
            <v>0.71499999999999997</v>
          </cell>
          <cell r="AM512">
            <v>0.99199999999999999</v>
          </cell>
          <cell r="AN512"/>
          <cell r="AO512"/>
          <cell r="AP512"/>
          <cell r="AQ512"/>
          <cell r="AR512"/>
          <cell r="AS512"/>
          <cell r="AT512"/>
          <cell r="AU512"/>
          <cell r="AV512"/>
          <cell r="AW512"/>
          <cell r="AX512">
            <v>0.90800000000000003</v>
          </cell>
          <cell r="AY512"/>
          <cell r="AZ512">
            <v>8711</v>
          </cell>
        </row>
        <row r="513">
          <cell r="A513">
            <v>44652</v>
          </cell>
          <cell r="B513">
            <v>0</v>
          </cell>
          <cell r="C513">
            <v>-0.5</v>
          </cell>
          <cell r="D513">
            <v>-0.58399999999999996</v>
          </cell>
          <cell r="E513"/>
          <cell r="F513"/>
          <cell r="G513"/>
          <cell r="H513"/>
          <cell r="I513"/>
          <cell r="J513"/>
          <cell r="K513"/>
          <cell r="L513"/>
          <cell r="M513"/>
          <cell r="N513"/>
          <cell r="O513">
            <v>-0.53700000000000003</v>
          </cell>
          <cell r="P513">
            <v>-0.44800000000000001</v>
          </cell>
          <cell r="Q513">
            <v>-0.311</v>
          </cell>
          <cell r="R513">
            <v>1.2999999999999999E-2</v>
          </cell>
          <cell r="S513">
            <v>-0.35</v>
          </cell>
          <cell r="T513">
            <v>0.08</v>
          </cell>
          <cell r="U513">
            <v>0.31</v>
          </cell>
          <cell r="V513">
            <v>0.55900000000000005</v>
          </cell>
          <cell r="W513">
            <v>0.79</v>
          </cell>
          <cell r="X513">
            <v>0.92900000000000005</v>
          </cell>
          <cell r="Y513"/>
          <cell r="Z513"/>
          <cell r="AA513"/>
          <cell r="AB513"/>
          <cell r="AC513"/>
          <cell r="AD513"/>
          <cell r="AE513"/>
          <cell r="AF513"/>
          <cell r="AG513"/>
          <cell r="AH513"/>
          <cell r="AI513">
            <v>5.6000000000000001E-2</v>
          </cell>
          <cell r="AJ513">
            <v>0.74099999999999999</v>
          </cell>
          <cell r="AK513">
            <v>1.0349999999999999</v>
          </cell>
          <cell r="AL513">
            <v>1.2490000000000001</v>
          </cell>
          <cell r="AM513">
            <v>1.502</v>
          </cell>
          <cell r="AN513"/>
          <cell r="AO513"/>
          <cell r="AP513"/>
          <cell r="AQ513"/>
          <cell r="AR513"/>
          <cell r="AS513"/>
          <cell r="AT513"/>
          <cell r="AU513"/>
          <cell r="AV513"/>
          <cell r="AW513"/>
          <cell r="AX513">
            <v>0.92600000000000005</v>
          </cell>
          <cell r="AY513"/>
          <cell r="AZ513">
            <v>8784</v>
          </cell>
        </row>
        <row r="514">
          <cell r="A514">
            <v>44682</v>
          </cell>
          <cell r="B514">
            <v>0</v>
          </cell>
          <cell r="C514">
            <v>-0.5</v>
          </cell>
          <cell r="D514">
            <v>-0.58499999999999996</v>
          </cell>
          <cell r="E514"/>
          <cell r="F514"/>
          <cell r="G514"/>
          <cell r="H514"/>
          <cell r="I514"/>
          <cell r="J514"/>
          <cell r="K514"/>
          <cell r="L514"/>
          <cell r="M514"/>
          <cell r="N514"/>
          <cell r="O514">
            <v>-0.54600000000000004</v>
          </cell>
          <cell r="P514">
            <v>-0.38600000000000001</v>
          </cell>
          <cell r="Q514">
            <v>-0.14399999999999999</v>
          </cell>
          <cell r="R514">
            <v>0.28699999999999998</v>
          </cell>
          <cell r="S514">
            <v>-0.11600000000000001</v>
          </cell>
          <cell r="T514">
            <v>0.29499999999999998</v>
          </cell>
          <cell r="U514">
            <v>0.44600000000000001</v>
          </cell>
          <cell r="V514">
            <v>0.7</v>
          </cell>
          <cell r="W514">
            <v>0.997</v>
          </cell>
          <cell r="X514">
            <v>1.171</v>
          </cell>
          <cell r="Y514"/>
          <cell r="Z514"/>
          <cell r="AA514"/>
          <cell r="AB514"/>
          <cell r="AC514"/>
          <cell r="AD514"/>
          <cell r="AE514"/>
          <cell r="AF514"/>
          <cell r="AG514"/>
          <cell r="AH514"/>
          <cell r="AI514">
            <v>0.33600000000000002</v>
          </cell>
          <cell r="AJ514">
            <v>0.94799999999999995</v>
          </cell>
          <cell r="AK514">
            <v>1.1890000000000001</v>
          </cell>
          <cell r="AL514">
            <v>1.43</v>
          </cell>
          <cell r="AM514">
            <v>1.766</v>
          </cell>
          <cell r="AN514"/>
          <cell r="AO514"/>
          <cell r="AP514"/>
          <cell r="AQ514"/>
          <cell r="AR514"/>
          <cell r="AS514"/>
          <cell r="AT514"/>
          <cell r="AU514"/>
          <cell r="AV514"/>
          <cell r="AW514"/>
          <cell r="AX514">
            <v>0.94499999999999995</v>
          </cell>
          <cell r="AY514"/>
          <cell r="AZ514">
            <v>8814</v>
          </cell>
        </row>
        <row r="515">
          <cell r="A515">
            <v>44713</v>
          </cell>
          <cell r="B515">
            <v>0</v>
          </cell>
          <cell r="C515">
            <v>-0.5</v>
          </cell>
          <cell r="D515">
            <v>-0.58199999999999996</v>
          </cell>
          <cell r="E515"/>
          <cell r="F515"/>
          <cell r="G515"/>
          <cell r="H515"/>
          <cell r="I515"/>
          <cell r="J515"/>
          <cell r="K515"/>
          <cell r="L515"/>
          <cell r="M515"/>
          <cell r="N515"/>
          <cell r="O515">
            <v>-0.52500000000000002</v>
          </cell>
          <cell r="P515">
            <v>-0.23899999999999999</v>
          </cell>
          <cell r="Q515">
            <v>0.16200000000000001</v>
          </cell>
          <cell r="R515">
            <v>0.85199999999999998</v>
          </cell>
          <cell r="S515">
            <v>0.39500000000000002</v>
          </cell>
          <cell r="T515">
            <v>0.9</v>
          </cell>
          <cell r="U515">
            <v>1.03</v>
          </cell>
          <cell r="V515">
            <v>1.272</v>
          </cell>
          <cell r="W515">
            <v>1.504</v>
          </cell>
          <cell r="X515">
            <v>1.708</v>
          </cell>
          <cell r="Y515"/>
          <cell r="Z515"/>
          <cell r="AA515"/>
          <cell r="AB515"/>
          <cell r="AC515"/>
          <cell r="AD515"/>
          <cell r="AE515"/>
          <cell r="AF515"/>
          <cell r="AG515"/>
          <cell r="AH515"/>
          <cell r="AI515">
            <v>0.874</v>
          </cell>
          <cell r="AJ515">
            <v>1.552</v>
          </cell>
          <cell r="AK515">
            <v>1.7729999999999999</v>
          </cell>
          <cell r="AL515">
            <v>1.9850000000000001</v>
          </cell>
          <cell r="AM515">
            <v>2.262</v>
          </cell>
          <cell r="AN515"/>
          <cell r="AO515"/>
          <cell r="AP515"/>
          <cell r="AQ515"/>
          <cell r="AR515"/>
          <cell r="AS515"/>
          <cell r="AT515"/>
          <cell r="AU515"/>
          <cell r="AV515"/>
          <cell r="AW515"/>
          <cell r="AX515">
            <v>0.94699999999999995</v>
          </cell>
          <cell r="AY515"/>
          <cell r="AZ515">
            <v>8836</v>
          </cell>
        </row>
        <row r="516">
          <cell r="A516">
            <v>44743</v>
          </cell>
          <cell r="B516">
            <v>0.5</v>
          </cell>
          <cell r="C516">
            <v>0</v>
          </cell>
          <cell r="D516">
            <v>-0.51100000000000001</v>
          </cell>
          <cell r="E516"/>
          <cell r="F516"/>
          <cell r="G516"/>
          <cell r="H516"/>
          <cell r="I516"/>
          <cell r="J516"/>
          <cell r="K516"/>
          <cell r="L516"/>
          <cell r="M516"/>
          <cell r="N516"/>
          <cell r="O516">
            <v>-0.30599999999999999</v>
          </cell>
          <cell r="P516">
            <v>3.6999999999999998E-2</v>
          </cell>
          <cell r="Q516">
            <v>0.46600000000000003</v>
          </cell>
          <cell r="R516">
            <v>0.99199999999999999</v>
          </cell>
          <cell r="S516">
            <v>0.39900000000000002</v>
          </cell>
          <cell r="T516">
            <v>0.47199999999999998</v>
          </cell>
          <cell r="U516">
            <v>0.57199999999999995</v>
          </cell>
          <cell r="V516">
            <v>0.84299999999999997</v>
          </cell>
          <cell r="W516">
            <v>1.1419999999999999</v>
          </cell>
          <cell r="X516">
            <v>1.3979999999999999</v>
          </cell>
          <cell r="Y516"/>
          <cell r="Z516"/>
          <cell r="AA516"/>
          <cell r="AB516"/>
          <cell r="AC516"/>
          <cell r="AD516"/>
          <cell r="AE516"/>
          <cell r="AF516"/>
          <cell r="AG516"/>
          <cell r="AH516"/>
          <cell r="AI516">
            <v>0.94199999999999995</v>
          </cell>
          <cell r="AJ516">
            <v>1.2689999999999999</v>
          </cell>
          <cell r="AK516">
            <v>1.393</v>
          </cell>
          <cell r="AL516">
            <v>1.607</v>
          </cell>
          <cell r="AM516">
            <v>1.9630000000000001</v>
          </cell>
          <cell r="AN516"/>
          <cell r="AO516"/>
          <cell r="AP516"/>
          <cell r="AQ516"/>
          <cell r="AR516"/>
          <cell r="AS516"/>
          <cell r="AT516"/>
          <cell r="AU516"/>
          <cell r="AV516"/>
          <cell r="AW516"/>
          <cell r="AX516">
            <v>0.98199999999999998</v>
          </cell>
          <cell r="AY516"/>
          <cell r="AZ516">
            <v>8764</v>
          </cell>
        </row>
        <row r="517">
          <cell r="A517">
            <v>44774</v>
          </cell>
          <cell r="B517">
            <v>0.5</v>
          </cell>
          <cell r="C517">
            <v>0</v>
          </cell>
          <cell r="D517">
            <v>-8.5000000000000006E-2</v>
          </cell>
          <cell r="E517"/>
          <cell r="F517"/>
          <cell r="G517"/>
          <cell r="H517"/>
          <cell r="I517"/>
          <cell r="J517"/>
          <cell r="K517"/>
          <cell r="L517"/>
          <cell r="M517"/>
          <cell r="N517"/>
          <cell r="O517">
            <v>2.1999999999999999E-2</v>
          </cell>
          <cell r="P517">
            <v>0.39500000000000002</v>
          </cell>
          <cell r="Q517">
            <v>0.83699999999999997</v>
          </cell>
          <cell r="R517">
            <v>1.2490000000000001</v>
          </cell>
          <cell r="S517">
            <v>0.52300000000000002</v>
          </cell>
          <cell r="T517">
            <v>0.69499999999999995</v>
          </cell>
          <cell r="U517">
            <v>0.67500000000000004</v>
          </cell>
          <cell r="V517">
            <v>0.88500000000000001</v>
          </cell>
          <cell r="W517">
            <v>1.1060000000000001</v>
          </cell>
          <cell r="X517">
            <v>1.2989999999999999</v>
          </cell>
          <cell r="Y517"/>
          <cell r="Z517"/>
          <cell r="AA517"/>
          <cell r="AB517"/>
          <cell r="AC517"/>
          <cell r="AD517"/>
          <cell r="AE517"/>
          <cell r="AF517"/>
          <cell r="AG517"/>
          <cell r="AH517"/>
          <cell r="AI517">
            <v>1.2869999999999999</v>
          </cell>
          <cell r="AJ517">
            <v>1.5629999999999999</v>
          </cell>
          <cell r="AK517">
            <v>1.635</v>
          </cell>
          <cell r="AL517">
            <v>1.7390000000000001</v>
          </cell>
          <cell r="AM517">
            <v>1.96</v>
          </cell>
          <cell r="AN517"/>
          <cell r="AO517"/>
          <cell r="AP517"/>
          <cell r="AQ517"/>
          <cell r="AR517"/>
          <cell r="AS517"/>
          <cell r="AT517"/>
          <cell r="AU517"/>
          <cell r="AV517"/>
          <cell r="AW517"/>
          <cell r="AX517">
            <v>0.98799999999999999</v>
          </cell>
          <cell r="AY517"/>
          <cell r="AZ517">
            <v>8750</v>
          </cell>
        </row>
        <row r="518">
          <cell r="A518">
            <v>44805</v>
          </cell>
          <cell r="B518">
            <v>1.25</v>
          </cell>
          <cell r="C518">
            <v>0.75</v>
          </cell>
          <cell r="D518">
            <v>0.35499999999999998</v>
          </cell>
          <cell r="E518"/>
          <cell r="F518"/>
          <cell r="G518"/>
          <cell r="H518"/>
          <cell r="I518"/>
          <cell r="J518"/>
          <cell r="K518"/>
          <cell r="L518"/>
          <cell r="M518"/>
          <cell r="N518"/>
          <cell r="O518">
            <v>0.57399999999999995</v>
          </cell>
          <cell r="P518">
            <v>1.0109999999999999</v>
          </cell>
          <cell r="Q518">
            <v>1.5960000000000001</v>
          </cell>
          <cell r="R518">
            <v>2.2330000000000001</v>
          </cell>
          <cell r="S518">
            <v>1.2849999999999999</v>
          </cell>
          <cell r="T518">
            <v>1.532</v>
          </cell>
          <cell r="U518">
            <v>1.4990000000000001</v>
          </cell>
          <cell r="V518">
            <v>1.7030000000000001</v>
          </cell>
          <cell r="W518">
            <v>1.83</v>
          </cell>
          <cell r="X518">
            <v>1.8440000000000001</v>
          </cell>
          <cell r="Y518"/>
          <cell r="Z518"/>
          <cell r="AA518"/>
          <cell r="AB518"/>
          <cell r="AC518"/>
          <cell r="AD518"/>
          <cell r="AE518"/>
          <cell r="AF518"/>
          <cell r="AG518"/>
          <cell r="AH518"/>
          <cell r="AI518">
            <v>2.2410000000000001</v>
          </cell>
          <cell r="AJ518">
            <v>2.5449999999999999</v>
          </cell>
          <cell r="AK518">
            <v>2.573</v>
          </cell>
          <cell r="AL518">
            <v>2.6</v>
          </cell>
          <cell r="AM518">
            <v>2.6829999999999998</v>
          </cell>
          <cell r="AN518"/>
          <cell r="AO518"/>
          <cell r="AP518"/>
          <cell r="AQ518"/>
          <cell r="AR518"/>
          <cell r="AS518"/>
          <cell r="AT518"/>
          <cell r="AU518"/>
          <cell r="AV518"/>
          <cell r="AW518"/>
          <cell r="AX518">
            <v>1.01</v>
          </cell>
          <cell r="AY518"/>
          <cell r="AZ518">
            <v>8810</v>
          </cell>
        </row>
        <row r="519">
          <cell r="A519">
            <v>44835</v>
          </cell>
          <cell r="B519">
            <v>2</v>
          </cell>
          <cell r="C519">
            <v>1.5</v>
          </cell>
          <cell r="D519">
            <v>0.65600000000000003</v>
          </cell>
          <cell r="E519"/>
          <cell r="F519"/>
          <cell r="G519"/>
          <cell r="H519"/>
          <cell r="I519"/>
          <cell r="J519"/>
          <cell r="K519"/>
          <cell r="L519"/>
          <cell r="M519"/>
          <cell r="N519"/>
          <cell r="O519">
            <v>0.91500000000000004</v>
          </cell>
          <cell r="P519">
            <v>1.4279999999999999</v>
          </cell>
          <cell r="Q519">
            <v>1.9970000000000001</v>
          </cell>
          <cell r="R519">
            <v>2.629</v>
          </cell>
          <cell r="S519">
            <v>1.9059999999999999</v>
          </cell>
          <cell r="T519">
            <v>1.893</v>
          </cell>
          <cell r="U519">
            <v>1.8720000000000001</v>
          </cell>
          <cell r="V519">
            <v>2.0289999999999999</v>
          </cell>
          <cell r="W519">
            <v>2.2029999999999998</v>
          </cell>
          <cell r="X519">
            <v>2.2050000000000001</v>
          </cell>
          <cell r="Y519"/>
          <cell r="Z519"/>
          <cell r="AA519"/>
          <cell r="AB519"/>
          <cell r="AC519"/>
          <cell r="AD519"/>
          <cell r="AE519"/>
          <cell r="AF519"/>
          <cell r="AG519"/>
          <cell r="AH519"/>
          <cell r="AI519">
            <v>2.5920000000000001</v>
          </cell>
          <cell r="AJ519">
            <v>2.891</v>
          </cell>
          <cell r="AK519">
            <v>2.9449999999999998</v>
          </cell>
          <cell r="AL519">
            <v>3.0139999999999998</v>
          </cell>
          <cell r="AM519">
            <v>3.129</v>
          </cell>
          <cell r="AN519"/>
          <cell r="AO519"/>
          <cell r="AP519"/>
          <cell r="AQ519"/>
          <cell r="AR519"/>
          <cell r="AS519"/>
          <cell r="AT519"/>
          <cell r="AU519"/>
          <cell r="AV519"/>
          <cell r="AW519"/>
          <cell r="AX519">
            <v>1.016</v>
          </cell>
          <cell r="AY519"/>
          <cell r="AZ519">
            <v>8771</v>
          </cell>
        </row>
        <row r="520">
          <cell r="A520">
            <v>44866</v>
          </cell>
          <cell r="B520">
            <v>2</v>
          </cell>
          <cell r="C520">
            <v>1.5</v>
          </cell>
          <cell r="D520">
            <v>1.3680000000000001</v>
          </cell>
          <cell r="E520"/>
          <cell r="F520"/>
          <cell r="G520"/>
          <cell r="H520"/>
          <cell r="I520"/>
          <cell r="J520"/>
          <cell r="K520"/>
          <cell r="L520"/>
          <cell r="M520"/>
          <cell r="N520"/>
          <cell r="O520">
            <v>1.423</v>
          </cell>
          <cell r="P520">
            <v>1.825</v>
          </cell>
          <cell r="Q520">
            <v>2.3210000000000002</v>
          </cell>
          <cell r="R520">
            <v>2.8279999999999998</v>
          </cell>
          <cell r="S520">
            <v>2.2240000000000002</v>
          </cell>
          <cell r="T520">
            <v>2.1349999999999998</v>
          </cell>
          <cell r="U520">
            <v>2.0179999999999998</v>
          </cell>
          <cell r="V520">
            <v>2.028</v>
          </cell>
          <cell r="W520">
            <v>2.0739999999999998</v>
          </cell>
          <cell r="X520">
            <v>2.0059999999999998</v>
          </cell>
          <cell r="Y520"/>
          <cell r="Z520"/>
          <cell r="AA520"/>
          <cell r="AB520"/>
          <cell r="AC520"/>
          <cell r="AD520"/>
          <cell r="AE520"/>
          <cell r="AF520"/>
          <cell r="AG520"/>
          <cell r="AH520"/>
          <cell r="AI520">
            <v>2.7759999999999998</v>
          </cell>
          <cell r="AJ520">
            <v>2.9129999999999998</v>
          </cell>
          <cell r="AK520">
            <v>2.8519999999999999</v>
          </cell>
          <cell r="AL520">
            <v>2.8</v>
          </cell>
          <cell r="AM520">
            <v>2.8380000000000001</v>
          </cell>
          <cell r="AN520"/>
          <cell r="AO520"/>
          <cell r="AP520"/>
          <cell r="AQ520"/>
          <cell r="AR520"/>
          <cell r="AS520"/>
          <cell r="AT520"/>
          <cell r="AU520"/>
          <cell r="AV520"/>
          <cell r="AW520"/>
          <cell r="AX520">
            <v>0.98</v>
          </cell>
          <cell r="AY520"/>
          <cell r="AZ520">
            <v>8471</v>
          </cell>
        </row>
        <row r="521">
          <cell r="A521">
            <v>44896</v>
          </cell>
          <cell r="B521">
            <v>2.5</v>
          </cell>
          <cell r="C521">
            <v>2</v>
          </cell>
          <cell r="D521">
            <v>1.5680000000000001</v>
          </cell>
          <cell r="E521"/>
          <cell r="F521"/>
          <cell r="G521"/>
          <cell r="H521"/>
          <cell r="I521"/>
          <cell r="J521"/>
          <cell r="K521"/>
          <cell r="L521"/>
          <cell r="M521"/>
          <cell r="N521"/>
          <cell r="O521">
            <v>1.724</v>
          </cell>
          <cell r="P521">
            <v>2.0630000000000002</v>
          </cell>
          <cell r="Q521">
            <v>2.56</v>
          </cell>
          <cell r="R521">
            <v>3.0179999999999998</v>
          </cell>
          <cell r="S521">
            <v>2.3849999999999998</v>
          </cell>
          <cell r="T521">
            <v>2.367</v>
          </cell>
          <cell r="U521">
            <v>2.19</v>
          </cell>
          <cell r="V521">
            <v>2.157</v>
          </cell>
          <cell r="W521">
            <v>2.1339999999999999</v>
          </cell>
          <cell r="X521">
            <v>1.996</v>
          </cell>
          <cell r="Y521"/>
          <cell r="Z521"/>
          <cell r="AA521"/>
          <cell r="AB521"/>
          <cell r="AC521"/>
          <cell r="AD521"/>
          <cell r="AE521"/>
          <cell r="AF521"/>
          <cell r="AG521"/>
          <cell r="AH521"/>
          <cell r="AI521">
            <v>3.0219999999999998</v>
          </cell>
          <cell r="AJ521">
            <v>3.089</v>
          </cell>
          <cell r="AK521">
            <v>2.9809999999999999</v>
          </cell>
          <cell r="AL521">
            <v>2.855</v>
          </cell>
          <cell r="AM521">
            <v>2.81</v>
          </cell>
          <cell r="AN521"/>
          <cell r="AO521"/>
          <cell r="AP521"/>
          <cell r="AQ521"/>
          <cell r="AR521"/>
          <cell r="AS521"/>
          <cell r="AT521"/>
          <cell r="AU521"/>
          <cell r="AV521"/>
          <cell r="AW521"/>
          <cell r="AX521">
            <v>0.94399999999999995</v>
          </cell>
          <cell r="AY521"/>
          <cell r="AZ521">
            <v>7956</v>
          </cell>
        </row>
        <row r="522">
          <cell r="A522">
            <v>44927</v>
          </cell>
          <cell r="B522">
            <v>2.5</v>
          </cell>
          <cell r="C522">
            <v>2</v>
          </cell>
          <cell r="D522">
            <v>1.9019999999999999</v>
          </cell>
          <cell r="E522"/>
          <cell r="F522"/>
          <cell r="G522"/>
          <cell r="H522"/>
          <cell r="I522"/>
          <cell r="J522"/>
          <cell r="K522"/>
          <cell r="L522"/>
          <cell r="M522"/>
          <cell r="N522"/>
          <cell r="O522">
            <v>1.95</v>
          </cell>
          <cell r="P522">
            <v>2.2999999999999998</v>
          </cell>
          <cell r="Q522">
            <v>2.85</v>
          </cell>
          <cell r="R522">
            <v>3.3370000000000002</v>
          </cell>
          <cell r="S522">
            <v>2.7109999999999999</v>
          </cell>
          <cell r="T522">
            <v>2.589</v>
          </cell>
          <cell r="U522">
            <v>2.3580000000000001</v>
          </cell>
          <cell r="V522">
            <v>2.2480000000000002</v>
          </cell>
          <cell r="W522">
            <v>2.218</v>
          </cell>
          <cell r="X522">
            <v>2.1720000000000002</v>
          </cell>
          <cell r="Y522"/>
          <cell r="Z522"/>
          <cell r="AA522"/>
          <cell r="AB522"/>
          <cell r="AC522"/>
          <cell r="AD522"/>
          <cell r="AE522"/>
          <cell r="AF522"/>
          <cell r="AG522"/>
          <cell r="AH522"/>
          <cell r="AI522">
            <v>3.2639999999999998</v>
          </cell>
          <cell r="AJ522">
            <v>3.22</v>
          </cell>
          <cell r="AK522">
            <v>3.04</v>
          </cell>
          <cell r="AL522">
            <v>2.863</v>
          </cell>
          <cell r="AM522">
            <v>2.81</v>
          </cell>
          <cell r="AN522"/>
          <cell r="AO522"/>
          <cell r="AP522"/>
          <cell r="AQ522"/>
          <cell r="AR522"/>
          <cell r="AS522"/>
          <cell r="AT522"/>
          <cell r="AU522"/>
          <cell r="AV522"/>
          <cell r="AW522"/>
          <cell r="AX522">
            <v>0.92800000000000005</v>
          </cell>
          <cell r="AY522"/>
          <cell r="AZ522">
            <v>7894</v>
          </cell>
        </row>
        <row r="523">
          <cell r="A523">
            <v>44958</v>
          </cell>
          <cell r="B523">
            <v>3</v>
          </cell>
          <cell r="C523">
            <v>2.5</v>
          </cell>
          <cell r="D523">
            <v>2.2749999999999999</v>
          </cell>
          <cell r="E523"/>
          <cell r="F523"/>
          <cell r="G523"/>
          <cell r="H523"/>
          <cell r="I523"/>
          <cell r="J523"/>
          <cell r="K523"/>
          <cell r="L523"/>
          <cell r="M523"/>
          <cell r="N523"/>
          <cell r="O523">
            <v>2.3690000000000002</v>
          </cell>
          <cell r="P523">
            <v>2.64</v>
          </cell>
          <cell r="Q523">
            <v>3.1349999999999998</v>
          </cell>
          <cell r="R523">
            <v>3.5339999999999998</v>
          </cell>
          <cell r="S523">
            <v>2.96</v>
          </cell>
          <cell r="T523">
            <v>2.8210000000000002</v>
          </cell>
          <cell r="U523">
            <v>2.5720000000000001</v>
          </cell>
          <cell r="V523">
            <v>2.46</v>
          </cell>
          <cell r="W523">
            <v>2.41</v>
          </cell>
          <cell r="X523">
            <v>2.3740000000000001</v>
          </cell>
          <cell r="Y523"/>
          <cell r="Z523"/>
          <cell r="AA523"/>
          <cell r="AB523"/>
          <cell r="AC523"/>
          <cell r="AD523"/>
          <cell r="AE523"/>
          <cell r="AF523"/>
          <cell r="AG523"/>
          <cell r="AH523"/>
          <cell r="AI523">
            <v>3.5089999999999999</v>
          </cell>
          <cell r="AJ523">
            <v>3.4489999999999998</v>
          </cell>
          <cell r="AK523">
            <v>3.27</v>
          </cell>
          <cell r="AL523">
            <v>3.07</v>
          </cell>
          <cell r="AM523">
            <v>2.9710000000000001</v>
          </cell>
          <cell r="AN523"/>
          <cell r="AO523"/>
          <cell r="AP523"/>
          <cell r="AQ523"/>
          <cell r="AR523"/>
          <cell r="AS523"/>
          <cell r="AT523"/>
          <cell r="AU523"/>
          <cell r="AV523"/>
          <cell r="AW523"/>
          <cell r="AX523">
            <v>0.93400000000000005</v>
          </cell>
          <cell r="AY523"/>
          <cell r="AZ523">
            <v>7839</v>
          </cell>
        </row>
        <row r="524">
          <cell r="A524">
            <v>44986</v>
          </cell>
          <cell r="B524">
            <v>3.5</v>
          </cell>
          <cell r="C524">
            <v>3</v>
          </cell>
          <cell r="D524">
            <v>2.5720000000000001</v>
          </cell>
          <cell r="E524"/>
          <cell r="F524"/>
          <cell r="G524"/>
          <cell r="H524"/>
          <cell r="I524"/>
          <cell r="J524"/>
          <cell r="K524"/>
          <cell r="L524"/>
          <cell r="M524"/>
          <cell r="N524"/>
          <cell r="O524">
            <v>2.71</v>
          </cell>
          <cell r="P524">
            <v>2.911</v>
          </cell>
          <cell r="Q524">
            <v>3.2669999999999999</v>
          </cell>
          <cell r="R524">
            <v>3.6469999999999998</v>
          </cell>
          <cell r="S524">
            <v>3.0249999999999999</v>
          </cell>
          <cell r="T524">
            <v>2.8159999999999998</v>
          </cell>
          <cell r="U524">
            <v>2.613</v>
          </cell>
          <cell r="V524">
            <v>2.4569999999999999</v>
          </cell>
          <cell r="W524">
            <v>2.4</v>
          </cell>
          <cell r="X524">
            <v>2.4079999999999999</v>
          </cell>
          <cell r="Y524"/>
          <cell r="Z524"/>
          <cell r="AA524"/>
          <cell r="AB524"/>
          <cell r="AC524"/>
          <cell r="AD524"/>
          <cell r="AE524"/>
          <cell r="AF524"/>
          <cell r="AG524"/>
          <cell r="AH524"/>
          <cell r="AI524">
            <v>3.573</v>
          </cell>
          <cell r="AJ524">
            <v>3.516</v>
          </cell>
          <cell r="AK524">
            <v>3.3530000000000002</v>
          </cell>
          <cell r="AL524">
            <v>3.1579999999999999</v>
          </cell>
          <cell r="AM524">
            <v>3.0470000000000002</v>
          </cell>
          <cell r="AN524"/>
          <cell r="AO524"/>
          <cell r="AP524"/>
          <cell r="AQ524"/>
          <cell r="AR524"/>
          <cell r="AS524"/>
          <cell r="AT524"/>
          <cell r="AU524"/>
          <cell r="AV524"/>
          <cell r="AW524"/>
          <cell r="AX524">
            <v>0.93400000000000005</v>
          </cell>
          <cell r="AY524"/>
          <cell r="AZ524">
            <v>7730</v>
          </cell>
        </row>
        <row r="525">
          <cell r="A525">
            <v>45017</v>
          </cell>
          <cell r="B525">
            <v>3.5</v>
          </cell>
          <cell r="C525">
            <v>3</v>
          </cell>
          <cell r="D525">
            <v>2.9</v>
          </cell>
          <cell r="E525"/>
          <cell r="F525"/>
          <cell r="G525"/>
          <cell r="H525"/>
          <cell r="I525"/>
          <cell r="J525"/>
          <cell r="K525"/>
          <cell r="L525"/>
          <cell r="M525"/>
          <cell r="N525"/>
          <cell r="O525">
            <v>2.9609999999999999</v>
          </cell>
          <cell r="P525">
            <v>3.1789999999999998</v>
          </cell>
          <cell r="Q525">
            <v>3.516</v>
          </cell>
          <cell r="R525">
            <v>3.7570000000000001</v>
          </cell>
          <cell r="S525">
            <v>3.145</v>
          </cell>
          <cell r="T525">
            <v>2.7650000000000001</v>
          </cell>
          <cell r="U525">
            <v>2.5299999999999998</v>
          </cell>
          <cell r="V525">
            <v>2.3780000000000001</v>
          </cell>
          <cell r="W525">
            <v>2.359</v>
          </cell>
          <cell r="X525">
            <v>2.4350000000000001</v>
          </cell>
          <cell r="Y525"/>
          <cell r="Z525"/>
          <cell r="AA525"/>
          <cell r="AB525"/>
          <cell r="AC525"/>
          <cell r="AD525"/>
          <cell r="AE525"/>
          <cell r="AF525"/>
          <cell r="AG525"/>
          <cell r="AH525"/>
          <cell r="AI525">
            <v>3.7</v>
          </cell>
          <cell r="AJ525">
            <v>3.4710000000000001</v>
          </cell>
          <cell r="AK525">
            <v>3.27</v>
          </cell>
          <cell r="AL525">
            <v>3.08</v>
          </cell>
          <cell r="AM525">
            <v>3.0019999999999998</v>
          </cell>
          <cell r="AN525"/>
          <cell r="AO525"/>
          <cell r="AP525"/>
          <cell r="AQ525"/>
          <cell r="AR525"/>
          <cell r="AS525"/>
          <cell r="AT525"/>
          <cell r="AU525"/>
          <cell r="AV525"/>
          <cell r="AW525"/>
          <cell r="AX525">
            <v>0.91200000000000003</v>
          </cell>
          <cell r="AY525"/>
          <cell r="AZ525">
            <v>7720</v>
          </cell>
        </row>
        <row r="526">
          <cell r="A526">
            <v>45047</v>
          </cell>
          <cell r="B526">
            <v>3.75</v>
          </cell>
          <cell r="C526">
            <v>3.25</v>
          </cell>
          <cell r="D526">
            <v>3.08</v>
          </cell>
          <cell r="E526"/>
          <cell r="F526"/>
          <cell r="G526"/>
          <cell r="H526"/>
          <cell r="I526"/>
          <cell r="J526"/>
          <cell r="K526"/>
          <cell r="L526"/>
          <cell r="M526"/>
          <cell r="N526"/>
          <cell r="O526">
            <v>3.1520000000000001</v>
          </cell>
          <cell r="P526">
            <v>3.3719999999999999</v>
          </cell>
          <cell r="Q526">
            <v>3.6819999999999999</v>
          </cell>
          <cell r="R526">
            <v>3.8620000000000001</v>
          </cell>
          <cell r="S526">
            <v>3.125</v>
          </cell>
          <cell r="T526">
            <v>2.7029999999999998</v>
          </cell>
          <cell r="U526">
            <v>2.4969999999999999</v>
          </cell>
          <cell r="V526">
            <v>2.33</v>
          </cell>
          <cell r="W526">
            <v>2.3540000000000001</v>
          </cell>
          <cell r="X526">
            <v>2.5190000000000001</v>
          </cell>
          <cell r="Y526"/>
          <cell r="Z526"/>
          <cell r="AA526"/>
          <cell r="AB526"/>
          <cell r="AC526"/>
          <cell r="AD526"/>
          <cell r="AE526"/>
          <cell r="AF526"/>
          <cell r="AG526"/>
          <cell r="AH526"/>
          <cell r="AI526">
            <v>3.8119999999999998</v>
          </cell>
          <cell r="AJ526">
            <v>3.4940000000000002</v>
          </cell>
          <cell r="AK526">
            <v>3.2629999999999999</v>
          </cell>
          <cell r="AL526">
            <v>3.0640000000000001</v>
          </cell>
          <cell r="AM526">
            <v>3.0150000000000001</v>
          </cell>
          <cell r="AN526"/>
          <cell r="AO526"/>
          <cell r="AP526"/>
          <cell r="AQ526"/>
          <cell r="AR526"/>
          <cell r="AS526"/>
          <cell r="AT526"/>
          <cell r="AU526"/>
          <cell r="AV526"/>
          <cell r="AW526"/>
          <cell r="AX526">
            <v>0.92100000000000004</v>
          </cell>
          <cell r="AY526"/>
          <cell r="AZ526">
            <v>7714</v>
          </cell>
        </row>
        <row r="527">
          <cell r="A527">
            <v>45078</v>
          </cell>
          <cell r="B527">
            <v>4</v>
          </cell>
          <cell r="C527">
            <v>3.5</v>
          </cell>
          <cell r="D527">
            <v>3.238</v>
          </cell>
          <cell r="E527"/>
          <cell r="F527"/>
          <cell r="G527"/>
          <cell r="H527"/>
          <cell r="I527"/>
          <cell r="J527"/>
          <cell r="K527"/>
          <cell r="L527"/>
          <cell r="M527"/>
          <cell r="N527"/>
          <cell r="O527">
            <v>3.343</v>
          </cell>
          <cell r="P527">
            <v>3.536</v>
          </cell>
          <cell r="Q527">
            <v>3.8250000000000002</v>
          </cell>
          <cell r="R527">
            <v>4.0069999999999997</v>
          </cell>
          <cell r="S527">
            <v>3.4580000000000002</v>
          </cell>
          <cell r="T527">
            <v>3.0289999999999999</v>
          </cell>
          <cell r="U527">
            <v>2.718</v>
          </cell>
          <cell r="V527">
            <v>2.4849999999999999</v>
          </cell>
          <cell r="W527">
            <v>2.399</v>
          </cell>
          <cell r="X527">
            <v>2.4990000000000001</v>
          </cell>
          <cell r="Y527"/>
          <cell r="Z527"/>
          <cell r="AA527"/>
          <cell r="AB527"/>
          <cell r="AC527"/>
          <cell r="AD527"/>
          <cell r="AE527"/>
          <cell r="AF527"/>
          <cell r="AG527"/>
          <cell r="AH527"/>
          <cell r="AI527">
            <v>3.9740000000000002</v>
          </cell>
          <cell r="AJ527">
            <v>3.714</v>
          </cell>
          <cell r="AK527">
            <v>3.464</v>
          </cell>
          <cell r="AL527">
            <v>3.173</v>
          </cell>
          <cell r="AM527">
            <v>3.008</v>
          </cell>
          <cell r="AN527"/>
          <cell r="AO527"/>
          <cell r="AP527"/>
          <cell r="AQ527"/>
          <cell r="AR527"/>
          <cell r="AS527"/>
          <cell r="AT527"/>
          <cell r="AU527"/>
          <cell r="AV527"/>
          <cell r="AW527"/>
          <cell r="AX527">
            <v>0.92200000000000004</v>
          </cell>
          <cell r="AY527"/>
          <cell r="AZ527">
            <v>7220</v>
          </cell>
        </row>
        <row r="528">
          <cell r="A528">
            <v>45108</v>
          </cell>
          <cell r="B528">
            <v>4.25</v>
          </cell>
          <cell r="C528">
            <v>3.75</v>
          </cell>
          <cell r="D528">
            <v>3.4020000000000001</v>
          </cell>
          <cell r="E528"/>
          <cell r="F528"/>
          <cell r="G528"/>
          <cell r="H528"/>
          <cell r="I528"/>
          <cell r="J528"/>
          <cell r="K528"/>
          <cell r="L528"/>
          <cell r="M528"/>
          <cell r="N528"/>
          <cell r="O528">
            <v>3.4689999999999999</v>
          </cell>
          <cell r="P528">
            <v>3.6720000000000002</v>
          </cell>
          <cell r="Q528">
            <v>3.9420000000000002</v>
          </cell>
          <cell r="R528">
            <v>4.149</v>
          </cell>
          <cell r="S528">
            <v>3.669</v>
          </cell>
          <cell r="T528">
            <v>3.1629999999999998</v>
          </cell>
          <cell r="U528">
            <v>2.843</v>
          </cell>
          <cell r="V528">
            <v>2.6</v>
          </cell>
          <cell r="W528">
            <v>2.5030000000000001</v>
          </cell>
          <cell r="X528">
            <v>2.5259999999999998</v>
          </cell>
          <cell r="Y528"/>
          <cell r="Z528"/>
          <cell r="AA528"/>
          <cell r="AB528"/>
          <cell r="AC528"/>
          <cell r="AD528"/>
          <cell r="AE528"/>
          <cell r="AF528"/>
          <cell r="AG528"/>
          <cell r="AH528"/>
          <cell r="AI528">
            <v>4.0869999999999997</v>
          </cell>
          <cell r="AJ528">
            <v>3.84</v>
          </cell>
          <cell r="AK528">
            <v>3.59</v>
          </cell>
          <cell r="AL528">
            <v>3.2959999999999998</v>
          </cell>
          <cell r="AM528">
            <v>3.105</v>
          </cell>
          <cell r="AN528"/>
          <cell r="AO528"/>
          <cell r="AP528"/>
          <cell r="AQ528"/>
          <cell r="AR528"/>
          <cell r="AS528"/>
          <cell r="AT528"/>
          <cell r="AU528"/>
          <cell r="AV528"/>
          <cell r="AW528"/>
          <cell r="AX528">
            <v>0.90500000000000003</v>
          </cell>
          <cell r="AY528"/>
          <cell r="AZ528">
            <v>7189</v>
          </cell>
        </row>
        <row r="529">
          <cell r="A529">
            <v>45139</v>
          </cell>
          <cell r="B529">
            <v>4.25</v>
          </cell>
          <cell r="C529">
            <v>3.75</v>
          </cell>
          <cell r="D529">
            <v>3.6419999999999999</v>
          </cell>
          <cell r="E529"/>
          <cell r="F529"/>
          <cell r="G529"/>
          <cell r="H529"/>
          <cell r="I529"/>
          <cell r="J529"/>
          <cell r="K529"/>
          <cell r="L529"/>
          <cell r="M529"/>
          <cell r="N529"/>
          <cell r="O529">
            <v>3.6269999999999998</v>
          </cell>
          <cell r="P529">
            <v>3.78</v>
          </cell>
          <cell r="Q529">
            <v>3.944</v>
          </cell>
          <cell r="R529">
            <v>4.0730000000000004</v>
          </cell>
          <cell r="S529">
            <v>3.5779999999999998</v>
          </cell>
          <cell r="T529">
            <v>3.0329999999999999</v>
          </cell>
          <cell r="U529">
            <v>2.77</v>
          </cell>
          <cell r="V529">
            <v>2.5910000000000002</v>
          </cell>
          <cell r="W529">
            <v>2.5779999999999998</v>
          </cell>
          <cell r="X529">
            <v>2.67</v>
          </cell>
          <cell r="Y529"/>
          <cell r="Z529"/>
          <cell r="AA529"/>
          <cell r="AB529"/>
          <cell r="AC529"/>
          <cell r="AD529"/>
          <cell r="AE529"/>
          <cell r="AF529"/>
          <cell r="AG529"/>
          <cell r="AH529"/>
          <cell r="AI529">
            <v>4.0199999999999996</v>
          </cell>
          <cell r="AJ529">
            <v>3.722</v>
          </cell>
          <cell r="AK529">
            <v>3.4929999999999999</v>
          </cell>
          <cell r="AL529">
            <v>3.2669999999999999</v>
          </cell>
          <cell r="AM529">
            <v>3.169</v>
          </cell>
          <cell r="AN529"/>
          <cell r="AO529"/>
          <cell r="AP529"/>
          <cell r="AQ529"/>
          <cell r="AR529"/>
          <cell r="AS529"/>
          <cell r="AT529"/>
          <cell r="AU529"/>
          <cell r="AV529"/>
          <cell r="AW529"/>
          <cell r="AX529">
            <v>0.91700000000000004</v>
          </cell>
          <cell r="AY529"/>
          <cell r="AZ529">
            <v>7155</v>
          </cell>
        </row>
        <row r="530">
          <cell r="A530">
            <v>45170</v>
          </cell>
          <cell r="B530">
            <v>4.5</v>
          </cell>
          <cell r="C530">
            <v>4</v>
          </cell>
          <cell r="D530">
            <v>3.7469999999999999</v>
          </cell>
          <cell r="E530"/>
          <cell r="F530"/>
          <cell r="G530"/>
          <cell r="H530"/>
          <cell r="I530"/>
          <cell r="J530"/>
          <cell r="K530"/>
          <cell r="L530"/>
          <cell r="M530"/>
          <cell r="N530"/>
          <cell r="O530">
            <v>3.758</v>
          </cell>
          <cell r="P530">
            <v>3.88</v>
          </cell>
          <cell r="Q530">
            <v>4.03</v>
          </cell>
          <cell r="R530">
            <v>4.149</v>
          </cell>
          <cell r="S530">
            <v>3.6629999999999998</v>
          </cell>
          <cell r="T530">
            <v>3.173</v>
          </cell>
          <cell r="U530">
            <v>2.883</v>
          </cell>
          <cell r="V530">
            <v>2.6960000000000002</v>
          </cell>
          <cell r="W530">
            <v>2.698</v>
          </cell>
          <cell r="X530">
            <v>2.843</v>
          </cell>
          <cell r="Y530"/>
          <cell r="Z530"/>
          <cell r="AA530"/>
          <cell r="AB530"/>
          <cell r="AC530"/>
          <cell r="AD530"/>
          <cell r="AE530"/>
          <cell r="AF530"/>
          <cell r="AG530"/>
          <cell r="AH530"/>
          <cell r="AI530">
            <v>4.0839999999999996</v>
          </cell>
          <cell r="AJ530">
            <v>3.7639999999999998</v>
          </cell>
          <cell r="AK530">
            <v>3.532</v>
          </cell>
          <cell r="AL530">
            <v>3.319</v>
          </cell>
          <cell r="AM530">
            <v>3.2429999999999999</v>
          </cell>
          <cell r="AN530"/>
          <cell r="AO530"/>
          <cell r="AP530"/>
          <cell r="AQ530"/>
          <cell r="AR530"/>
          <cell r="AS530"/>
          <cell r="AT530"/>
          <cell r="AU530"/>
          <cell r="AV530"/>
          <cell r="AW530"/>
          <cell r="AX530">
            <v>0.93700000000000006</v>
          </cell>
          <cell r="AY530"/>
          <cell r="AZ530">
            <v>7066</v>
          </cell>
        </row>
        <row r="531">
          <cell r="A531">
            <v>45200</v>
          </cell>
          <cell r="B531">
            <v>4.5</v>
          </cell>
          <cell r="C531">
            <v>4</v>
          </cell>
          <cell r="D531">
            <v>3.9009999999999998</v>
          </cell>
          <cell r="E531"/>
          <cell r="F531"/>
          <cell r="G531"/>
          <cell r="H531"/>
          <cell r="I531"/>
          <cell r="J531"/>
          <cell r="K531"/>
          <cell r="L531"/>
          <cell r="M531"/>
          <cell r="N531"/>
          <cell r="O531">
            <v>3.8610000000000002</v>
          </cell>
          <cell r="P531">
            <v>3.968</v>
          </cell>
          <cell r="Q531">
            <v>4.1150000000000002</v>
          </cell>
          <cell r="R531">
            <v>4.16</v>
          </cell>
          <cell r="S531">
            <v>3.68</v>
          </cell>
          <cell r="T531">
            <v>3.129</v>
          </cell>
          <cell r="U531">
            <v>2.8889999999999998</v>
          </cell>
          <cell r="V531">
            <v>2.7450000000000001</v>
          </cell>
          <cell r="W531">
            <v>2.8490000000000002</v>
          </cell>
          <cell r="X531">
            <v>3.0710000000000002</v>
          </cell>
          <cell r="Y531"/>
          <cell r="Z531"/>
          <cell r="AA531"/>
          <cell r="AB531"/>
          <cell r="AC531"/>
          <cell r="AD531"/>
          <cell r="AE531"/>
          <cell r="AF531"/>
          <cell r="AG531"/>
          <cell r="AH531"/>
          <cell r="AI531">
            <v>4.101</v>
          </cell>
          <cell r="AJ531">
            <v>3.742</v>
          </cell>
          <cell r="AK531">
            <v>3.53</v>
          </cell>
          <cell r="AL531">
            <v>3.3809999999999998</v>
          </cell>
          <cell r="AM531">
            <v>3.4089999999999998</v>
          </cell>
          <cell r="AN531"/>
          <cell r="AO531"/>
          <cell r="AP531"/>
          <cell r="AQ531"/>
          <cell r="AR531"/>
          <cell r="AS531"/>
          <cell r="AT531"/>
          <cell r="AU531"/>
          <cell r="AV531"/>
          <cell r="AW531"/>
          <cell r="AX531">
            <v>0.94699999999999995</v>
          </cell>
          <cell r="AY531"/>
          <cell r="AZ531">
            <v>7020</v>
          </cell>
        </row>
        <row r="532">
          <cell r="A532">
            <v>45231</v>
          </cell>
          <cell r="B532">
            <v>4.5</v>
          </cell>
          <cell r="C532">
            <v>4</v>
          </cell>
          <cell r="D532">
            <v>3.9020000000000001</v>
          </cell>
          <cell r="E532"/>
          <cell r="F532"/>
          <cell r="G532"/>
          <cell r="H532"/>
          <cell r="I532"/>
          <cell r="J532"/>
          <cell r="K532"/>
          <cell r="L532"/>
          <cell r="M532"/>
          <cell r="N532"/>
          <cell r="O532">
            <v>3.8410000000000002</v>
          </cell>
          <cell r="P532">
            <v>3.972</v>
          </cell>
          <cell r="Q532">
            <v>4.0650000000000004</v>
          </cell>
          <cell r="R532">
            <v>4.0220000000000002</v>
          </cell>
          <cell r="S532">
            <v>3.6040000000000001</v>
          </cell>
          <cell r="T532">
            <v>2.99</v>
          </cell>
          <cell r="U532">
            <v>2.7410000000000001</v>
          </cell>
          <cell r="V532">
            <v>2.5529999999999999</v>
          </cell>
          <cell r="W532">
            <v>2.6160000000000001</v>
          </cell>
          <cell r="X532">
            <v>2.8420000000000001</v>
          </cell>
          <cell r="Y532"/>
          <cell r="Z532"/>
          <cell r="AA532"/>
          <cell r="AB532"/>
          <cell r="AC532"/>
          <cell r="AD532"/>
          <cell r="AE532"/>
          <cell r="AF532"/>
          <cell r="AG532"/>
          <cell r="AH532"/>
          <cell r="AI532">
            <v>3.9580000000000002</v>
          </cell>
          <cell r="AJ532">
            <v>3.4980000000000002</v>
          </cell>
          <cell r="AK532">
            <v>3.2549999999999999</v>
          </cell>
          <cell r="AL532">
            <v>3.093</v>
          </cell>
          <cell r="AM532">
            <v>3.1080000000000001</v>
          </cell>
          <cell r="AN532"/>
          <cell r="AO532"/>
          <cell r="AP532"/>
          <cell r="AQ532"/>
          <cell r="AR532"/>
          <cell r="AS532"/>
          <cell r="AT532"/>
          <cell r="AU532"/>
          <cell r="AV532"/>
          <cell r="AW532"/>
          <cell r="AX532">
            <v>0.92500000000000004</v>
          </cell>
          <cell r="AY532"/>
          <cell r="AZ532">
            <v>6996</v>
          </cell>
        </row>
        <row r="533">
          <cell r="A533">
            <v>45261</v>
          </cell>
          <cell r="B533">
            <v>4.5</v>
          </cell>
          <cell r="C533">
            <v>4</v>
          </cell>
          <cell r="D533">
            <v>3.9020000000000001</v>
          </cell>
          <cell r="E533"/>
          <cell r="F533"/>
          <cell r="G533"/>
          <cell r="H533"/>
          <cell r="I533"/>
          <cell r="J533"/>
          <cell r="K533"/>
          <cell r="L533"/>
          <cell r="M533"/>
          <cell r="N533"/>
          <cell r="O533">
            <v>3.8580000000000001</v>
          </cell>
          <cell r="P533">
            <v>3.9350000000000001</v>
          </cell>
          <cell r="Q533">
            <v>3.927</v>
          </cell>
          <cell r="R533">
            <v>3.6789999999999998</v>
          </cell>
          <cell r="S533">
            <v>3.2749999999999999</v>
          </cell>
          <cell r="T533">
            <v>2.5539999999999998</v>
          </cell>
          <cell r="U533">
            <v>2.2749999999999999</v>
          </cell>
          <cell r="V533">
            <v>2.0710000000000002</v>
          </cell>
          <cell r="W533">
            <v>2.1139999999999999</v>
          </cell>
          <cell r="X533">
            <v>2.3220000000000001</v>
          </cell>
          <cell r="Y533"/>
          <cell r="Z533"/>
          <cell r="AA533"/>
          <cell r="AB533"/>
          <cell r="AC533"/>
          <cell r="AD533"/>
          <cell r="AE533"/>
          <cell r="AF533"/>
          <cell r="AG533"/>
          <cell r="AH533"/>
          <cell r="AI533">
            <v>3.5779999999999998</v>
          </cell>
          <cell r="AJ533">
            <v>2.9860000000000002</v>
          </cell>
          <cell r="AK533">
            <v>2.7320000000000002</v>
          </cell>
          <cell r="AL533">
            <v>2.573</v>
          </cell>
          <cell r="AM533">
            <v>2.5990000000000002</v>
          </cell>
          <cell r="AN533"/>
          <cell r="AO533"/>
          <cell r="AP533"/>
          <cell r="AQ533"/>
          <cell r="AR533"/>
          <cell r="AS533"/>
          <cell r="AT533"/>
          <cell r="AU533"/>
          <cell r="AV533"/>
          <cell r="AW533"/>
          <cell r="AX533">
            <v>0.91600000000000004</v>
          </cell>
          <cell r="AY533"/>
          <cell r="AZ533">
            <v>6935</v>
          </cell>
        </row>
        <row r="534">
          <cell r="A534">
            <v>45292</v>
          </cell>
          <cell r="B534">
            <v>4.5</v>
          </cell>
          <cell r="C534">
            <v>4</v>
          </cell>
          <cell r="D534">
            <v>3.9039999999999999</v>
          </cell>
          <cell r="E534"/>
          <cell r="F534"/>
          <cell r="G534"/>
          <cell r="H534"/>
          <cell r="I534"/>
          <cell r="J534"/>
          <cell r="K534"/>
          <cell r="L534"/>
          <cell r="M534"/>
          <cell r="N534"/>
          <cell r="O534">
            <v>3.8690000000000002</v>
          </cell>
          <cell r="P534">
            <v>3.9249999999999998</v>
          </cell>
          <cell r="Q534">
            <v>3.8919999999999999</v>
          </cell>
          <cell r="R534">
            <v>3.609</v>
          </cell>
          <cell r="S534">
            <v>3.3010000000000002</v>
          </cell>
          <cell r="T534">
            <v>2.5880000000000001</v>
          </cell>
          <cell r="U534">
            <v>2.27</v>
          </cell>
          <cell r="V534">
            <v>2.14</v>
          </cell>
          <cell r="W534">
            <v>2.2210000000000001</v>
          </cell>
          <cell r="X534">
            <v>2.4300000000000002</v>
          </cell>
          <cell r="Y534"/>
          <cell r="Z534"/>
          <cell r="AA534"/>
          <cell r="AB534"/>
          <cell r="AC534"/>
          <cell r="AD534"/>
          <cell r="AE534"/>
          <cell r="AF534"/>
          <cell r="AG534"/>
          <cell r="AH534"/>
          <cell r="AI534">
            <v>3.5369999999999999</v>
          </cell>
          <cell r="AJ534">
            <v>2.9510000000000001</v>
          </cell>
          <cell r="AK534">
            <v>2.7250000000000001</v>
          </cell>
          <cell r="AL534">
            <v>2.5979999999999999</v>
          </cell>
          <cell r="AM534">
            <v>2.641</v>
          </cell>
          <cell r="AN534"/>
          <cell r="AO534"/>
          <cell r="AP534"/>
          <cell r="AQ534"/>
          <cell r="AR534"/>
          <cell r="AS534"/>
          <cell r="AT534"/>
          <cell r="AU534"/>
          <cell r="AV534"/>
          <cell r="AW534"/>
          <cell r="AX534">
            <v>0.91700000000000004</v>
          </cell>
          <cell r="AY534"/>
          <cell r="AZ534">
            <v>6888</v>
          </cell>
        </row>
        <row r="535">
          <cell r="A535">
            <v>45323</v>
          </cell>
          <cell r="B535">
            <v>4.5</v>
          </cell>
          <cell r="C535">
            <v>4</v>
          </cell>
          <cell r="D535">
            <v>3.907</v>
          </cell>
          <cell r="E535"/>
          <cell r="F535"/>
          <cell r="G535"/>
          <cell r="H535"/>
          <cell r="I535"/>
          <cell r="J535"/>
          <cell r="K535"/>
          <cell r="L535"/>
          <cell r="M535"/>
          <cell r="N535"/>
          <cell r="O535">
            <v>3.8679999999999999</v>
          </cell>
          <cell r="P535">
            <v>3.923</v>
          </cell>
          <cell r="Q535">
            <v>3.9009999999999998</v>
          </cell>
          <cell r="R535">
            <v>3.6709999999999998</v>
          </cell>
          <cell r="S535">
            <v>3.375</v>
          </cell>
          <cell r="T535">
            <v>2.7559999999999998</v>
          </cell>
          <cell r="U535">
            <v>2.4780000000000002</v>
          </cell>
          <cell r="V535">
            <v>2.3340000000000001</v>
          </cell>
          <cell r="W535">
            <v>2.367</v>
          </cell>
          <cell r="X535">
            <v>2.5369999999999999</v>
          </cell>
          <cell r="Y535"/>
          <cell r="Z535"/>
          <cell r="AA535"/>
          <cell r="AB535"/>
          <cell r="AC535"/>
          <cell r="AD535"/>
          <cell r="AE535"/>
          <cell r="AF535"/>
          <cell r="AG535"/>
          <cell r="AH535"/>
          <cell r="AI535">
            <v>3.6480000000000001</v>
          </cell>
          <cell r="AJ535">
            <v>3.137</v>
          </cell>
          <cell r="AK535">
            <v>2.911</v>
          </cell>
          <cell r="AL535">
            <v>2.7450000000000001</v>
          </cell>
          <cell r="AM535">
            <v>2.7250000000000001</v>
          </cell>
          <cell r="AN535"/>
          <cell r="AO535"/>
          <cell r="AP535"/>
          <cell r="AQ535"/>
          <cell r="AR535"/>
          <cell r="AS535"/>
          <cell r="AT535"/>
          <cell r="AU535"/>
          <cell r="AV535"/>
          <cell r="AW535"/>
          <cell r="AX535">
            <v>0.92700000000000005</v>
          </cell>
          <cell r="AY535"/>
          <cell r="AZ535">
            <v>6831</v>
          </cell>
        </row>
        <row r="536">
          <cell r="A536">
            <v>45352</v>
          </cell>
          <cell r="B536">
            <v>4.5</v>
          </cell>
          <cell r="C536">
            <v>4</v>
          </cell>
          <cell r="D536">
            <v>3.907</v>
          </cell>
          <cell r="E536"/>
          <cell r="F536"/>
          <cell r="G536"/>
          <cell r="H536"/>
          <cell r="I536"/>
          <cell r="J536"/>
          <cell r="K536"/>
          <cell r="L536"/>
          <cell r="M536"/>
          <cell r="N536"/>
          <cell r="O536">
            <v>3.8530000000000002</v>
          </cell>
          <cell r="P536">
            <v>3.923</v>
          </cell>
          <cell r="Q536">
            <v>3.895</v>
          </cell>
          <cell r="R536">
            <v>3.718</v>
          </cell>
          <cell r="S536">
            <v>3.4039999999999999</v>
          </cell>
          <cell r="T536">
            <v>2.87</v>
          </cell>
          <cell r="U536">
            <v>2.5510000000000002</v>
          </cell>
          <cell r="V536">
            <v>2.3820000000000001</v>
          </cell>
          <cell r="W536">
            <v>2.3610000000000002</v>
          </cell>
          <cell r="X536">
            <v>2.5129999999999999</v>
          </cell>
          <cell r="Y536"/>
          <cell r="Z536"/>
          <cell r="AA536"/>
          <cell r="AB536"/>
          <cell r="AC536"/>
          <cell r="AD536"/>
          <cell r="AE536"/>
          <cell r="AF536"/>
          <cell r="AG536"/>
          <cell r="AH536"/>
          <cell r="AI536">
            <v>3.657</v>
          </cell>
          <cell r="AJ536">
            <v>3.1789999999999998</v>
          </cell>
          <cell r="AK536">
            <v>2.9340000000000002</v>
          </cell>
          <cell r="AL536">
            <v>2.72</v>
          </cell>
          <cell r="AM536">
            <v>2.6429999999999998</v>
          </cell>
          <cell r="AN536"/>
          <cell r="AO536"/>
          <cell r="AP536"/>
          <cell r="AQ536"/>
          <cell r="AR536"/>
          <cell r="AS536"/>
          <cell r="AT536"/>
          <cell r="AU536"/>
          <cell r="AV536"/>
          <cell r="AW536"/>
          <cell r="AX536">
            <v>0.92</v>
          </cell>
          <cell r="AY536"/>
          <cell r="AZ536">
            <v>6620</v>
          </cell>
        </row>
        <row r="537">
          <cell r="A537">
            <v>45383</v>
          </cell>
          <cell r="B537">
            <v>4.5</v>
          </cell>
          <cell r="C537">
            <v>4</v>
          </cell>
          <cell r="D537">
            <v>3.9079999999999999</v>
          </cell>
          <cell r="E537"/>
          <cell r="F537"/>
          <cell r="G537"/>
          <cell r="H537"/>
          <cell r="I537"/>
          <cell r="J537"/>
          <cell r="K537"/>
          <cell r="L537"/>
          <cell r="M537"/>
          <cell r="N537"/>
          <cell r="O537">
            <v>3.8530000000000002</v>
          </cell>
          <cell r="P537">
            <v>3.8849999999999998</v>
          </cell>
          <cell r="Q537">
            <v>3.8380000000000001</v>
          </cell>
          <cell r="R537">
            <v>3.7029999999999998</v>
          </cell>
          <cell r="S537">
            <v>3.3849999999999998</v>
          </cell>
          <cell r="T537">
            <v>2.9359999999999999</v>
          </cell>
          <cell r="U537">
            <v>2.6379999999999999</v>
          </cell>
          <cell r="V537">
            <v>2.4790000000000001</v>
          </cell>
          <cell r="W537">
            <v>2.472</v>
          </cell>
          <cell r="X537">
            <v>2.6139999999999999</v>
          </cell>
          <cell r="Y537"/>
          <cell r="Z537"/>
          <cell r="AA537"/>
          <cell r="AB537"/>
          <cell r="AC537"/>
          <cell r="AD537"/>
          <cell r="AE537"/>
          <cell r="AF537"/>
          <cell r="AG537"/>
          <cell r="AH537"/>
          <cell r="AI537">
            <v>3.6520000000000001</v>
          </cell>
          <cell r="AJ537">
            <v>3.2679999999999998</v>
          </cell>
          <cell r="AK537">
            <v>3.0539999999999998</v>
          </cell>
          <cell r="AL537">
            <v>2.8439999999999999</v>
          </cell>
          <cell r="AM537">
            <v>2.7650000000000001</v>
          </cell>
          <cell r="AN537"/>
          <cell r="AO537"/>
          <cell r="AP537"/>
          <cell r="AQ537"/>
          <cell r="AR537"/>
          <cell r="AS537"/>
          <cell r="AT537"/>
          <cell r="AU537"/>
          <cell r="AV537"/>
          <cell r="AW537"/>
          <cell r="AX537">
            <v>0.93300000000000005</v>
          </cell>
          <cell r="AY537"/>
          <cell r="AZ537">
            <v>6599</v>
          </cell>
        </row>
        <row r="538">
          <cell r="A538">
            <v>45413</v>
          </cell>
          <cell r="B538">
            <v>4.5</v>
          </cell>
          <cell r="C538">
            <v>4</v>
          </cell>
          <cell r="D538">
            <v>3.907</v>
          </cell>
          <cell r="E538"/>
          <cell r="F538"/>
          <cell r="G538"/>
          <cell r="H538"/>
          <cell r="I538"/>
          <cell r="J538"/>
          <cell r="K538"/>
          <cell r="L538"/>
          <cell r="M538"/>
          <cell r="N538"/>
          <cell r="O538">
            <v>3.8159999999999998</v>
          </cell>
          <cell r="P538">
            <v>3.8130000000000002</v>
          </cell>
          <cell r="Q538">
            <v>3.7869999999999999</v>
          </cell>
          <cell r="R538">
            <v>3.68</v>
          </cell>
          <cell r="S538">
            <v>3.395</v>
          </cell>
          <cell r="T538">
            <v>2.992</v>
          </cell>
          <cell r="U538">
            <v>2.7570000000000001</v>
          </cell>
          <cell r="V538">
            <v>2.573</v>
          </cell>
          <cell r="W538">
            <v>2.5339999999999998</v>
          </cell>
          <cell r="X538">
            <v>2.6619999999999999</v>
          </cell>
          <cell r="Y538"/>
          <cell r="Z538"/>
          <cell r="AA538"/>
          <cell r="AB538"/>
          <cell r="AC538"/>
          <cell r="AD538"/>
          <cell r="AE538"/>
          <cell r="AF538"/>
          <cell r="AG538"/>
          <cell r="AH538"/>
          <cell r="AI538">
            <v>3.66</v>
          </cell>
          <cell r="AJ538">
            <v>3.331</v>
          </cell>
          <cell r="AK538">
            <v>3.1240000000000001</v>
          </cell>
          <cell r="AL538">
            <v>2.9049999999999998</v>
          </cell>
          <cell r="AM538">
            <v>2.8039999999999998</v>
          </cell>
          <cell r="AN538"/>
          <cell r="AO538"/>
          <cell r="AP538"/>
          <cell r="AQ538"/>
          <cell r="AR538"/>
          <cell r="AS538"/>
          <cell r="AT538"/>
          <cell r="AU538"/>
          <cell r="AV538"/>
          <cell r="AW538"/>
          <cell r="AX538">
            <v>0.92500000000000004</v>
          </cell>
          <cell r="AY538"/>
          <cell r="AZ538">
            <v>6561</v>
          </cell>
        </row>
        <row r="539">
          <cell r="A539">
            <v>45444</v>
          </cell>
          <cell r="B539">
            <v>4.25</v>
          </cell>
          <cell r="C539">
            <v>3.75</v>
          </cell>
          <cell r="D539">
            <v>3.7490000000000001</v>
          </cell>
          <cell r="E539"/>
          <cell r="F539"/>
          <cell r="G539"/>
          <cell r="H539"/>
          <cell r="I539"/>
          <cell r="J539"/>
          <cell r="K539"/>
          <cell r="L539"/>
          <cell r="M539"/>
          <cell r="N539"/>
          <cell r="O539">
            <v>3.6349999999999998</v>
          </cell>
          <cell r="P539">
            <v>3.7250000000000001</v>
          </cell>
          <cell r="Q539">
            <v>3.7149999999999999</v>
          </cell>
          <cell r="R539">
            <v>3.65</v>
          </cell>
          <cell r="S539">
            <v>3.278</v>
          </cell>
          <cell r="T539">
            <v>2.8959999999999999</v>
          </cell>
          <cell r="U539">
            <v>2.6749999999999998</v>
          </cell>
          <cell r="V539">
            <v>2.508</v>
          </cell>
          <cell r="W539">
            <v>2.4870000000000001</v>
          </cell>
          <cell r="X539">
            <v>2.645</v>
          </cell>
          <cell r="Y539"/>
          <cell r="Z539"/>
          <cell r="AA539"/>
          <cell r="AB539"/>
          <cell r="AC539"/>
          <cell r="AD539"/>
          <cell r="AE539"/>
          <cell r="AF539"/>
          <cell r="AG539"/>
          <cell r="AH539"/>
          <cell r="AI539">
            <v>3.5870000000000002</v>
          </cell>
          <cell r="AJ539">
            <v>3.2519999999999998</v>
          </cell>
          <cell r="AK539">
            <v>3.0579999999999998</v>
          </cell>
          <cell r="AL539">
            <v>2.8679999999999999</v>
          </cell>
          <cell r="AM539">
            <v>2.79</v>
          </cell>
          <cell r="AN539"/>
          <cell r="AO539"/>
          <cell r="AP539"/>
          <cell r="AQ539"/>
          <cell r="AR539"/>
          <cell r="AS539"/>
          <cell r="AT539"/>
          <cell r="AU539"/>
          <cell r="AV539"/>
          <cell r="AW539"/>
          <cell r="AX539">
            <v>0.92900000000000005</v>
          </cell>
          <cell r="AY539"/>
          <cell r="AZ539">
            <v>6522</v>
          </cell>
        </row>
        <row r="540">
          <cell r="A540">
            <v>45474</v>
          </cell>
          <cell r="B540">
            <v>4.25</v>
          </cell>
          <cell r="C540">
            <v>3.75</v>
          </cell>
          <cell r="D540">
            <v>3.6629999999999998</v>
          </cell>
          <cell r="E540"/>
          <cell r="F540"/>
          <cell r="G540"/>
          <cell r="H540"/>
          <cell r="I540"/>
          <cell r="J540"/>
          <cell r="K540"/>
          <cell r="L540"/>
          <cell r="M540"/>
          <cell r="N540"/>
          <cell r="O540">
            <v>3.6179999999999999</v>
          </cell>
          <cell r="P540">
            <v>3.6850000000000001</v>
          </cell>
          <cell r="Q540">
            <v>3.6440000000000001</v>
          </cell>
          <cell r="R540">
            <v>3.5259999999999998</v>
          </cell>
          <cell r="S540">
            <v>3.165</v>
          </cell>
          <cell r="T540">
            <v>2.78</v>
          </cell>
          <cell r="U540">
            <v>2.5350000000000001</v>
          </cell>
          <cell r="V540">
            <v>2.44</v>
          </cell>
          <cell r="W540">
            <v>2.4780000000000002</v>
          </cell>
          <cell r="X540">
            <v>2.6659999999999999</v>
          </cell>
          <cell r="Y540"/>
          <cell r="Z540"/>
          <cell r="AA540"/>
          <cell r="AB540"/>
          <cell r="AC540"/>
          <cell r="AD540"/>
          <cell r="AE540"/>
          <cell r="AF540"/>
          <cell r="AG540"/>
          <cell r="AH540"/>
          <cell r="AI540">
            <v>3.4550000000000001</v>
          </cell>
          <cell r="AJ540">
            <v>3.0880000000000001</v>
          </cell>
          <cell r="AK540">
            <v>2.911</v>
          </cell>
          <cell r="AL540">
            <v>2.7679999999999998</v>
          </cell>
          <cell r="AM540">
            <v>2.7429999999999999</v>
          </cell>
          <cell r="AN540"/>
          <cell r="AO540"/>
          <cell r="AP540"/>
          <cell r="AQ540"/>
          <cell r="AR540"/>
          <cell r="AS540"/>
          <cell r="AT540"/>
          <cell r="AU540"/>
          <cell r="AV540"/>
          <cell r="AW540"/>
          <cell r="AX540">
            <v>0.92200000000000004</v>
          </cell>
          <cell r="AY540"/>
          <cell r="AZ540">
            <v>6475</v>
          </cell>
        </row>
        <row r="541">
          <cell r="A541">
            <v>45505</v>
          </cell>
          <cell r="B541">
            <v>4.25</v>
          </cell>
          <cell r="C541">
            <v>3.75</v>
          </cell>
          <cell r="D541">
            <v>3.6629999999999998</v>
          </cell>
          <cell r="E541"/>
          <cell r="F541"/>
          <cell r="G541"/>
          <cell r="H541"/>
          <cell r="I541"/>
          <cell r="J541"/>
          <cell r="K541"/>
          <cell r="L541"/>
          <cell r="M541"/>
          <cell r="N541"/>
          <cell r="O541">
            <v>3.597</v>
          </cell>
          <cell r="P541">
            <v>3.548</v>
          </cell>
          <cell r="Q541">
            <v>3.4249999999999998</v>
          </cell>
          <cell r="R541">
            <v>3.1659999999999999</v>
          </cell>
          <cell r="S541">
            <v>2.8540000000000001</v>
          </cell>
          <cell r="T541">
            <v>2.3919999999999999</v>
          </cell>
          <cell r="U541">
            <v>2.169</v>
          </cell>
          <cell r="V541">
            <v>2.145</v>
          </cell>
          <cell r="W541">
            <v>2.2349999999999999</v>
          </cell>
          <cell r="X541">
            <v>2.4670000000000001</v>
          </cell>
          <cell r="Y541"/>
          <cell r="Z541"/>
          <cell r="AA541"/>
          <cell r="AB541"/>
          <cell r="AC541"/>
          <cell r="AD541"/>
          <cell r="AE541"/>
          <cell r="AF541"/>
          <cell r="AG541"/>
          <cell r="AH541"/>
          <cell r="AI541">
            <v>3.1019999999999999</v>
          </cell>
          <cell r="AJ541">
            <v>2.7109999999999999</v>
          </cell>
          <cell r="AK541">
            <v>2.5649999999999999</v>
          </cell>
          <cell r="AL541">
            <v>2.476</v>
          </cell>
          <cell r="AM541">
            <v>2.5059999999999998</v>
          </cell>
          <cell r="AN541"/>
          <cell r="AO541"/>
          <cell r="AP541"/>
          <cell r="AQ541"/>
          <cell r="AR541"/>
          <cell r="AS541"/>
          <cell r="AT541"/>
          <cell r="AU541"/>
          <cell r="AV541"/>
          <cell r="AW541"/>
          <cell r="AX541">
            <v>0.90700000000000003</v>
          </cell>
          <cell r="AY541"/>
          <cell r="AZ541">
            <v>6473</v>
          </cell>
        </row>
        <row r="542">
          <cell r="A542">
            <v>45536</v>
          </cell>
          <cell r="B542">
            <v>3.65</v>
          </cell>
          <cell r="C542">
            <v>3.5</v>
          </cell>
          <cell r="D542">
            <v>3.5569999999999999</v>
          </cell>
          <cell r="E542"/>
          <cell r="F542"/>
          <cell r="G542"/>
          <cell r="H542"/>
          <cell r="I542"/>
          <cell r="J542"/>
          <cell r="K542"/>
          <cell r="L542"/>
          <cell r="M542"/>
          <cell r="N542"/>
          <cell r="O542">
            <v>3.4380000000000002</v>
          </cell>
          <cell r="P542">
            <v>3.4340000000000002</v>
          </cell>
          <cell r="Q542">
            <v>3.258</v>
          </cell>
          <cell r="R542">
            <v>2.9359999999999999</v>
          </cell>
          <cell r="S542">
            <v>2.661</v>
          </cell>
          <cell r="T542">
            <v>2.2090000000000001</v>
          </cell>
          <cell r="U542">
            <v>2.012</v>
          </cell>
          <cell r="V542">
            <v>2.0369999999999999</v>
          </cell>
          <cell r="W542">
            <v>2.177</v>
          </cell>
          <cell r="X542">
            <v>2.4609999999999999</v>
          </cell>
          <cell r="Y542"/>
          <cell r="Z542"/>
          <cell r="AA542"/>
          <cell r="AB542"/>
          <cell r="AC542"/>
          <cell r="AD542"/>
          <cell r="AE542"/>
          <cell r="AF542"/>
          <cell r="AG542"/>
          <cell r="AH542"/>
          <cell r="AI542">
            <v>2.8580000000000001</v>
          </cell>
          <cell r="AJ542">
            <v>2.4660000000000002</v>
          </cell>
          <cell r="AK542">
            <v>2.3580000000000001</v>
          </cell>
          <cell r="AL542">
            <v>2.3279999999999998</v>
          </cell>
          <cell r="AM542">
            <v>2.423</v>
          </cell>
          <cell r="AN542"/>
          <cell r="AO542"/>
          <cell r="AP542"/>
          <cell r="AQ542"/>
          <cell r="AR542"/>
          <cell r="AS542"/>
          <cell r="AT542"/>
          <cell r="AU542"/>
          <cell r="AV542"/>
          <cell r="AW542"/>
          <cell r="AX542">
            <v>0.90100000000000002</v>
          </cell>
          <cell r="AY542"/>
          <cell r="AZ542">
            <v>6398</v>
          </cell>
        </row>
        <row r="543">
          <cell r="A543">
            <v>45566</v>
          </cell>
          <cell r="B543">
            <v>3.4</v>
          </cell>
          <cell r="C543">
            <v>3.25</v>
          </cell>
          <cell r="D543">
            <v>3.3380000000000001</v>
          </cell>
          <cell r="E543"/>
          <cell r="F543"/>
          <cell r="G543"/>
          <cell r="H543"/>
          <cell r="I543"/>
          <cell r="J543"/>
          <cell r="K543"/>
          <cell r="L543"/>
          <cell r="M543"/>
          <cell r="N543"/>
          <cell r="O543">
            <v>3.2050000000000001</v>
          </cell>
          <cell r="P543">
            <v>3.1669999999999998</v>
          </cell>
          <cell r="Q543">
            <v>3.0019999999999998</v>
          </cell>
          <cell r="R543">
            <v>2.6909999999999998</v>
          </cell>
          <cell r="S543">
            <v>2.4820000000000002</v>
          </cell>
          <cell r="T543">
            <v>2.169</v>
          </cell>
          <cell r="U543">
            <v>2.012</v>
          </cell>
          <cell r="V543">
            <v>2.0920000000000001</v>
          </cell>
          <cell r="W543">
            <v>2.2469999999999999</v>
          </cell>
          <cell r="X543">
            <v>2.544</v>
          </cell>
          <cell r="Y543"/>
          <cell r="Z543"/>
          <cell r="AA543"/>
          <cell r="AB543"/>
          <cell r="AC543"/>
          <cell r="AD543"/>
          <cell r="AE543"/>
          <cell r="AF543"/>
          <cell r="AG543"/>
          <cell r="AH543"/>
          <cell r="AI543">
            <v>2.6549999999999998</v>
          </cell>
          <cell r="AJ543">
            <v>2.3639999999999999</v>
          </cell>
          <cell r="AK543">
            <v>2.3069999999999999</v>
          </cell>
          <cell r="AL543">
            <v>2.3109999999999999</v>
          </cell>
          <cell r="AM543">
            <v>2.42</v>
          </cell>
          <cell r="AN543"/>
          <cell r="AO543"/>
          <cell r="AP543"/>
          <cell r="AQ543"/>
          <cell r="AR543"/>
          <cell r="AS543"/>
          <cell r="AT543"/>
          <cell r="AU543"/>
          <cell r="AV543"/>
          <cell r="AW543"/>
          <cell r="AX543">
            <v>0.91800000000000004</v>
          </cell>
          <cell r="AY543"/>
          <cell r="AZ543">
            <v>6414</v>
          </cell>
        </row>
        <row r="544">
          <cell r="A544">
            <v>45597</v>
          </cell>
          <cell r="B544">
            <v>3.4</v>
          </cell>
          <cell r="C544">
            <v>3.25</v>
          </cell>
          <cell r="D544">
            <v>3.1640000000000001</v>
          </cell>
          <cell r="E544"/>
          <cell r="F544"/>
          <cell r="G544"/>
          <cell r="H544"/>
          <cell r="I544"/>
          <cell r="J544"/>
          <cell r="K544"/>
          <cell r="L544"/>
          <cell r="M544"/>
          <cell r="N544"/>
          <cell r="O544">
            <v>3.0659999999999998</v>
          </cell>
          <cell r="P544">
            <v>3.0070000000000001</v>
          </cell>
          <cell r="Q544">
            <v>2.7879999999999998</v>
          </cell>
          <cell r="R544">
            <v>2.5059999999999998</v>
          </cell>
          <cell r="S544">
            <v>2.3919999999999999</v>
          </cell>
          <cell r="T544">
            <v>2.125</v>
          </cell>
          <cell r="U544">
            <v>2.0289999999999999</v>
          </cell>
          <cell r="V544">
            <v>2.1480000000000001</v>
          </cell>
          <cell r="W544">
            <v>2.3149999999999999</v>
          </cell>
          <cell r="X544">
            <v>2.5350000000000001</v>
          </cell>
          <cell r="Y544"/>
          <cell r="Z544"/>
          <cell r="AA544"/>
          <cell r="AB544"/>
          <cell r="AC544"/>
          <cell r="AD544"/>
          <cell r="AE544"/>
          <cell r="AF544"/>
          <cell r="AG544"/>
          <cell r="AH544"/>
          <cell r="AI544">
            <v>2.472</v>
          </cell>
          <cell r="AJ544">
            <v>2.2589999999999999</v>
          </cell>
          <cell r="AK544">
            <v>2.234</v>
          </cell>
          <cell r="AL544">
            <v>2.246</v>
          </cell>
          <cell r="AM544">
            <v>2.3239999999999998</v>
          </cell>
          <cell r="AN544"/>
          <cell r="AO544"/>
          <cell r="AP544"/>
          <cell r="AQ544"/>
          <cell r="AR544"/>
          <cell r="AS544"/>
          <cell r="AT544"/>
          <cell r="AU544"/>
          <cell r="AV544"/>
          <cell r="AW544"/>
          <cell r="AX544">
            <v>0.94099999999999995</v>
          </cell>
          <cell r="AY544"/>
          <cell r="AZ544">
            <v>6373</v>
          </cell>
        </row>
        <row r="545">
          <cell r="A545">
            <v>45627</v>
          </cell>
          <cell r="B545">
            <v>3.15</v>
          </cell>
          <cell r="C545">
            <v>3</v>
          </cell>
          <cell r="D545">
            <v>3.0640000000000001</v>
          </cell>
          <cell r="E545"/>
          <cell r="F545"/>
          <cell r="G545"/>
          <cell r="H545"/>
          <cell r="I545"/>
          <cell r="J545"/>
          <cell r="K545"/>
          <cell r="L545"/>
          <cell r="M545"/>
          <cell r="N545"/>
          <cell r="O545">
            <v>2.89</v>
          </cell>
          <cell r="P545">
            <v>2.8250000000000002</v>
          </cell>
          <cell r="Q545">
            <v>2.6320000000000001</v>
          </cell>
          <cell r="R545">
            <v>2.4359999999999999</v>
          </cell>
          <cell r="S545">
            <v>2.2469999999999999</v>
          </cell>
          <cell r="T545">
            <v>2.0219999999999998</v>
          </cell>
          <cell r="U545">
            <v>1.917</v>
          </cell>
          <cell r="V545">
            <v>2.0449999999999999</v>
          </cell>
          <cell r="W545">
            <v>2.2200000000000002</v>
          </cell>
          <cell r="X545">
            <v>2.448</v>
          </cell>
          <cell r="Y545"/>
          <cell r="Z545"/>
          <cell r="AA545"/>
          <cell r="AB545"/>
          <cell r="AC545"/>
          <cell r="AD545"/>
          <cell r="AE545"/>
          <cell r="AF545"/>
          <cell r="AG545"/>
          <cell r="AH545"/>
          <cell r="AI545">
            <v>2.35</v>
          </cell>
          <cell r="AJ545">
            <v>2.165</v>
          </cell>
          <cell r="AK545">
            <v>2.1440000000000001</v>
          </cell>
          <cell r="AL545">
            <v>2.1549999999999998</v>
          </cell>
          <cell r="AM545">
            <v>2.2360000000000002</v>
          </cell>
          <cell r="AN545"/>
          <cell r="AO545"/>
          <cell r="AP545"/>
          <cell r="AQ545"/>
          <cell r="AR545"/>
          <cell r="AS545"/>
          <cell r="AT545"/>
          <cell r="AU545"/>
          <cell r="AV545"/>
          <cell r="AW545"/>
          <cell r="AX545">
            <v>0.95599999999999996</v>
          </cell>
          <cell r="AY545"/>
          <cell r="AZ545">
            <v>6357</v>
          </cell>
        </row>
        <row r="546">
          <cell r="A546">
            <v>45658</v>
          </cell>
          <cell r="B546">
            <v>2.9</v>
          </cell>
          <cell r="C546">
            <v>2.75</v>
          </cell>
          <cell r="D546">
            <v>2.92</v>
          </cell>
          <cell r="E546"/>
          <cell r="F546"/>
          <cell r="G546"/>
          <cell r="H546"/>
          <cell r="I546"/>
          <cell r="J546"/>
          <cell r="K546"/>
          <cell r="L546"/>
          <cell r="M546"/>
          <cell r="N546"/>
          <cell r="O546">
            <v>2.7919999999999998</v>
          </cell>
          <cell r="P546">
            <v>2.7040000000000002</v>
          </cell>
          <cell r="Q546">
            <v>2.6139999999999999</v>
          </cell>
          <cell r="R546">
            <v>2.5249999999999999</v>
          </cell>
          <cell r="S546">
            <v>2.3149999999999999</v>
          </cell>
          <cell r="T546">
            <v>2.222</v>
          </cell>
          <cell r="U546">
            <v>2.1829999999999998</v>
          </cell>
          <cell r="V546">
            <v>2.3199999999999998</v>
          </cell>
          <cell r="W546">
            <v>2.524</v>
          </cell>
          <cell r="X546">
            <v>2.7480000000000002</v>
          </cell>
          <cell r="Y546"/>
          <cell r="Z546"/>
          <cell r="AA546"/>
          <cell r="AB546"/>
          <cell r="AC546"/>
          <cell r="AD546"/>
          <cell r="AE546"/>
          <cell r="AF546"/>
          <cell r="AG546"/>
          <cell r="AH546"/>
          <cell r="AI546">
            <v>2.4510000000000001</v>
          </cell>
          <cell r="AJ546">
            <v>2.3450000000000002</v>
          </cell>
          <cell r="AK546">
            <v>2.3490000000000002</v>
          </cell>
          <cell r="AL546">
            <v>2.391</v>
          </cell>
          <cell r="AM546">
            <v>2.4870000000000001</v>
          </cell>
          <cell r="AN546"/>
          <cell r="AO546"/>
          <cell r="AP546"/>
          <cell r="AQ546"/>
          <cell r="AR546"/>
          <cell r="AS546"/>
          <cell r="AT546"/>
          <cell r="AU546"/>
          <cell r="AV546"/>
          <cell r="AW546"/>
          <cell r="AX546">
            <v>0.96599999999999997</v>
          </cell>
          <cell r="AY546"/>
          <cell r="AZ546">
            <v>6394</v>
          </cell>
        </row>
        <row r="547">
          <cell r="A547">
            <v>45689</v>
          </cell>
          <cell r="B547">
            <v>2.9</v>
          </cell>
          <cell r="C547">
            <v>2.75</v>
          </cell>
          <cell r="D547">
            <v>2.6909999999999998</v>
          </cell>
          <cell r="E547"/>
          <cell r="F547"/>
          <cell r="G547"/>
          <cell r="H547"/>
          <cell r="I547"/>
          <cell r="J547"/>
          <cell r="K547"/>
          <cell r="L547"/>
          <cell r="M547"/>
          <cell r="N547"/>
          <cell r="O547">
            <v>2.6059999999999999</v>
          </cell>
          <cell r="P547">
            <v>2.5249999999999999</v>
          </cell>
          <cell r="Q547">
            <v>2.46</v>
          </cell>
          <cell r="R547">
            <v>2.407</v>
          </cell>
          <cell r="S547">
            <v>2.0760000000000001</v>
          </cell>
          <cell r="T547">
            <v>2.0840000000000001</v>
          </cell>
          <cell r="U547">
            <v>2.09</v>
          </cell>
          <cell r="V547">
            <v>2.2109999999999999</v>
          </cell>
          <cell r="W547">
            <v>2.4369999999999998</v>
          </cell>
          <cell r="X547">
            <v>2.694</v>
          </cell>
          <cell r="Y547"/>
          <cell r="Z547"/>
          <cell r="AA547"/>
          <cell r="AB547"/>
          <cell r="AC547"/>
          <cell r="AD547"/>
          <cell r="AE547"/>
          <cell r="AF547"/>
          <cell r="AG547"/>
          <cell r="AH547"/>
          <cell r="AI547">
            <v>2.3149999999999999</v>
          </cell>
          <cell r="AJ547">
            <v>2.2170000000000001</v>
          </cell>
          <cell r="AK547">
            <v>2.2229999999999999</v>
          </cell>
          <cell r="AL547">
            <v>2.27</v>
          </cell>
          <cell r="AM547">
            <v>2.379</v>
          </cell>
          <cell r="AN547"/>
          <cell r="AO547"/>
          <cell r="AP547"/>
          <cell r="AQ547"/>
          <cell r="AR547"/>
          <cell r="AS547"/>
          <cell r="AT547"/>
          <cell r="AU547"/>
          <cell r="AV547"/>
          <cell r="AW547"/>
          <cell r="AX547">
            <v>0.96</v>
          </cell>
          <cell r="AY547"/>
          <cell r="AZ547">
            <v>6320</v>
          </cell>
        </row>
        <row r="548">
          <cell r="A548">
            <v>45717</v>
          </cell>
          <cell r="B548">
            <v>2.65</v>
          </cell>
          <cell r="C548">
            <v>2.5</v>
          </cell>
          <cell r="D548">
            <v>2.4990000000000001</v>
          </cell>
          <cell r="E548"/>
          <cell r="F548"/>
          <cell r="G548"/>
          <cell r="H548"/>
          <cell r="I548"/>
          <cell r="J548"/>
          <cell r="K548"/>
          <cell r="L548"/>
          <cell r="M548"/>
          <cell r="N548"/>
          <cell r="O548">
            <v>2.4009999999999998</v>
          </cell>
          <cell r="P548">
            <v>2.4420000000000002</v>
          </cell>
          <cell r="Q548">
            <v>2.3849999999999998</v>
          </cell>
          <cell r="R548">
            <v>2.3980000000000001</v>
          </cell>
          <cell r="S548">
            <v>2.0699999999999998</v>
          </cell>
          <cell r="T548">
            <v>2.1539999999999999</v>
          </cell>
          <cell r="U548">
            <v>2.2130000000000001</v>
          </cell>
          <cell r="V548">
            <v>2.4260000000000002</v>
          </cell>
          <cell r="W548">
            <v>2.7789999999999999</v>
          </cell>
          <cell r="X548">
            <v>3.0950000000000002</v>
          </cell>
          <cell r="Y548"/>
          <cell r="Z548"/>
          <cell r="AA548"/>
          <cell r="AB548"/>
          <cell r="AC548"/>
          <cell r="AD548"/>
          <cell r="AE548"/>
          <cell r="AF548"/>
          <cell r="AG548"/>
          <cell r="AH548"/>
          <cell r="AI548">
            <v>2.3010000000000002</v>
          </cell>
          <cell r="AJ548">
            <v>2.2709999999999999</v>
          </cell>
          <cell r="AK548">
            <v>2.331</v>
          </cell>
          <cell r="AL548">
            <v>2.4590000000000001</v>
          </cell>
          <cell r="AM548">
            <v>2.6619999999999999</v>
          </cell>
          <cell r="AN548"/>
          <cell r="AO548"/>
          <cell r="AP548"/>
          <cell r="AQ548"/>
          <cell r="AR548"/>
          <cell r="AS548"/>
          <cell r="AT548"/>
          <cell r="AU548"/>
          <cell r="AV548"/>
          <cell r="AW548"/>
          <cell r="AX548">
            <v>0.92500000000000004</v>
          </cell>
          <cell r="AY548"/>
          <cell r="AZ548">
            <v>6247</v>
          </cell>
        </row>
        <row r="549">
          <cell r="A549">
            <v>45748</v>
          </cell>
          <cell r="B549">
            <v>2.4</v>
          </cell>
          <cell r="C549">
            <v>2.25</v>
          </cell>
          <cell r="D549">
            <v>2.3410000000000002</v>
          </cell>
          <cell r="E549"/>
          <cell r="F549"/>
          <cell r="G549"/>
          <cell r="H549"/>
          <cell r="I549"/>
          <cell r="J549"/>
          <cell r="K549"/>
          <cell r="L549"/>
          <cell r="M549"/>
          <cell r="N549"/>
          <cell r="O549">
            <v>2.2429999999999999</v>
          </cell>
          <cell r="P549">
            <v>2.2490000000000001</v>
          </cell>
          <cell r="Q549">
            <v>2.202</v>
          </cell>
          <cell r="R549">
            <v>2.1429999999999998</v>
          </cell>
          <cell r="S549">
            <v>1.841</v>
          </cell>
          <cell r="T549">
            <v>1.7789999999999999</v>
          </cell>
          <cell r="U549">
            <v>1.8660000000000001</v>
          </cell>
          <cell r="V549">
            <v>2.0960000000000001</v>
          </cell>
          <cell r="W549">
            <v>2.5449999999999999</v>
          </cell>
          <cell r="X549">
            <v>2.9409999999999998</v>
          </cell>
          <cell r="Y549"/>
          <cell r="Z549"/>
          <cell r="AA549"/>
          <cell r="AB549"/>
          <cell r="AC549"/>
          <cell r="AD549"/>
          <cell r="AE549"/>
          <cell r="AF549"/>
          <cell r="AG549"/>
          <cell r="AH549"/>
          <cell r="AI549">
            <v>2.044</v>
          </cell>
          <cell r="AJ549">
            <v>1.98</v>
          </cell>
          <cell r="AK549">
            <v>2.0499999999999998</v>
          </cell>
          <cell r="AL549">
            <v>2.2189999999999999</v>
          </cell>
          <cell r="AM549">
            <v>2.52</v>
          </cell>
          <cell r="AN549"/>
          <cell r="AO549"/>
          <cell r="AP549"/>
          <cell r="AQ549"/>
          <cell r="AR549"/>
          <cell r="AS549"/>
          <cell r="AT549"/>
          <cell r="AU549"/>
          <cell r="AV549"/>
          <cell r="AW549"/>
          <cell r="AX549">
            <v>0.89100000000000001</v>
          </cell>
          <cell r="AY549"/>
          <cell r="AZ549">
            <v>6330</v>
          </cell>
        </row>
        <row r="550">
          <cell r="A550">
            <v>45778</v>
          </cell>
          <cell r="B550">
            <v>2.4</v>
          </cell>
          <cell r="C550">
            <v>2.25</v>
          </cell>
          <cell r="D550">
            <v>2.169</v>
          </cell>
          <cell r="E550"/>
          <cell r="F550"/>
          <cell r="G550"/>
          <cell r="H550"/>
          <cell r="I550"/>
          <cell r="J550"/>
          <cell r="K550"/>
          <cell r="L550"/>
          <cell r="M550"/>
          <cell r="N550"/>
          <cell r="O550">
            <v>2.0939999999999999</v>
          </cell>
          <cell r="P550">
            <v>2.0870000000000002</v>
          </cell>
          <cell r="Q550">
            <v>2.1160000000000001</v>
          </cell>
          <cell r="R550">
            <v>2.081</v>
          </cell>
          <cell r="S550">
            <v>1.802</v>
          </cell>
          <cell r="T550">
            <v>1.8149999999999999</v>
          </cell>
          <cell r="U550">
            <v>1.8819999999999999</v>
          </cell>
          <cell r="V550">
            <v>2.1269999999999998</v>
          </cell>
          <cell r="W550">
            <v>2.5760000000000001</v>
          </cell>
          <cell r="X550">
            <v>3.0430000000000001</v>
          </cell>
          <cell r="Y550"/>
          <cell r="Z550"/>
          <cell r="AA550"/>
          <cell r="AB550"/>
          <cell r="AC550"/>
          <cell r="AD550"/>
          <cell r="AE550"/>
          <cell r="AF550"/>
          <cell r="AG550"/>
          <cell r="AH550"/>
          <cell r="AI550">
            <v>2.0089999999999999</v>
          </cell>
          <cell r="AJ550">
            <v>1.9770000000000001</v>
          </cell>
          <cell r="AK550">
            <v>2.0579999999999998</v>
          </cell>
          <cell r="AL550">
            <v>2.2269999999999999</v>
          </cell>
          <cell r="AM550">
            <v>2.5339999999999998</v>
          </cell>
          <cell r="AN550"/>
          <cell r="AO550"/>
          <cell r="AP550"/>
          <cell r="AQ550"/>
          <cell r="AR550"/>
          <cell r="AS550"/>
          <cell r="AT550"/>
          <cell r="AU550"/>
          <cell r="AV550"/>
          <cell r="AW550"/>
          <cell r="AX550">
            <v>0.88700000000000001</v>
          </cell>
          <cell r="AY550"/>
          <cell r="AZ550">
            <v>6275</v>
          </cell>
        </row>
        <row r="551">
          <cell r="A551">
            <v>45809</v>
          </cell>
          <cell r="B551">
            <v>2.15</v>
          </cell>
          <cell r="C551">
            <v>2</v>
          </cell>
          <cell r="D551">
            <v>2.0070000000000001</v>
          </cell>
          <cell r="E551"/>
          <cell r="F551"/>
          <cell r="G551"/>
          <cell r="H551"/>
          <cell r="I551"/>
          <cell r="J551"/>
          <cell r="K551"/>
          <cell r="L551"/>
          <cell r="M551"/>
          <cell r="N551"/>
          <cell r="O551">
            <v>1.929</v>
          </cell>
          <cell r="P551">
            <v>1.984</v>
          </cell>
          <cell r="Q551">
            <v>2.0499999999999998</v>
          </cell>
          <cell r="R551">
            <v>2.081</v>
          </cell>
          <cell r="S551">
            <v>1.774</v>
          </cell>
          <cell r="T551">
            <v>1.8420000000000001</v>
          </cell>
          <cell r="U551">
            <v>1.893</v>
          </cell>
          <cell r="V551">
            <v>2.1280000000000001</v>
          </cell>
          <cell r="W551">
            <v>2.5409999999999999</v>
          </cell>
          <cell r="X551">
            <v>3.0049999999999999</v>
          </cell>
          <cell r="Y551"/>
          <cell r="Z551"/>
          <cell r="AA551"/>
          <cell r="AB551"/>
          <cell r="AC551"/>
          <cell r="AD551"/>
          <cell r="AE551"/>
          <cell r="AF551"/>
          <cell r="AG551"/>
          <cell r="AH551"/>
          <cell r="AI551">
            <v>1.9970000000000001</v>
          </cell>
          <cell r="AJ551">
            <v>1.988</v>
          </cell>
          <cell r="AK551">
            <v>2.0670000000000002</v>
          </cell>
          <cell r="AL551">
            <v>2.2389999999999999</v>
          </cell>
          <cell r="AM551">
            <v>2.5529999999999999</v>
          </cell>
          <cell r="AN551"/>
          <cell r="AO551"/>
          <cell r="AP551"/>
          <cell r="AQ551"/>
          <cell r="AR551"/>
          <cell r="AS551"/>
          <cell r="AT551"/>
          <cell r="AU551"/>
          <cell r="AV551"/>
          <cell r="AW551"/>
          <cell r="AX551">
            <v>0.86699999999999999</v>
          </cell>
          <cell r="AY551"/>
          <cell r="AZ551">
            <v>6232</v>
          </cell>
        </row>
        <row r="552">
          <cell r="A552">
            <v>45839</v>
          </cell>
          <cell r="B552">
            <v>2.15</v>
          </cell>
          <cell r="C552">
            <v>2</v>
          </cell>
          <cell r="D552">
            <v>1.9219999999999999</v>
          </cell>
          <cell r="E552"/>
          <cell r="F552"/>
          <cell r="G552"/>
          <cell r="H552"/>
          <cell r="I552"/>
          <cell r="J552"/>
          <cell r="K552"/>
          <cell r="L552"/>
          <cell r="M552"/>
          <cell r="N552"/>
          <cell r="O552">
            <v>1.8919999999999999</v>
          </cell>
          <cell r="P552">
            <v>1.986</v>
          </cell>
          <cell r="Q552">
            <v>2.0550000000000002</v>
          </cell>
          <cell r="R552">
            <v>2.0790000000000002</v>
          </cell>
          <cell r="S552">
            <v>1.8029999999999999</v>
          </cell>
          <cell r="T552">
            <v>1.879</v>
          </cell>
          <cell r="U552">
            <v>1.982</v>
          </cell>
          <cell r="V552">
            <v>2.23</v>
          </cell>
          <cell r="W552">
            <v>2.6720000000000002</v>
          </cell>
          <cell r="X552">
            <v>3.1709999999999998</v>
          </cell>
          <cell r="Y552"/>
          <cell r="Z552"/>
          <cell r="AA552"/>
          <cell r="AB552"/>
          <cell r="AC552"/>
          <cell r="AD552"/>
          <cell r="AE552"/>
          <cell r="AF552"/>
          <cell r="AG552"/>
          <cell r="AH552"/>
          <cell r="AI552">
            <v>2.0110000000000001</v>
          </cell>
          <cell r="AJ552">
            <v>2.0209999999999999</v>
          </cell>
          <cell r="AK552">
            <v>2.1190000000000002</v>
          </cell>
          <cell r="AL552">
            <v>2.3039999999999998</v>
          </cell>
          <cell r="AM552">
            <v>2.6429999999999998</v>
          </cell>
          <cell r="AN552"/>
          <cell r="AO552"/>
          <cell r="AP552"/>
          <cell r="AQ552"/>
          <cell r="AR552"/>
          <cell r="AS552"/>
          <cell r="AT552"/>
          <cell r="AU552"/>
          <cell r="AV552"/>
          <cell r="AW552"/>
          <cell r="AX552">
            <v>0.85699999999999998</v>
          </cell>
          <cell r="AY552"/>
          <cell r="AZ552">
            <v>6122</v>
          </cell>
        </row>
        <row r="553">
          <cell r="A553">
            <v>45870</v>
          </cell>
          <cell r="B553">
            <v>2.15</v>
          </cell>
          <cell r="C553">
            <v>2</v>
          </cell>
          <cell r="D553">
            <v>1.9239999999999999</v>
          </cell>
          <cell r="E553"/>
          <cell r="F553"/>
          <cell r="G553"/>
          <cell r="H553"/>
          <cell r="I553"/>
          <cell r="J553"/>
          <cell r="K553"/>
          <cell r="L553"/>
          <cell r="M553"/>
          <cell r="N553"/>
          <cell r="O553">
            <v>1.89</v>
          </cell>
          <cell r="P553">
            <v>2.0209999999999999</v>
          </cell>
          <cell r="Q553">
            <v>2.0840000000000001</v>
          </cell>
          <cell r="R553">
            <v>2.1139999999999999</v>
          </cell>
          <cell r="S553">
            <v>1.89</v>
          </cell>
          <cell r="T553">
            <v>1.9419999999999999</v>
          </cell>
          <cell r="U553">
            <v>2.0510000000000002</v>
          </cell>
          <cell r="V553">
            <v>2.2730000000000001</v>
          </cell>
          <cell r="W553">
            <v>2.706</v>
          </cell>
          <cell r="X553">
            <v>3.2639999999999998</v>
          </cell>
          <cell r="Y553"/>
          <cell r="Z553"/>
          <cell r="AA553"/>
          <cell r="AB553"/>
          <cell r="AC553"/>
          <cell r="AD553"/>
          <cell r="AE553"/>
          <cell r="AF553"/>
          <cell r="AG553"/>
          <cell r="AH553"/>
          <cell r="AI553">
            <v>2.0640000000000001</v>
          </cell>
          <cell r="AJ553">
            <v>2.077</v>
          </cell>
          <cell r="AK553">
            <v>2.165</v>
          </cell>
          <cell r="AL553">
            <v>2.3340000000000001</v>
          </cell>
          <cell r="AM553">
            <v>2.6640000000000001</v>
          </cell>
          <cell r="AN553"/>
          <cell r="AO553"/>
          <cell r="AP553"/>
          <cell r="AQ553"/>
          <cell r="AR553"/>
          <cell r="AS553"/>
          <cell r="AT553"/>
          <cell r="AU553"/>
          <cell r="AV553"/>
          <cell r="AW553"/>
          <cell r="AX553">
            <v>0.85899999999999999</v>
          </cell>
          <cell r="AY553"/>
          <cell r="AZ553">
            <v>6089</v>
          </cell>
        </row>
        <row r="554">
          <cell r="A554">
            <v>45901</v>
          </cell>
          <cell r="B554">
            <v>2.15</v>
          </cell>
          <cell r="C554">
            <v>2</v>
          </cell>
          <cell r="D554">
            <v>1.925</v>
          </cell>
          <cell r="E554"/>
          <cell r="F554"/>
          <cell r="G554"/>
          <cell r="H554"/>
          <cell r="I554"/>
          <cell r="J554"/>
          <cell r="K554"/>
          <cell r="L554"/>
          <cell r="M554"/>
          <cell r="N554"/>
          <cell r="O554">
            <v>1.897</v>
          </cell>
          <cell r="P554">
            <v>2.0270000000000001</v>
          </cell>
          <cell r="Q554">
            <v>2.1019999999999999</v>
          </cell>
          <cell r="R554">
            <v>2.1720000000000002</v>
          </cell>
          <cell r="S554">
            <v>1.9330000000000001</v>
          </cell>
          <cell r="T554">
            <v>1.9930000000000001</v>
          </cell>
          <cell r="U554">
            <v>2.0720000000000001</v>
          </cell>
          <cell r="V554">
            <v>2.2890000000000001</v>
          </cell>
          <cell r="W554">
            <v>2.7130000000000001</v>
          </cell>
          <cell r="X554">
            <v>3.3090000000000002</v>
          </cell>
          <cell r="Y554"/>
          <cell r="Z554"/>
          <cell r="AA554"/>
          <cell r="AB554"/>
          <cell r="AC554"/>
          <cell r="AD554"/>
          <cell r="AE554"/>
          <cell r="AF554"/>
          <cell r="AG554"/>
          <cell r="AH554"/>
          <cell r="AI554">
            <v>2.1080000000000001</v>
          </cell>
          <cell r="AJ554">
            <v>2.125</v>
          </cell>
          <cell r="AK554">
            <v>2.202</v>
          </cell>
          <cell r="AL554">
            <v>2.355</v>
          </cell>
          <cell r="AM554">
            <v>2.669</v>
          </cell>
          <cell r="AN554"/>
          <cell r="AO554"/>
          <cell r="AP554"/>
          <cell r="AQ554"/>
          <cell r="AR554"/>
          <cell r="AS554"/>
          <cell r="AT554"/>
          <cell r="AU554"/>
          <cell r="AV554"/>
          <cell r="AW554"/>
          <cell r="AX554">
            <v>0.85199999999999998</v>
          </cell>
          <cell r="AY554"/>
          <cell r="AZ554">
            <v>6071</v>
          </cell>
        </row>
        <row r="555">
          <cell r="A555">
            <v>45931</v>
          </cell>
          <cell r="B555">
            <v>2.15</v>
          </cell>
          <cell r="C555">
            <v>2</v>
          </cell>
          <cell r="D555">
            <v>1.927</v>
          </cell>
          <cell r="E555"/>
          <cell r="F555"/>
          <cell r="G555"/>
          <cell r="H555"/>
          <cell r="I555"/>
          <cell r="J555"/>
          <cell r="K555"/>
          <cell r="L555"/>
          <cell r="M555"/>
          <cell r="N555"/>
          <cell r="O555">
            <v>1.9059999999999999</v>
          </cell>
          <cell r="P555">
            <v>2.0339999999999998</v>
          </cell>
          <cell r="Q555">
            <v>2.1070000000000002</v>
          </cell>
          <cell r="R555">
            <v>2.1869999999999998</v>
          </cell>
          <cell r="S555">
            <v>1.877</v>
          </cell>
          <cell r="T555">
            <v>1.9610000000000001</v>
          </cell>
          <cell r="U555">
            <v>2.0259999999999998</v>
          </cell>
          <cell r="V555">
            <v>2.23</v>
          </cell>
          <cell r="W555">
            <v>2.633</v>
          </cell>
          <cell r="X555">
            <v>3.2120000000000002</v>
          </cell>
          <cell r="Y555"/>
          <cell r="Z555"/>
          <cell r="AA555"/>
          <cell r="AB555"/>
          <cell r="AC555"/>
          <cell r="AD555"/>
          <cell r="AE555"/>
          <cell r="AF555"/>
          <cell r="AG555"/>
          <cell r="AH555"/>
          <cell r="AI555">
            <v>2.1059999999999999</v>
          </cell>
          <cell r="AJ555">
            <v>2.1110000000000002</v>
          </cell>
          <cell r="AK555">
            <v>2.1789999999999998</v>
          </cell>
          <cell r="AL555">
            <v>2.3260000000000001</v>
          </cell>
          <cell r="AM555">
            <v>2.63</v>
          </cell>
          <cell r="AN555"/>
          <cell r="AO555"/>
          <cell r="AP555"/>
          <cell r="AQ555"/>
          <cell r="AR555"/>
          <cell r="AS555"/>
          <cell r="AT555"/>
          <cell r="AU555"/>
          <cell r="AV555"/>
          <cell r="AW555"/>
          <cell r="AX555">
            <v>0.85899999999999999</v>
          </cell>
          <cell r="AY555"/>
          <cell r="AZ555">
            <v>6171</v>
          </cell>
        </row>
        <row r="556">
          <cell r="A556">
            <v>45962</v>
          </cell>
          <cell r="B556">
            <v>2.15</v>
          </cell>
          <cell r="C556">
            <v>2</v>
          </cell>
          <cell r="D556">
            <v>1.929</v>
          </cell>
          <cell r="E556"/>
          <cell r="F556"/>
          <cell r="G556"/>
          <cell r="H556"/>
          <cell r="I556"/>
          <cell r="J556"/>
          <cell r="K556"/>
          <cell r="L556"/>
          <cell r="M556"/>
          <cell r="N556"/>
          <cell r="O556">
            <v>1.9059999999999999</v>
          </cell>
          <cell r="P556">
            <v>2.0419999999999998</v>
          </cell>
          <cell r="Q556">
            <v>2.1309999999999998</v>
          </cell>
          <cell r="R556">
            <v>2.2170000000000001</v>
          </cell>
          <cell r="S556">
            <v>1.919</v>
          </cell>
          <cell r="T556">
            <v>2.0129999999999999</v>
          </cell>
          <cell r="U556">
            <v>2.069</v>
          </cell>
          <cell r="V556">
            <v>2.2770000000000001</v>
          </cell>
          <cell r="W556">
            <v>2.6819999999999999</v>
          </cell>
          <cell r="X556">
            <v>3.2909999999999999</v>
          </cell>
          <cell r="Y556"/>
          <cell r="Z556"/>
          <cell r="AA556"/>
          <cell r="AB556"/>
          <cell r="AC556"/>
          <cell r="AD556"/>
          <cell r="AE556"/>
          <cell r="AF556"/>
          <cell r="AG556"/>
          <cell r="AH556"/>
          <cell r="AI556">
            <v>2.1429999999999998</v>
          </cell>
          <cell r="AJ556">
            <v>2.165</v>
          </cell>
          <cell r="AK556">
            <v>2.2400000000000002</v>
          </cell>
          <cell r="AL556">
            <v>2.4</v>
          </cell>
          <cell r="AM556">
            <v>2.7170000000000001</v>
          </cell>
          <cell r="AN556"/>
          <cell r="AO556"/>
          <cell r="AP556"/>
          <cell r="AQ556"/>
          <cell r="AR556"/>
          <cell r="AS556"/>
          <cell r="AT556"/>
          <cell r="AU556"/>
          <cell r="AV556"/>
          <cell r="AW556"/>
          <cell r="AX556">
            <v>0.86499999999999999</v>
          </cell>
          <cell r="AY556"/>
          <cell r="AZ556">
            <v>6127</v>
          </cell>
        </row>
        <row r="557">
          <cell r="A557">
            <v>45992</v>
          </cell>
          <cell r="B557">
            <v>2.15</v>
          </cell>
          <cell r="C557">
            <v>2</v>
          </cell>
          <cell r="D557">
            <v>1.93</v>
          </cell>
          <cell r="E557"/>
          <cell r="F557"/>
          <cell r="G557"/>
          <cell r="H557"/>
          <cell r="I557"/>
          <cell r="J557"/>
          <cell r="K557"/>
          <cell r="L557"/>
          <cell r="M557"/>
          <cell r="N557"/>
          <cell r="O557">
            <v>1.915</v>
          </cell>
          <cell r="P557">
            <v>2.048</v>
          </cell>
          <cell r="Q557">
            <v>2.1389999999999998</v>
          </cell>
          <cell r="R557">
            <v>2.2669999999999999</v>
          </cell>
          <cell r="S557">
            <v>2.0030000000000001</v>
          </cell>
          <cell r="T557">
            <v>2.1269999999999998</v>
          </cell>
          <cell r="U557">
            <v>2.202</v>
          </cell>
          <cell r="V557">
            <v>2.44</v>
          </cell>
          <cell r="W557">
            <v>2.8370000000000002</v>
          </cell>
          <cell r="X557">
            <v>3.4609999999999999</v>
          </cell>
          <cell r="Y557"/>
          <cell r="Z557"/>
          <cell r="AA557"/>
          <cell r="AB557"/>
          <cell r="AC557"/>
          <cell r="AD557"/>
          <cell r="AE557"/>
          <cell r="AF557"/>
          <cell r="AG557"/>
          <cell r="AH557"/>
          <cell r="AI557">
            <v>2.1850000000000001</v>
          </cell>
          <cell r="AJ557">
            <v>2.2669999999999999</v>
          </cell>
          <cell r="AK557">
            <v>2.375</v>
          </cell>
          <cell r="AL557">
            <v>2.5590000000000002</v>
          </cell>
          <cell r="AM557">
            <v>2.8969999999999998</v>
          </cell>
          <cell r="AN557"/>
          <cell r="AO557"/>
          <cell r="AP557"/>
          <cell r="AQ557"/>
          <cell r="AR557"/>
          <cell r="AS557"/>
          <cell r="AT557"/>
          <cell r="AU557"/>
          <cell r="AV557"/>
          <cell r="AW557"/>
          <cell r="AX557">
            <v>0.85399999999999998</v>
          </cell>
          <cell r="AY557"/>
          <cell r="AZ557">
            <v>6084</v>
          </cell>
        </row>
        <row r="558">
          <cell r="A558">
            <v>46023</v>
          </cell>
          <cell r="B558">
            <v>2.15</v>
          </cell>
          <cell r="C558">
            <v>2</v>
          </cell>
          <cell r="D558">
            <v>1.9319999999999999</v>
          </cell>
          <cell r="E558"/>
          <cell r="F558"/>
          <cell r="G558"/>
          <cell r="H558"/>
          <cell r="I558"/>
          <cell r="J558"/>
          <cell r="K558"/>
          <cell r="L558"/>
          <cell r="M558"/>
          <cell r="N558"/>
          <cell r="O558">
            <v>1.9610000000000001</v>
          </cell>
          <cell r="P558">
            <v>2.028</v>
          </cell>
          <cell r="Q558">
            <v>2.137</v>
          </cell>
          <cell r="R558">
            <v>2.2450000000000001</v>
          </cell>
          <cell r="S558">
            <v>1.992</v>
          </cell>
          <cell r="T558">
            <v>2.101</v>
          </cell>
          <cell r="U558">
            <v>2.2090000000000001</v>
          </cell>
          <cell r="V558">
            <v>2.4350000000000001</v>
          </cell>
          <cell r="W558">
            <v>2.855</v>
          </cell>
          <cell r="X558">
            <v>3.4740000000000002</v>
          </cell>
          <cell r="Y558"/>
          <cell r="Z558"/>
          <cell r="AA558"/>
          <cell r="AB558"/>
          <cell r="AC558"/>
          <cell r="AD558"/>
          <cell r="AE558"/>
          <cell r="AF558"/>
          <cell r="AG558"/>
          <cell r="AH558"/>
          <cell r="AI558">
            <v>2.1720000000000002</v>
          </cell>
          <cell r="AJ558">
            <v>2.2480000000000002</v>
          </cell>
          <cell r="AK558">
            <v>2.3540000000000001</v>
          </cell>
          <cell r="AL558">
            <v>2.544</v>
          </cell>
          <cell r="AM558">
            <v>2.8849999999999998</v>
          </cell>
          <cell r="AN558"/>
          <cell r="AO558"/>
          <cell r="AP558"/>
          <cell r="AQ558"/>
          <cell r="AR558"/>
          <cell r="AS558"/>
          <cell r="AT558"/>
          <cell r="AU558"/>
          <cell r="AV558"/>
          <cell r="AW558"/>
          <cell r="AX558">
            <v>0.85199999999999998</v>
          </cell>
          <cell r="AY558"/>
          <cell r="AZ558">
            <v>6042</v>
          </cell>
        </row>
        <row r="559">
          <cell r="A559">
            <v>46054</v>
          </cell>
          <cell r="B559">
            <v>2.15</v>
          </cell>
          <cell r="C559">
            <v>2</v>
          </cell>
          <cell r="D559">
            <v>1.931</v>
          </cell>
          <cell r="E559"/>
          <cell r="F559"/>
          <cell r="G559"/>
          <cell r="H559"/>
          <cell r="I559"/>
          <cell r="J559"/>
          <cell r="K559"/>
          <cell r="L559"/>
          <cell r="M559"/>
          <cell r="N559"/>
          <cell r="O559">
            <v>1.9550000000000001</v>
          </cell>
          <cell r="P559">
            <v>2.0089999999999999</v>
          </cell>
          <cell r="Q559">
            <v>2.145</v>
          </cell>
          <cell r="R559">
            <v>2.2229999999999999</v>
          </cell>
          <cell r="S559">
            <v>1.9810000000000001</v>
          </cell>
          <cell r="T559">
            <v>2.069</v>
          </cell>
          <cell r="U559">
            <v>2.1720000000000002</v>
          </cell>
          <cell r="V559">
            <v>2.3780000000000001</v>
          </cell>
          <cell r="W559">
            <v>2.7949999999999999</v>
          </cell>
          <cell r="X559">
            <v>3.4630000000000001</v>
          </cell>
          <cell r="Y559"/>
          <cell r="Z559"/>
          <cell r="AA559"/>
          <cell r="AB559"/>
          <cell r="AC559"/>
          <cell r="AD559"/>
          <cell r="AE559"/>
          <cell r="AF559"/>
          <cell r="AG559"/>
          <cell r="AH559"/>
          <cell r="AI559">
            <v>2.1629999999999998</v>
          </cell>
          <cell r="AJ559">
            <v>2.202</v>
          </cell>
          <cell r="AK559">
            <v>2.2869999999999999</v>
          </cell>
          <cell r="AL559">
            <v>2.4510000000000001</v>
          </cell>
          <cell r="AM559">
            <v>2.7879999999999998</v>
          </cell>
          <cell r="AN559"/>
          <cell r="AO559"/>
          <cell r="AP559"/>
          <cell r="AQ559"/>
          <cell r="AR559"/>
          <cell r="AS559"/>
          <cell r="AT559"/>
          <cell r="AU559"/>
          <cell r="AV559"/>
          <cell r="AW559"/>
          <cell r="AX559">
            <v>0.84599999999999997</v>
          </cell>
          <cell r="AY559"/>
          <cell r="AZ559">
            <v>5999</v>
          </cell>
        </row>
        <row r="560">
          <cell r="A560">
            <v>46082</v>
          </cell>
          <cell r="B560">
            <v>2.15</v>
          </cell>
          <cell r="C560">
            <v>2</v>
          </cell>
          <cell r="D560">
            <v>1.9359999999999999</v>
          </cell>
          <cell r="E560"/>
          <cell r="F560"/>
          <cell r="G560"/>
          <cell r="H560"/>
          <cell r="I560"/>
          <cell r="J560"/>
          <cell r="K560"/>
          <cell r="L560"/>
          <cell r="M560"/>
          <cell r="N560"/>
          <cell r="O560">
            <v>1.99</v>
          </cell>
          <cell r="P560">
            <v>2.0499999999999998</v>
          </cell>
          <cell r="Q560">
            <v>2.1459999999999999</v>
          </cell>
          <cell r="R560">
            <v>2.2549999999999999</v>
          </cell>
          <cell r="S560">
            <v>2.0209999999999999</v>
          </cell>
          <cell r="T560">
            <v>2.12</v>
          </cell>
          <cell r="U560">
            <v>2.214</v>
          </cell>
          <cell r="V560">
            <v>2.4420000000000002</v>
          </cell>
          <cell r="W560">
            <v>2.8620000000000001</v>
          </cell>
          <cell r="X560">
            <v>3.484</v>
          </cell>
          <cell r="Y560"/>
          <cell r="Z560"/>
          <cell r="AA560"/>
          <cell r="AB560"/>
          <cell r="AC560"/>
          <cell r="AD560"/>
          <cell r="AE560"/>
          <cell r="AF560"/>
          <cell r="AG560"/>
          <cell r="AH560"/>
          <cell r="AI560">
            <v>2.1829999999999998</v>
          </cell>
          <cell r="AJ560">
            <v>2.2370000000000001</v>
          </cell>
          <cell r="AK560">
            <v>2.3220000000000001</v>
          </cell>
          <cell r="AL560">
            <v>2.4860000000000002</v>
          </cell>
          <cell r="AM560">
            <v>2.823</v>
          </cell>
          <cell r="AN560"/>
          <cell r="AO560"/>
          <cell r="AP560"/>
          <cell r="AQ560"/>
          <cell r="AR560"/>
          <cell r="AS560"/>
          <cell r="AT560"/>
          <cell r="AU560"/>
          <cell r="AV560"/>
          <cell r="AW560"/>
          <cell r="AX560">
            <v>0.86099999999999999</v>
          </cell>
          <cell r="AY560"/>
          <cell r="AZ560">
            <v>5957</v>
          </cell>
        </row>
        <row r="561">
          <cell r="A561">
            <v>46113</v>
          </cell>
          <cell r="B561">
            <v>2.15</v>
          </cell>
          <cell r="C561">
            <v>2</v>
          </cell>
          <cell r="D561">
            <v>1.9379999999999999</v>
          </cell>
          <cell r="E561"/>
          <cell r="F561"/>
          <cell r="G561"/>
          <cell r="H561"/>
          <cell r="I561"/>
          <cell r="J561"/>
          <cell r="K561"/>
          <cell r="L561"/>
          <cell r="M561"/>
          <cell r="N561"/>
          <cell r="O561">
            <v>2</v>
          </cell>
          <cell r="P561">
            <v>2.0699999999999998</v>
          </cell>
          <cell r="Q561">
            <v>2.1560000000000001</v>
          </cell>
          <cell r="R561">
            <v>2.2599999999999998</v>
          </cell>
          <cell r="S561">
            <v>2.0310000000000001</v>
          </cell>
          <cell r="T561">
            <v>2.13</v>
          </cell>
          <cell r="U561">
            <v>2.2240000000000002</v>
          </cell>
          <cell r="V561">
            <v>2.452</v>
          </cell>
          <cell r="W561">
            <v>2.87</v>
          </cell>
          <cell r="X561">
            <v>3.4889999999999999</v>
          </cell>
          <cell r="Y561"/>
          <cell r="Z561"/>
          <cell r="AA561"/>
          <cell r="AB561"/>
          <cell r="AC561"/>
          <cell r="AD561"/>
          <cell r="AE561"/>
          <cell r="AF561"/>
          <cell r="AG561"/>
          <cell r="AH561"/>
          <cell r="AI561">
            <v>2.2029999999999998</v>
          </cell>
          <cell r="AJ561">
            <v>2.2719999999999998</v>
          </cell>
          <cell r="AK561">
            <v>2.3570000000000002</v>
          </cell>
          <cell r="AL561">
            <v>2.5209999999999999</v>
          </cell>
          <cell r="AM561">
            <v>2.8580000000000001</v>
          </cell>
          <cell r="AN561"/>
          <cell r="AO561"/>
          <cell r="AP561"/>
          <cell r="AQ561"/>
          <cell r="AR561"/>
          <cell r="AS561"/>
          <cell r="AT561"/>
          <cell r="AU561"/>
          <cell r="AV561"/>
          <cell r="AW561"/>
          <cell r="AX561">
            <v>0.86</v>
          </cell>
          <cell r="AY561"/>
          <cell r="AZ561">
            <v>5914</v>
          </cell>
        </row>
        <row r="562">
          <cell r="A562">
            <v>46143</v>
          </cell>
          <cell r="B562">
            <v>2.15</v>
          </cell>
          <cell r="C562">
            <v>2</v>
          </cell>
          <cell r="D562">
            <v>1.9390000000000001</v>
          </cell>
          <cell r="E562"/>
          <cell r="F562"/>
          <cell r="G562"/>
          <cell r="H562"/>
          <cell r="I562"/>
          <cell r="J562"/>
          <cell r="K562"/>
          <cell r="L562"/>
          <cell r="M562"/>
          <cell r="N562"/>
          <cell r="O562">
            <v>2.0099999999999998</v>
          </cell>
          <cell r="P562">
            <v>2.09</v>
          </cell>
          <cell r="Q562">
            <v>2.1659999999999999</v>
          </cell>
          <cell r="R562">
            <v>2.2650000000000001</v>
          </cell>
          <cell r="S562">
            <v>2.0409999999999999</v>
          </cell>
          <cell r="T562">
            <v>2.14</v>
          </cell>
          <cell r="U562">
            <v>2.234</v>
          </cell>
          <cell r="V562">
            <v>2.4620000000000002</v>
          </cell>
          <cell r="W562">
            <v>2.8769999999999998</v>
          </cell>
          <cell r="X562">
            <v>3.4940000000000002</v>
          </cell>
          <cell r="Y562"/>
          <cell r="Z562"/>
          <cell r="AA562"/>
          <cell r="AB562"/>
          <cell r="AC562"/>
          <cell r="AD562"/>
          <cell r="AE562"/>
          <cell r="AF562"/>
          <cell r="AG562"/>
          <cell r="AH562"/>
          <cell r="AI562">
            <v>2.2120000000000002</v>
          </cell>
          <cell r="AJ562">
            <v>2.3069999999999999</v>
          </cell>
          <cell r="AK562">
            <v>2.3919999999999999</v>
          </cell>
          <cell r="AL562">
            <v>2.556</v>
          </cell>
          <cell r="AM562">
            <v>2.8929999999999998</v>
          </cell>
          <cell r="AN562"/>
          <cell r="AO562"/>
          <cell r="AP562"/>
          <cell r="AQ562"/>
          <cell r="AR562"/>
          <cell r="AS562"/>
          <cell r="AT562"/>
          <cell r="AU562"/>
          <cell r="AV562"/>
          <cell r="AW562"/>
          <cell r="AX562">
            <v>0.85899999999999999</v>
          </cell>
          <cell r="AY562"/>
          <cell r="AZ562">
            <v>5872</v>
          </cell>
        </row>
        <row r="563">
          <cell r="A563">
            <v>46174</v>
          </cell>
          <cell r="B563">
            <v>2.15</v>
          </cell>
          <cell r="C563">
            <v>2</v>
          </cell>
          <cell r="D563">
            <v>1.9410000000000001</v>
          </cell>
          <cell r="E563"/>
          <cell r="F563"/>
          <cell r="G563"/>
          <cell r="H563"/>
          <cell r="I563"/>
          <cell r="J563"/>
          <cell r="K563"/>
          <cell r="L563"/>
          <cell r="M563"/>
          <cell r="N563"/>
          <cell r="O563">
            <v>2.0190000000000001</v>
          </cell>
          <cell r="P563">
            <v>2.11</v>
          </cell>
          <cell r="Q563">
            <v>2.1779999999999999</v>
          </cell>
          <cell r="R563">
            <v>2.27</v>
          </cell>
          <cell r="S563">
            <v>2.0510000000000002</v>
          </cell>
          <cell r="T563">
            <v>2.15</v>
          </cell>
          <cell r="U563">
            <v>2.2440000000000002</v>
          </cell>
          <cell r="V563">
            <v>2.472</v>
          </cell>
          <cell r="W563">
            <v>2.8849999999999998</v>
          </cell>
          <cell r="X563">
            <v>3.4990000000000001</v>
          </cell>
          <cell r="Y563"/>
          <cell r="Z563"/>
          <cell r="AA563"/>
          <cell r="AB563"/>
          <cell r="AC563"/>
          <cell r="AD563"/>
          <cell r="AE563"/>
          <cell r="AF563"/>
          <cell r="AG563"/>
          <cell r="AH563"/>
          <cell r="AI563">
            <v>2.222</v>
          </cell>
          <cell r="AJ563">
            <v>2.3140000000000001</v>
          </cell>
          <cell r="AK563">
            <v>2.4169999999999998</v>
          </cell>
          <cell r="AL563">
            <v>2.5910000000000002</v>
          </cell>
          <cell r="AM563">
            <v>2.9279999999999999</v>
          </cell>
          <cell r="AN563"/>
          <cell r="AO563"/>
          <cell r="AP563"/>
          <cell r="AQ563"/>
          <cell r="AR563"/>
          <cell r="AS563"/>
          <cell r="AT563"/>
          <cell r="AU563"/>
          <cell r="AV563"/>
          <cell r="AW563"/>
          <cell r="AX563">
            <v>0.85599999999999998</v>
          </cell>
          <cell r="AY563"/>
          <cell r="AZ563">
            <v>5829</v>
          </cell>
        </row>
        <row r="564">
          <cell r="A564">
            <v>46204</v>
          </cell>
          <cell r="B564">
            <v>2.15</v>
          </cell>
          <cell r="C564">
            <v>2</v>
          </cell>
          <cell r="D564">
            <v>1.9419999999999999</v>
          </cell>
          <cell r="E564"/>
          <cell r="F564"/>
          <cell r="G564"/>
          <cell r="H564"/>
          <cell r="I564"/>
          <cell r="J564"/>
          <cell r="K564"/>
          <cell r="L564"/>
          <cell r="M564"/>
          <cell r="N564"/>
          <cell r="O564">
            <v>2.0390000000000001</v>
          </cell>
          <cell r="P564">
            <v>2.13</v>
          </cell>
          <cell r="Q564">
            <v>2.1909999999999998</v>
          </cell>
          <cell r="R564">
            <v>2.2749999999999999</v>
          </cell>
          <cell r="S564">
            <v>2.0609999999999999</v>
          </cell>
          <cell r="T564">
            <v>2.16</v>
          </cell>
          <cell r="U564">
            <v>2.254</v>
          </cell>
          <cell r="V564">
            <v>2.4820000000000002</v>
          </cell>
          <cell r="W564">
            <v>2.895</v>
          </cell>
          <cell r="X564">
            <v>3.504</v>
          </cell>
          <cell r="Y564"/>
          <cell r="Z564"/>
          <cell r="AA564"/>
          <cell r="AB564"/>
          <cell r="AC564"/>
          <cell r="AD564"/>
          <cell r="AE564"/>
          <cell r="AF564"/>
          <cell r="AG564"/>
          <cell r="AH564"/>
          <cell r="AI564">
            <v>2.2320000000000002</v>
          </cell>
          <cell r="AJ564">
            <v>2.3340000000000001</v>
          </cell>
          <cell r="AK564">
            <v>2.4289999999999998</v>
          </cell>
          <cell r="AL564">
            <v>2.6240000000000001</v>
          </cell>
          <cell r="AM564">
            <v>2.9630000000000001</v>
          </cell>
          <cell r="AN564"/>
          <cell r="AO564"/>
          <cell r="AP564"/>
          <cell r="AQ564"/>
          <cell r="AR564"/>
          <cell r="AS564"/>
          <cell r="AT564"/>
          <cell r="AU564"/>
          <cell r="AV564"/>
          <cell r="AW564"/>
          <cell r="AX564">
            <v>0.85299999999999998</v>
          </cell>
          <cell r="AY564"/>
          <cell r="AZ564">
            <v>5787</v>
          </cell>
        </row>
        <row r="565">
          <cell r="A565">
            <v>46235</v>
          </cell>
          <cell r="B565">
            <v>2.15</v>
          </cell>
          <cell r="C565">
            <v>2</v>
          </cell>
          <cell r="D565">
            <v>1.944</v>
          </cell>
          <cell r="E565"/>
          <cell r="F565"/>
          <cell r="G565"/>
          <cell r="H565"/>
          <cell r="I565"/>
          <cell r="J565"/>
          <cell r="K565"/>
          <cell r="L565"/>
          <cell r="M565"/>
          <cell r="N565"/>
          <cell r="O565">
            <v>2.0590000000000002</v>
          </cell>
          <cell r="P565">
            <v>2.15</v>
          </cell>
          <cell r="Q565">
            <v>2.2029999999999998</v>
          </cell>
          <cell r="R565">
            <v>2.2799999999999998</v>
          </cell>
          <cell r="S565">
            <v>2.0710000000000002</v>
          </cell>
          <cell r="T565">
            <v>2.17</v>
          </cell>
          <cell r="U565">
            <v>2.2639999999999998</v>
          </cell>
          <cell r="V565">
            <v>2.492</v>
          </cell>
          <cell r="W565">
            <v>2.9049999999999998</v>
          </cell>
          <cell r="X565">
            <v>3.5089999999999999</v>
          </cell>
          <cell r="Y565"/>
          <cell r="Z565"/>
          <cell r="AA565"/>
          <cell r="AB565"/>
          <cell r="AC565"/>
          <cell r="AD565"/>
          <cell r="AE565"/>
          <cell r="AF565"/>
          <cell r="AG565"/>
          <cell r="AH565"/>
          <cell r="AI565">
            <v>2.25</v>
          </cell>
          <cell r="AJ565">
            <v>2.3540000000000001</v>
          </cell>
          <cell r="AK565">
            <v>2.4420000000000002</v>
          </cell>
          <cell r="AL565">
            <v>2.6389999999999998</v>
          </cell>
          <cell r="AM565">
            <v>2.972</v>
          </cell>
          <cell r="AN565"/>
          <cell r="AO565"/>
          <cell r="AP565"/>
          <cell r="AQ565"/>
          <cell r="AR565"/>
          <cell r="AS565"/>
          <cell r="AT565"/>
          <cell r="AU565"/>
          <cell r="AV565"/>
          <cell r="AW565"/>
          <cell r="AX565">
            <v>0.84699999999999998</v>
          </cell>
          <cell r="AY565"/>
          <cell r="AZ565">
            <v>5745</v>
          </cell>
        </row>
        <row r="566">
          <cell r="A566">
            <v>46266</v>
          </cell>
          <cell r="B566">
            <v>2.15</v>
          </cell>
          <cell r="C566">
            <v>2</v>
          </cell>
          <cell r="D566">
            <v>1.99</v>
          </cell>
          <cell r="E566"/>
          <cell r="F566"/>
          <cell r="G566"/>
          <cell r="H566"/>
          <cell r="I566"/>
          <cell r="J566"/>
          <cell r="K566"/>
          <cell r="L566"/>
          <cell r="M566"/>
          <cell r="N566"/>
          <cell r="O566">
            <v>2.0790000000000002</v>
          </cell>
          <cell r="P566">
            <v>2.17</v>
          </cell>
          <cell r="Q566">
            <v>2.2160000000000002</v>
          </cell>
          <cell r="R566">
            <v>2.2850000000000001</v>
          </cell>
          <cell r="S566">
            <v>2.081</v>
          </cell>
          <cell r="T566">
            <v>2.1800000000000002</v>
          </cell>
          <cell r="U566">
            <v>2.274</v>
          </cell>
          <cell r="V566">
            <v>2.5019999999999998</v>
          </cell>
          <cell r="W566">
            <v>2.915</v>
          </cell>
          <cell r="X566">
            <v>3.5139999999999998</v>
          </cell>
          <cell r="Y566"/>
          <cell r="Z566"/>
          <cell r="AA566"/>
          <cell r="AB566"/>
          <cell r="AC566"/>
          <cell r="AD566"/>
          <cell r="AE566"/>
          <cell r="AF566"/>
          <cell r="AG566"/>
          <cell r="AH566"/>
          <cell r="AI566">
            <v>2.2669999999999999</v>
          </cell>
          <cell r="AJ566">
            <v>2.3740000000000001</v>
          </cell>
          <cell r="AK566">
            <v>2.4569999999999999</v>
          </cell>
          <cell r="AL566">
            <v>2.6539999999999999</v>
          </cell>
          <cell r="AM566">
            <v>2.9849999999999999</v>
          </cell>
          <cell r="AN566"/>
          <cell r="AO566"/>
          <cell r="AP566"/>
          <cell r="AQ566"/>
          <cell r="AR566"/>
          <cell r="AS566"/>
          <cell r="AT566"/>
          <cell r="AU566"/>
          <cell r="AV566"/>
          <cell r="AW566"/>
          <cell r="AX566">
            <v>0.84499999999999997</v>
          </cell>
          <cell r="AY566"/>
          <cell r="AZ566">
            <v>5704</v>
          </cell>
        </row>
        <row r="567">
          <cell r="A567">
            <v>46296</v>
          </cell>
          <cell r="B567">
            <v>2.15</v>
          </cell>
          <cell r="C567">
            <v>2</v>
          </cell>
          <cell r="D567">
            <v>2.0099999999999998</v>
          </cell>
          <cell r="E567"/>
          <cell r="F567"/>
          <cell r="G567"/>
          <cell r="H567"/>
          <cell r="I567"/>
          <cell r="J567"/>
          <cell r="K567"/>
          <cell r="L567"/>
          <cell r="M567"/>
          <cell r="N567"/>
          <cell r="O567">
            <v>2.1040000000000001</v>
          </cell>
          <cell r="P567">
            <v>2.19</v>
          </cell>
          <cell r="Q567">
            <v>2.2280000000000002</v>
          </cell>
          <cell r="R567">
            <v>2.29</v>
          </cell>
          <cell r="S567">
            <v>2.0910000000000002</v>
          </cell>
          <cell r="T567">
            <v>2.19</v>
          </cell>
          <cell r="U567">
            <v>2.2839999999999998</v>
          </cell>
          <cell r="V567">
            <v>2.512</v>
          </cell>
          <cell r="W567">
            <v>2.9249999999999998</v>
          </cell>
          <cell r="X567">
            <v>3.5190000000000001</v>
          </cell>
          <cell r="Y567"/>
          <cell r="Z567"/>
          <cell r="AA567"/>
          <cell r="AB567"/>
          <cell r="AC567"/>
          <cell r="AD567"/>
          <cell r="AE567"/>
          <cell r="AF567"/>
          <cell r="AG567"/>
          <cell r="AH567"/>
          <cell r="AI567">
            <v>2.2869999999999999</v>
          </cell>
          <cell r="AJ567">
            <v>2.3940000000000001</v>
          </cell>
          <cell r="AK567">
            <v>2.472</v>
          </cell>
          <cell r="AL567">
            <v>2.669</v>
          </cell>
          <cell r="AM567">
            <v>2.9969999999999999</v>
          </cell>
          <cell r="AN567"/>
          <cell r="AO567"/>
          <cell r="AP567"/>
          <cell r="AQ567"/>
          <cell r="AR567"/>
          <cell r="AS567"/>
          <cell r="AT567"/>
          <cell r="AU567"/>
          <cell r="AV567"/>
          <cell r="AW567"/>
          <cell r="AX567">
            <v>0.84499999999999997</v>
          </cell>
          <cell r="AY567"/>
          <cell r="AZ567">
            <v>5662</v>
          </cell>
        </row>
        <row r="568">
          <cell r="A568">
            <v>46327</v>
          </cell>
          <cell r="B568">
            <v>2.15</v>
          </cell>
          <cell r="C568">
            <v>2</v>
          </cell>
          <cell r="D568">
            <v>2.0299999999999998</v>
          </cell>
          <cell r="E568"/>
          <cell r="F568"/>
          <cell r="G568"/>
          <cell r="H568"/>
          <cell r="I568"/>
          <cell r="J568"/>
          <cell r="K568"/>
          <cell r="L568"/>
          <cell r="M568"/>
          <cell r="N568"/>
          <cell r="O568">
            <v>2.129</v>
          </cell>
          <cell r="P568">
            <v>2.194</v>
          </cell>
          <cell r="Q568">
            <v>2.2389999999999999</v>
          </cell>
          <cell r="R568">
            <v>2.2949999999999999</v>
          </cell>
          <cell r="S568">
            <v>2.101</v>
          </cell>
          <cell r="T568">
            <v>2.2000000000000002</v>
          </cell>
          <cell r="U568">
            <v>2.294</v>
          </cell>
          <cell r="V568">
            <v>2.5219999999999998</v>
          </cell>
          <cell r="W568">
            <v>2.9350000000000001</v>
          </cell>
          <cell r="X568">
            <v>3.524</v>
          </cell>
          <cell r="Y568"/>
          <cell r="Z568"/>
          <cell r="AA568"/>
          <cell r="AB568"/>
          <cell r="AC568"/>
          <cell r="AD568"/>
          <cell r="AE568"/>
          <cell r="AF568"/>
          <cell r="AG568"/>
          <cell r="AH568"/>
          <cell r="AI568">
            <v>2.3069999999999999</v>
          </cell>
          <cell r="AJ568">
            <v>2.4140000000000001</v>
          </cell>
          <cell r="AK568">
            <v>2.4870000000000001</v>
          </cell>
          <cell r="AL568">
            <v>2.6840000000000002</v>
          </cell>
          <cell r="AM568">
            <v>3.012</v>
          </cell>
          <cell r="AN568"/>
          <cell r="AO568"/>
          <cell r="AP568"/>
          <cell r="AQ568"/>
          <cell r="AR568"/>
          <cell r="AS568"/>
          <cell r="AT568"/>
          <cell r="AU568"/>
          <cell r="AV568"/>
          <cell r="AW568"/>
          <cell r="AX568">
            <v>0.83799999999999997</v>
          </cell>
          <cell r="AY568"/>
          <cell r="AZ568">
            <v>5620</v>
          </cell>
        </row>
        <row r="569">
          <cell r="A569">
            <v>46357</v>
          </cell>
          <cell r="B569">
            <v>2.15</v>
          </cell>
          <cell r="C569">
            <v>2</v>
          </cell>
          <cell r="D569">
            <v>2.0499999999999998</v>
          </cell>
          <cell r="E569"/>
          <cell r="F569"/>
          <cell r="G569"/>
          <cell r="H569"/>
          <cell r="I569"/>
          <cell r="J569"/>
          <cell r="K569"/>
          <cell r="L569"/>
          <cell r="M569"/>
          <cell r="N569"/>
          <cell r="O569">
            <v>2.149</v>
          </cell>
          <cell r="P569">
            <v>2.2040000000000002</v>
          </cell>
          <cell r="Q569">
            <v>2.2519999999999998</v>
          </cell>
          <cell r="R569">
            <v>2.2999999999999998</v>
          </cell>
          <cell r="S569">
            <v>2.1110000000000002</v>
          </cell>
          <cell r="T569">
            <v>2.2000000000000002</v>
          </cell>
          <cell r="U569">
            <v>2.3039999999999998</v>
          </cell>
          <cell r="V569">
            <v>2.532</v>
          </cell>
          <cell r="W569">
            <v>2.9470000000000001</v>
          </cell>
          <cell r="X569">
            <v>3.5289999999999999</v>
          </cell>
          <cell r="Y569"/>
          <cell r="Z569"/>
          <cell r="AA569"/>
          <cell r="AB569"/>
          <cell r="AC569"/>
          <cell r="AD569"/>
          <cell r="AE569"/>
          <cell r="AF569"/>
          <cell r="AG569"/>
          <cell r="AH569"/>
          <cell r="AI569">
            <v>2.327</v>
          </cell>
          <cell r="AJ569">
            <v>2.4340000000000002</v>
          </cell>
          <cell r="AK569">
            <v>2.512</v>
          </cell>
          <cell r="AL569">
            <v>2.6989999999999998</v>
          </cell>
          <cell r="AM569">
            <v>3.0270000000000001</v>
          </cell>
          <cell r="AN569"/>
          <cell r="AO569"/>
          <cell r="AP569"/>
          <cell r="AQ569"/>
          <cell r="AR569"/>
          <cell r="AS569"/>
          <cell r="AT569"/>
          <cell r="AU569"/>
          <cell r="AV569"/>
          <cell r="AW569"/>
          <cell r="AX569">
            <v>0.83599999999999997</v>
          </cell>
          <cell r="AY569"/>
          <cell r="AZ569">
            <v>5578</v>
          </cell>
        </row>
        <row r="570">
          <cell r="A570">
            <v>46388</v>
          </cell>
          <cell r="B570">
            <v>2.15</v>
          </cell>
          <cell r="C570">
            <v>2</v>
          </cell>
          <cell r="D570">
            <v>2.0699999999999998</v>
          </cell>
          <cell r="E570"/>
          <cell r="F570"/>
          <cell r="G570"/>
          <cell r="H570"/>
          <cell r="I570"/>
          <cell r="J570"/>
          <cell r="K570"/>
          <cell r="L570"/>
          <cell r="M570"/>
          <cell r="N570"/>
          <cell r="O570">
            <v>2.1749999999999998</v>
          </cell>
          <cell r="P570">
            <v>2.2269999999999999</v>
          </cell>
          <cell r="Q570">
            <v>2.274</v>
          </cell>
          <cell r="R570">
            <v>2.335</v>
          </cell>
          <cell r="S570">
            <v>2.121</v>
          </cell>
          <cell r="T570">
            <v>2.21</v>
          </cell>
          <cell r="U570">
            <v>2.3140000000000001</v>
          </cell>
          <cell r="V570">
            <v>2.5419999999999998</v>
          </cell>
          <cell r="W570">
            <v>2.9569999999999999</v>
          </cell>
          <cell r="X570">
            <v>3.5339999999999998</v>
          </cell>
          <cell r="Y570"/>
          <cell r="Z570"/>
          <cell r="AA570"/>
          <cell r="AB570"/>
          <cell r="AC570"/>
          <cell r="AD570"/>
          <cell r="AE570"/>
          <cell r="AF570"/>
          <cell r="AG570"/>
          <cell r="AH570"/>
          <cell r="AI570">
            <v>2.3570000000000002</v>
          </cell>
          <cell r="AJ570">
            <v>2.4540000000000002</v>
          </cell>
          <cell r="AK570">
            <v>2.5369999999999999</v>
          </cell>
          <cell r="AL570">
            <v>2.714</v>
          </cell>
          <cell r="AM570">
            <v>3.0419999999999998</v>
          </cell>
          <cell r="AN570"/>
          <cell r="AO570"/>
          <cell r="AP570"/>
          <cell r="AQ570"/>
          <cell r="AR570"/>
          <cell r="AS570"/>
          <cell r="AT570"/>
          <cell r="AU570"/>
          <cell r="AV570"/>
          <cell r="AW570"/>
          <cell r="AX570">
            <v>0.83299999999999996</v>
          </cell>
          <cell r="AY570"/>
          <cell r="AZ570">
            <v>5535</v>
          </cell>
        </row>
        <row r="571">
          <cell r="A571">
            <v>46419</v>
          </cell>
          <cell r="B571">
            <v>2.15</v>
          </cell>
          <cell r="C571">
            <v>2</v>
          </cell>
          <cell r="D571">
            <v>2.09</v>
          </cell>
          <cell r="E571"/>
          <cell r="F571"/>
          <cell r="G571"/>
          <cell r="H571"/>
          <cell r="I571"/>
          <cell r="J571"/>
          <cell r="K571"/>
          <cell r="L571"/>
          <cell r="M571"/>
          <cell r="N571"/>
          <cell r="O571">
            <v>2.1949999999999998</v>
          </cell>
          <cell r="P571">
            <v>2.2490000000000001</v>
          </cell>
          <cell r="Q571">
            <v>2.2989999999999999</v>
          </cell>
          <cell r="R571">
            <v>2.37</v>
          </cell>
          <cell r="S571">
            <v>2.1309999999999998</v>
          </cell>
          <cell r="T571">
            <v>2.2200000000000002</v>
          </cell>
          <cell r="U571">
            <v>2.3239999999999998</v>
          </cell>
          <cell r="V571">
            <v>2.552</v>
          </cell>
          <cell r="W571">
            <v>2.9670000000000001</v>
          </cell>
          <cell r="X571">
            <v>3.5390000000000001</v>
          </cell>
          <cell r="Y571"/>
          <cell r="Z571"/>
          <cell r="AA571"/>
          <cell r="AB571"/>
          <cell r="AC571"/>
          <cell r="AD571"/>
          <cell r="AE571"/>
          <cell r="AF571"/>
          <cell r="AG571"/>
          <cell r="AH571"/>
          <cell r="AI571">
            <v>2.387</v>
          </cell>
          <cell r="AJ571">
            <v>2.484</v>
          </cell>
          <cell r="AK571">
            <v>2.5619999999999998</v>
          </cell>
          <cell r="AL571">
            <v>2.7290000000000001</v>
          </cell>
          <cell r="AM571">
            <v>3.0569999999999999</v>
          </cell>
          <cell r="AN571"/>
          <cell r="AO571"/>
          <cell r="AP571"/>
          <cell r="AQ571"/>
          <cell r="AR571"/>
          <cell r="AS571"/>
          <cell r="AT571"/>
          <cell r="AU571"/>
          <cell r="AV571"/>
          <cell r="AW571"/>
          <cell r="AX571">
            <v>0.83199999999999996</v>
          </cell>
          <cell r="AY571"/>
          <cell r="AZ571">
            <v>5492</v>
          </cell>
        </row>
        <row r="572">
          <cell r="A572">
            <v>46447</v>
          </cell>
          <cell r="B572">
            <v>2.15</v>
          </cell>
          <cell r="C572">
            <v>2</v>
          </cell>
          <cell r="D572">
            <v>2.1139999999999999</v>
          </cell>
          <cell r="E572"/>
          <cell r="F572"/>
          <cell r="G572"/>
          <cell r="H572"/>
          <cell r="I572"/>
          <cell r="J572"/>
          <cell r="K572"/>
          <cell r="L572"/>
          <cell r="M572"/>
          <cell r="N572"/>
          <cell r="O572">
            <v>2.2149999999999999</v>
          </cell>
          <cell r="P572">
            <v>2.2719999999999998</v>
          </cell>
          <cell r="Q572">
            <v>2.327</v>
          </cell>
          <cell r="R572">
            <v>2.4049999999999998</v>
          </cell>
          <cell r="S572">
            <v>2.1480000000000001</v>
          </cell>
          <cell r="T572">
            <v>2.23</v>
          </cell>
          <cell r="U572">
            <v>2.3340000000000001</v>
          </cell>
          <cell r="V572">
            <v>2.5619999999999998</v>
          </cell>
          <cell r="W572">
            <v>2.9769999999999999</v>
          </cell>
          <cell r="X572">
            <v>3.544</v>
          </cell>
          <cell r="Y572"/>
          <cell r="Z572"/>
          <cell r="AA572"/>
          <cell r="AB572"/>
          <cell r="AC572"/>
          <cell r="AD572"/>
          <cell r="AE572"/>
          <cell r="AF572"/>
          <cell r="AG572"/>
          <cell r="AH572"/>
          <cell r="AI572">
            <v>2.4169999999999998</v>
          </cell>
          <cell r="AJ572">
            <v>2.5139999999999998</v>
          </cell>
          <cell r="AK572">
            <v>2.5870000000000002</v>
          </cell>
          <cell r="AL572">
            <v>2.7440000000000002</v>
          </cell>
          <cell r="AM572">
            <v>3.0720000000000001</v>
          </cell>
          <cell r="AN572"/>
          <cell r="AO572"/>
          <cell r="AP572"/>
          <cell r="AQ572"/>
          <cell r="AR572"/>
          <cell r="AS572"/>
          <cell r="AT572"/>
          <cell r="AU572"/>
          <cell r="AV572"/>
          <cell r="AW572"/>
          <cell r="AX572">
            <v>0.83099999999999996</v>
          </cell>
          <cell r="AY572"/>
          <cell r="AZ572">
            <v>5449</v>
          </cell>
        </row>
        <row r="573">
          <cell r="A573">
            <v>46478</v>
          </cell>
          <cell r="B573">
            <v>2.15</v>
          </cell>
          <cell r="C573">
            <v>2</v>
          </cell>
          <cell r="D573">
            <v>2.1440000000000001</v>
          </cell>
          <cell r="E573"/>
          <cell r="F573"/>
          <cell r="G573"/>
          <cell r="H573"/>
          <cell r="I573"/>
          <cell r="J573"/>
          <cell r="K573"/>
          <cell r="L573"/>
          <cell r="M573"/>
          <cell r="N573"/>
          <cell r="O573">
            <v>2.2400000000000002</v>
          </cell>
          <cell r="P573">
            <v>2.294</v>
          </cell>
          <cell r="Q573">
            <v>2.3540000000000001</v>
          </cell>
          <cell r="R573">
            <v>2.44</v>
          </cell>
          <cell r="S573">
            <v>2.173</v>
          </cell>
          <cell r="T573">
            <v>2.2400000000000002</v>
          </cell>
          <cell r="U573">
            <v>2.3439999999999999</v>
          </cell>
          <cell r="V573">
            <v>2.5720000000000001</v>
          </cell>
          <cell r="W573">
            <v>2.9870000000000001</v>
          </cell>
          <cell r="X573">
            <v>3.5489999999999999</v>
          </cell>
          <cell r="Y573"/>
          <cell r="Z573"/>
          <cell r="AA573"/>
          <cell r="AB573"/>
          <cell r="AC573"/>
          <cell r="AD573"/>
          <cell r="AE573"/>
          <cell r="AF573"/>
          <cell r="AG573"/>
          <cell r="AH573"/>
          <cell r="AI573">
            <v>2.4470000000000001</v>
          </cell>
          <cell r="AJ573">
            <v>2.544</v>
          </cell>
          <cell r="AK573">
            <v>2.6120000000000001</v>
          </cell>
          <cell r="AL573">
            <v>2.7589999999999999</v>
          </cell>
          <cell r="AM573">
            <v>3.0870000000000002</v>
          </cell>
          <cell r="AN573"/>
          <cell r="AO573"/>
          <cell r="AP573"/>
          <cell r="AQ573"/>
          <cell r="AR573"/>
          <cell r="AS573"/>
          <cell r="AT573"/>
          <cell r="AU573"/>
          <cell r="AV573"/>
          <cell r="AW573"/>
          <cell r="AX573">
            <v>0.83</v>
          </cell>
          <cell r="AY573"/>
          <cell r="AZ573">
            <v>5406</v>
          </cell>
        </row>
        <row r="574">
          <cell r="A574">
            <v>46508</v>
          </cell>
          <cell r="B574">
            <v>2.15</v>
          </cell>
          <cell r="C574">
            <v>2</v>
          </cell>
          <cell r="D574">
            <v>2.1739999999999999</v>
          </cell>
          <cell r="E574"/>
          <cell r="F574"/>
          <cell r="G574"/>
          <cell r="H574"/>
          <cell r="I574"/>
          <cell r="J574"/>
          <cell r="K574"/>
          <cell r="L574"/>
          <cell r="M574"/>
          <cell r="N574"/>
          <cell r="O574">
            <v>2.2679999999999998</v>
          </cell>
          <cell r="P574">
            <v>2.3220000000000001</v>
          </cell>
          <cell r="Q574">
            <v>2.3839999999999999</v>
          </cell>
          <cell r="R574">
            <v>2.4750000000000001</v>
          </cell>
          <cell r="S574">
            <v>2.198</v>
          </cell>
          <cell r="T574">
            <v>2.2549999999999999</v>
          </cell>
          <cell r="U574">
            <v>2.3540000000000001</v>
          </cell>
          <cell r="V574">
            <v>2.5819999999999999</v>
          </cell>
          <cell r="W574">
            <v>2.9940000000000002</v>
          </cell>
          <cell r="X574">
            <v>3.5539999999999998</v>
          </cell>
          <cell r="Y574"/>
          <cell r="Z574"/>
          <cell r="AA574"/>
          <cell r="AB574"/>
          <cell r="AC574"/>
          <cell r="AD574"/>
          <cell r="AE574"/>
          <cell r="AF574"/>
          <cell r="AG574"/>
          <cell r="AH574"/>
          <cell r="AI574">
            <v>2.4769999999999999</v>
          </cell>
          <cell r="AJ574">
            <v>2.5739999999999998</v>
          </cell>
          <cell r="AK574">
            <v>2.637</v>
          </cell>
          <cell r="AL574">
            <v>2.7719999999999998</v>
          </cell>
          <cell r="AM574">
            <v>3.1019999999999999</v>
          </cell>
          <cell r="AN574"/>
          <cell r="AO574"/>
          <cell r="AP574"/>
          <cell r="AQ574"/>
          <cell r="AR574"/>
          <cell r="AS574"/>
          <cell r="AT574"/>
          <cell r="AU574"/>
          <cell r="AV574"/>
          <cell r="AW574"/>
          <cell r="AX574">
            <v>0.82899999999999996</v>
          </cell>
          <cell r="AY574"/>
          <cell r="AZ574">
            <v>5363</v>
          </cell>
        </row>
        <row r="575">
          <cell r="A575">
            <v>46539</v>
          </cell>
          <cell r="B575">
            <v>2.4</v>
          </cell>
          <cell r="C575">
            <v>2.25</v>
          </cell>
          <cell r="D575">
            <v>2.2040000000000002</v>
          </cell>
          <cell r="E575"/>
          <cell r="F575"/>
          <cell r="G575"/>
          <cell r="H575"/>
          <cell r="I575"/>
          <cell r="J575"/>
          <cell r="K575"/>
          <cell r="L575"/>
          <cell r="M575"/>
          <cell r="N575"/>
          <cell r="O575">
            <v>2.2949999999999999</v>
          </cell>
          <cell r="P575">
            <v>2.3490000000000002</v>
          </cell>
          <cell r="Q575">
            <v>2.4140000000000001</v>
          </cell>
          <cell r="R575">
            <v>2.5150000000000001</v>
          </cell>
          <cell r="S575">
            <v>2.2229999999999999</v>
          </cell>
          <cell r="T575">
            <v>2.27</v>
          </cell>
          <cell r="U575">
            <v>2.3639999999999999</v>
          </cell>
          <cell r="V575">
            <v>2.5920000000000001</v>
          </cell>
          <cell r="W575">
            <v>3.0019999999999998</v>
          </cell>
          <cell r="X575">
            <v>3.5590000000000002</v>
          </cell>
          <cell r="Y575"/>
          <cell r="Z575"/>
          <cell r="AA575"/>
          <cell r="AB575"/>
          <cell r="AC575"/>
          <cell r="AD575"/>
          <cell r="AE575"/>
          <cell r="AF575"/>
          <cell r="AG575"/>
          <cell r="AH575"/>
          <cell r="AI575">
            <v>2.5070000000000001</v>
          </cell>
          <cell r="AJ575">
            <v>2.6040000000000001</v>
          </cell>
          <cell r="AK575">
            <v>2.6619999999999999</v>
          </cell>
          <cell r="AL575">
            <v>2.7919999999999998</v>
          </cell>
          <cell r="AM575">
            <v>3.117</v>
          </cell>
          <cell r="AN575"/>
          <cell r="AO575"/>
          <cell r="AP575"/>
          <cell r="AQ575"/>
          <cell r="AR575"/>
          <cell r="AS575"/>
          <cell r="AT575"/>
          <cell r="AU575"/>
          <cell r="AV575"/>
          <cell r="AW575"/>
          <cell r="AX575">
            <v>0.82799999999999996</v>
          </cell>
          <cell r="AY575"/>
          <cell r="AZ575">
            <v>5320</v>
          </cell>
        </row>
        <row r="576">
          <cell r="A576">
            <v>46569</v>
          </cell>
          <cell r="B576">
            <v>2.4</v>
          </cell>
          <cell r="C576">
            <v>2.25</v>
          </cell>
          <cell r="D576">
            <v>2.234</v>
          </cell>
          <cell r="E576"/>
          <cell r="F576"/>
          <cell r="G576"/>
          <cell r="H576"/>
          <cell r="I576"/>
          <cell r="J576"/>
          <cell r="K576"/>
          <cell r="L576"/>
          <cell r="M576"/>
          <cell r="N576"/>
          <cell r="O576">
            <v>2.323</v>
          </cell>
          <cell r="P576">
            <v>2.3769999999999998</v>
          </cell>
          <cell r="Q576">
            <v>2.444</v>
          </cell>
          <cell r="R576">
            <v>2.5449999999999999</v>
          </cell>
          <cell r="S576">
            <v>2.2480000000000002</v>
          </cell>
          <cell r="T576">
            <v>2.2850000000000001</v>
          </cell>
          <cell r="U576">
            <v>2.3780000000000001</v>
          </cell>
          <cell r="V576">
            <v>2.6019999999999999</v>
          </cell>
          <cell r="W576">
            <v>3.0089999999999999</v>
          </cell>
          <cell r="X576">
            <v>3.5640000000000001</v>
          </cell>
          <cell r="Y576"/>
          <cell r="Z576"/>
          <cell r="AA576"/>
          <cell r="AB576"/>
          <cell r="AC576"/>
          <cell r="AD576"/>
          <cell r="AE576"/>
          <cell r="AF576"/>
          <cell r="AG576"/>
          <cell r="AH576"/>
          <cell r="AI576">
            <v>2.5369999999999999</v>
          </cell>
          <cell r="AJ576">
            <v>2.6339999999999999</v>
          </cell>
          <cell r="AK576">
            <v>2.6869999999999998</v>
          </cell>
          <cell r="AL576">
            <v>2.8119999999999998</v>
          </cell>
          <cell r="AM576">
            <v>3.1320000000000001</v>
          </cell>
          <cell r="AN576"/>
          <cell r="AO576"/>
          <cell r="AP576"/>
          <cell r="AQ576"/>
          <cell r="AR576"/>
          <cell r="AS576"/>
          <cell r="AT576"/>
          <cell r="AU576"/>
          <cell r="AV576"/>
          <cell r="AW576"/>
          <cell r="AX576">
            <v>0.82699999999999996</v>
          </cell>
          <cell r="AY576"/>
          <cell r="AZ576">
            <v>5276</v>
          </cell>
        </row>
        <row r="577">
          <cell r="A577">
            <v>46600</v>
          </cell>
          <cell r="B577">
            <v>2.4</v>
          </cell>
          <cell r="C577">
            <v>2.25</v>
          </cell>
          <cell r="D577">
            <v>2.2639999999999998</v>
          </cell>
          <cell r="E577"/>
          <cell r="F577"/>
          <cell r="G577"/>
          <cell r="H577"/>
          <cell r="I577"/>
          <cell r="J577"/>
          <cell r="K577"/>
          <cell r="L577"/>
          <cell r="M577"/>
          <cell r="N577"/>
          <cell r="O577">
            <v>2.35</v>
          </cell>
          <cell r="P577">
            <v>2.4039999999999999</v>
          </cell>
          <cell r="Q577">
            <v>2.4740000000000002</v>
          </cell>
          <cell r="R577">
            <v>2.5750000000000002</v>
          </cell>
          <cell r="S577">
            <v>2.27</v>
          </cell>
          <cell r="T577">
            <v>2.3029999999999999</v>
          </cell>
          <cell r="U577">
            <v>2.403</v>
          </cell>
          <cell r="V577">
            <v>2.6120000000000001</v>
          </cell>
          <cell r="W577">
            <v>3.0169999999999999</v>
          </cell>
          <cell r="X577">
            <v>3.569</v>
          </cell>
          <cell r="Y577"/>
          <cell r="Z577"/>
          <cell r="AA577"/>
          <cell r="AB577"/>
          <cell r="AC577"/>
          <cell r="AD577"/>
          <cell r="AE577"/>
          <cell r="AF577"/>
          <cell r="AG577"/>
          <cell r="AH577"/>
          <cell r="AI577">
            <v>2.5640000000000001</v>
          </cell>
          <cell r="AJ577">
            <v>2.6640000000000001</v>
          </cell>
          <cell r="AK577">
            <v>2.7120000000000002</v>
          </cell>
          <cell r="AL577">
            <v>2.8319999999999999</v>
          </cell>
          <cell r="AM577">
            <v>3.1469999999999998</v>
          </cell>
          <cell r="AN577"/>
          <cell r="AO577"/>
          <cell r="AP577"/>
          <cell r="AQ577"/>
          <cell r="AR577"/>
          <cell r="AS577"/>
          <cell r="AT577"/>
          <cell r="AU577"/>
          <cell r="AV577"/>
          <cell r="AW577"/>
          <cell r="AX577">
            <v>0.82599999999999996</v>
          </cell>
          <cell r="AY577"/>
          <cell r="AZ577">
            <v>5232</v>
          </cell>
        </row>
        <row r="578">
          <cell r="A578">
            <v>46631</v>
          </cell>
          <cell r="B578">
            <v>2.4</v>
          </cell>
          <cell r="C578">
            <v>2.25</v>
          </cell>
          <cell r="D578">
            <v>2.294</v>
          </cell>
          <cell r="E578"/>
          <cell r="F578"/>
          <cell r="G578"/>
          <cell r="H578"/>
          <cell r="I578"/>
          <cell r="J578"/>
          <cell r="K578"/>
          <cell r="L578"/>
          <cell r="M578"/>
          <cell r="N578"/>
          <cell r="O578">
            <v>2.38</v>
          </cell>
          <cell r="P578">
            <v>2.44</v>
          </cell>
          <cell r="Q578">
            <v>2.504</v>
          </cell>
          <cell r="R578">
            <v>2.605</v>
          </cell>
          <cell r="S578">
            <v>2.2850000000000001</v>
          </cell>
          <cell r="T578">
            <v>2.3279999999999998</v>
          </cell>
          <cell r="U578">
            <v>2.4279999999999999</v>
          </cell>
          <cell r="V578">
            <v>2.6280000000000001</v>
          </cell>
          <cell r="W578">
            <v>3.024</v>
          </cell>
          <cell r="X578">
            <v>3.5739999999999998</v>
          </cell>
          <cell r="Y578"/>
          <cell r="Z578"/>
          <cell r="AA578"/>
          <cell r="AB578"/>
          <cell r="AC578"/>
          <cell r="AD578"/>
          <cell r="AE578"/>
          <cell r="AF578"/>
          <cell r="AG578"/>
          <cell r="AH578"/>
          <cell r="AI578">
            <v>2.5840000000000001</v>
          </cell>
          <cell r="AJ578">
            <v>2.694</v>
          </cell>
          <cell r="AK578">
            <v>2.7370000000000001</v>
          </cell>
          <cell r="AL578">
            <v>2.8519999999999999</v>
          </cell>
          <cell r="AM578">
            <v>3.1619999999999999</v>
          </cell>
          <cell r="AN578"/>
          <cell r="AO578"/>
          <cell r="AP578"/>
          <cell r="AQ578"/>
          <cell r="AR578"/>
          <cell r="AS578"/>
          <cell r="AT578"/>
          <cell r="AU578"/>
          <cell r="AV578"/>
          <cell r="AW578"/>
          <cell r="AX578">
            <v>0.82499999999999996</v>
          </cell>
          <cell r="AY578"/>
          <cell r="AZ578">
            <v>5187</v>
          </cell>
        </row>
        <row r="579">
          <cell r="A579">
            <v>46661</v>
          </cell>
          <cell r="B579">
            <v>2.4</v>
          </cell>
          <cell r="C579">
            <v>2.25</v>
          </cell>
          <cell r="D579">
            <v>2.3239999999999998</v>
          </cell>
          <cell r="E579"/>
          <cell r="F579"/>
          <cell r="G579"/>
          <cell r="H579"/>
          <cell r="I579"/>
          <cell r="J579"/>
          <cell r="K579"/>
          <cell r="L579"/>
          <cell r="M579"/>
          <cell r="N579"/>
          <cell r="O579">
            <v>2.41</v>
          </cell>
          <cell r="P579">
            <v>2.4700000000000002</v>
          </cell>
          <cell r="Q579">
            <v>2.5339999999999998</v>
          </cell>
          <cell r="R579">
            <v>2.6349999999999998</v>
          </cell>
          <cell r="S579">
            <v>2.3029999999999999</v>
          </cell>
          <cell r="T579">
            <v>2.3530000000000002</v>
          </cell>
          <cell r="U579">
            <v>2.4529999999999998</v>
          </cell>
          <cell r="V579">
            <v>2.653</v>
          </cell>
          <cell r="W579">
            <v>3.032</v>
          </cell>
          <cell r="X579">
            <v>3.5790000000000002</v>
          </cell>
          <cell r="Y579"/>
          <cell r="Z579"/>
          <cell r="AA579"/>
          <cell r="AB579"/>
          <cell r="AC579"/>
          <cell r="AD579"/>
          <cell r="AE579"/>
          <cell r="AF579"/>
          <cell r="AG579"/>
          <cell r="AH579"/>
          <cell r="AI579">
            <v>2.6070000000000002</v>
          </cell>
          <cell r="AJ579">
            <v>2.7240000000000002</v>
          </cell>
          <cell r="AK579">
            <v>2.762</v>
          </cell>
          <cell r="AL579">
            <v>2.8719999999999999</v>
          </cell>
          <cell r="AM579">
            <v>3.177</v>
          </cell>
          <cell r="AN579"/>
          <cell r="AO579"/>
          <cell r="AP579"/>
          <cell r="AQ579"/>
          <cell r="AR579"/>
          <cell r="AS579"/>
          <cell r="AT579"/>
          <cell r="AU579"/>
          <cell r="AV579"/>
          <cell r="AW579"/>
          <cell r="AX579">
            <v>0.82399999999999995</v>
          </cell>
          <cell r="AY579"/>
          <cell r="AZ579">
            <v>5142</v>
          </cell>
        </row>
        <row r="580">
          <cell r="A580">
            <v>46692</v>
          </cell>
          <cell r="B580">
            <v>2.4</v>
          </cell>
          <cell r="C580">
            <v>2.25</v>
          </cell>
          <cell r="D580">
            <v>2.4</v>
          </cell>
          <cell r="E580"/>
          <cell r="F580"/>
          <cell r="G580"/>
          <cell r="H580"/>
          <cell r="I580"/>
          <cell r="J580"/>
          <cell r="K580"/>
          <cell r="L580"/>
          <cell r="M580"/>
          <cell r="N580"/>
          <cell r="O580">
            <v>2.44</v>
          </cell>
          <cell r="P580">
            <v>2.52</v>
          </cell>
          <cell r="Q580">
            <v>2.5659999999999998</v>
          </cell>
          <cell r="R580">
            <v>2.665</v>
          </cell>
          <cell r="S580">
            <v>2.3210000000000002</v>
          </cell>
          <cell r="T580">
            <v>2.3780000000000001</v>
          </cell>
          <cell r="U580">
            <v>2.4780000000000002</v>
          </cell>
          <cell r="V580">
            <v>2.6779999999999999</v>
          </cell>
          <cell r="W580">
            <v>3.0390000000000001</v>
          </cell>
          <cell r="X580">
            <v>3.5840000000000001</v>
          </cell>
          <cell r="Y580"/>
          <cell r="Z580"/>
          <cell r="AA580"/>
          <cell r="AB580"/>
          <cell r="AC580"/>
          <cell r="AD580"/>
          <cell r="AE580"/>
          <cell r="AF580"/>
          <cell r="AG580"/>
          <cell r="AH580"/>
          <cell r="AI580">
            <v>2.63</v>
          </cell>
          <cell r="AJ580">
            <v>2.754</v>
          </cell>
          <cell r="AK580">
            <v>2.7869999999999999</v>
          </cell>
          <cell r="AL580">
            <v>2.91</v>
          </cell>
          <cell r="AM580">
            <v>3.1920000000000002</v>
          </cell>
          <cell r="AN580"/>
          <cell r="AO580"/>
          <cell r="AP580"/>
          <cell r="AQ580"/>
          <cell r="AR580"/>
          <cell r="AS580"/>
          <cell r="AT580"/>
          <cell r="AU580"/>
          <cell r="AV580"/>
          <cell r="AW580"/>
          <cell r="AX580">
            <v>0.82299999999999995</v>
          </cell>
          <cell r="AY580"/>
          <cell r="AZ580">
            <v>5097</v>
          </cell>
        </row>
        <row r="581">
          <cell r="A581">
            <v>46722</v>
          </cell>
          <cell r="B581">
            <v>2.65</v>
          </cell>
          <cell r="C581">
            <v>2.5</v>
          </cell>
          <cell r="D581">
            <v>2.4500000000000002</v>
          </cell>
          <cell r="E581"/>
          <cell r="F581"/>
          <cell r="G581"/>
          <cell r="H581"/>
          <cell r="I581"/>
          <cell r="J581"/>
          <cell r="K581"/>
          <cell r="L581"/>
          <cell r="M581"/>
          <cell r="N581"/>
          <cell r="O581">
            <v>2.4700000000000002</v>
          </cell>
          <cell r="P581">
            <v>2.5499999999999998</v>
          </cell>
          <cell r="Q581">
            <v>2.5960000000000001</v>
          </cell>
          <cell r="R581">
            <v>2.7</v>
          </cell>
          <cell r="S581">
            <v>2.339</v>
          </cell>
          <cell r="T581">
            <v>2.403</v>
          </cell>
          <cell r="U581">
            <v>2.5030000000000001</v>
          </cell>
          <cell r="V581">
            <v>2.7029999999999998</v>
          </cell>
          <cell r="W581">
            <v>3.0470000000000002</v>
          </cell>
          <cell r="X581">
            <v>3.589</v>
          </cell>
          <cell r="Y581"/>
          <cell r="Z581"/>
          <cell r="AA581"/>
          <cell r="AB581"/>
          <cell r="AC581"/>
          <cell r="AD581"/>
          <cell r="AE581"/>
          <cell r="AF581"/>
          <cell r="AG581"/>
          <cell r="AH581"/>
          <cell r="AI581">
            <v>2.6579999999999999</v>
          </cell>
          <cell r="AJ581">
            <v>2.7839999999999998</v>
          </cell>
          <cell r="AK581">
            <v>2.8119999999999998</v>
          </cell>
          <cell r="AL581">
            <v>2.9449999999999998</v>
          </cell>
          <cell r="AM581">
            <v>3.2069999999999999</v>
          </cell>
          <cell r="AN581"/>
          <cell r="AO581"/>
          <cell r="AP581"/>
          <cell r="AQ581"/>
          <cell r="AR581"/>
          <cell r="AS581"/>
          <cell r="AT581"/>
          <cell r="AU581"/>
          <cell r="AV581"/>
          <cell r="AW581"/>
          <cell r="AX581">
            <v>0.82199999999999995</v>
          </cell>
          <cell r="AY581"/>
          <cell r="AZ581">
            <v>5051</v>
          </cell>
        </row>
        <row r="582">
          <cell r="A582">
            <v>46753</v>
          </cell>
          <cell r="B582">
            <v>2.65</v>
          </cell>
          <cell r="C582">
            <v>2.5</v>
          </cell>
          <cell r="D582">
            <v>2.4700000000000002</v>
          </cell>
          <cell r="E582"/>
          <cell r="F582"/>
          <cell r="G582"/>
          <cell r="H582"/>
          <cell r="I582"/>
          <cell r="J582"/>
          <cell r="K582"/>
          <cell r="L582"/>
          <cell r="M582"/>
          <cell r="N582"/>
          <cell r="O582">
            <v>2.5</v>
          </cell>
          <cell r="P582">
            <v>2.5499999999999998</v>
          </cell>
          <cell r="Q582">
            <v>2.6</v>
          </cell>
          <cell r="R582">
            <v>2.7</v>
          </cell>
          <cell r="S582">
            <v>2.3570000000000002</v>
          </cell>
          <cell r="T582">
            <v>2.4279999999999999</v>
          </cell>
          <cell r="U582">
            <v>2.528</v>
          </cell>
          <cell r="V582">
            <v>2.7280000000000002</v>
          </cell>
          <cell r="W582">
            <v>3.0569999999999999</v>
          </cell>
          <cell r="X582">
            <v>3.5939999999999999</v>
          </cell>
          <cell r="Y582"/>
          <cell r="Z582"/>
          <cell r="AA582"/>
          <cell r="AB582"/>
          <cell r="AC582"/>
          <cell r="AD582"/>
          <cell r="AE582"/>
          <cell r="AF582"/>
          <cell r="AG582"/>
          <cell r="AH582"/>
          <cell r="AI582">
            <v>2.6859999999999999</v>
          </cell>
          <cell r="AJ582">
            <v>2.8140000000000001</v>
          </cell>
          <cell r="AK582">
            <v>2.847</v>
          </cell>
          <cell r="AL582">
            <v>2.98</v>
          </cell>
          <cell r="AM582">
            <v>3.222</v>
          </cell>
          <cell r="AN582"/>
          <cell r="AO582"/>
          <cell r="AP582"/>
          <cell r="AQ582"/>
          <cell r="AR582"/>
          <cell r="AS582"/>
          <cell r="AT582"/>
          <cell r="AU582"/>
          <cell r="AV582"/>
          <cell r="AW582"/>
          <cell r="AX582">
            <v>0.82099999999999995</v>
          </cell>
          <cell r="AY582"/>
          <cell r="AZ582">
            <v>5005</v>
          </cell>
        </row>
        <row r="583">
          <cell r="A583">
            <v>46784</v>
          </cell>
          <cell r="B583">
            <v>2.65</v>
          </cell>
          <cell r="C583">
            <v>2.5</v>
          </cell>
          <cell r="D583">
            <v>2.5</v>
          </cell>
          <cell r="E583"/>
          <cell r="F583"/>
          <cell r="G583"/>
          <cell r="H583"/>
          <cell r="I583"/>
          <cell r="J583"/>
          <cell r="K583"/>
          <cell r="L583"/>
          <cell r="M583"/>
          <cell r="N583"/>
          <cell r="O583">
            <v>2.52</v>
          </cell>
          <cell r="P583">
            <v>2.5499999999999998</v>
          </cell>
          <cell r="Q583">
            <v>2.6</v>
          </cell>
          <cell r="R583">
            <v>2.7</v>
          </cell>
          <cell r="S583">
            <v>2.375</v>
          </cell>
          <cell r="T583">
            <v>2.4529999999999998</v>
          </cell>
          <cell r="U583">
            <v>2.5529999999999999</v>
          </cell>
          <cell r="V583">
            <v>2.7530000000000001</v>
          </cell>
          <cell r="W583">
            <v>3.0670000000000002</v>
          </cell>
          <cell r="X583">
            <v>3.5990000000000002</v>
          </cell>
          <cell r="Y583"/>
          <cell r="Z583"/>
          <cell r="AA583"/>
          <cell r="AB583"/>
          <cell r="AC583"/>
          <cell r="AD583"/>
          <cell r="AE583"/>
          <cell r="AF583"/>
          <cell r="AG583"/>
          <cell r="AH583"/>
          <cell r="AI583">
            <v>2.714</v>
          </cell>
          <cell r="AJ583">
            <v>2.8439999999999999</v>
          </cell>
          <cell r="AK583">
            <v>2.8820000000000001</v>
          </cell>
          <cell r="AL583">
            <v>3.0150000000000001</v>
          </cell>
          <cell r="AM583">
            <v>3.242</v>
          </cell>
          <cell r="AN583"/>
          <cell r="AO583"/>
          <cell r="AP583"/>
          <cell r="AQ583"/>
          <cell r="AR583"/>
          <cell r="AS583"/>
          <cell r="AT583"/>
          <cell r="AU583"/>
          <cell r="AV583"/>
          <cell r="AW583"/>
          <cell r="AX583">
            <v>0.82</v>
          </cell>
          <cell r="AY583"/>
          <cell r="AZ583">
            <v>4959</v>
          </cell>
        </row>
        <row r="584">
          <cell r="A584">
            <v>46813</v>
          </cell>
          <cell r="B584">
            <v>2.65</v>
          </cell>
          <cell r="C584">
            <v>2.5</v>
          </cell>
          <cell r="D584">
            <v>2.5099999999999998</v>
          </cell>
          <cell r="E584"/>
          <cell r="F584"/>
          <cell r="G584"/>
          <cell r="H584"/>
          <cell r="I584"/>
          <cell r="J584"/>
          <cell r="K584"/>
          <cell r="L584"/>
          <cell r="M584"/>
          <cell r="N584"/>
          <cell r="O584">
            <v>2.52</v>
          </cell>
          <cell r="P584">
            <v>2.5499999999999998</v>
          </cell>
          <cell r="Q584">
            <v>2.6</v>
          </cell>
          <cell r="R584">
            <v>2.7</v>
          </cell>
          <cell r="S584">
            <v>2.3929999999999998</v>
          </cell>
          <cell r="T584">
            <v>2.4780000000000002</v>
          </cell>
          <cell r="U584">
            <v>2.5779999999999998</v>
          </cell>
          <cell r="V584">
            <v>2.778</v>
          </cell>
          <cell r="W584">
            <v>3.077</v>
          </cell>
          <cell r="X584">
            <v>3.6040000000000001</v>
          </cell>
          <cell r="Y584"/>
          <cell r="Z584"/>
          <cell r="AA584"/>
          <cell r="AB584"/>
          <cell r="AC584"/>
          <cell r="AD584"/>
          <cell r="AE584"/>
          <cell r="AF584"/>
          <cell r="AG584"/>
          <cell r="AH584"/>
          <cell r="AI584">
            <v>2.742</v>
          </cell>
          <cell r="AJ584">
            <v>2.8740000000000001</v>
          </cell>
          <cell r="AK584">
            <v>2.9169999999999998</v>
          </cell>
          <cell r="AL584">
            <v>3.05</v>
          </cell>
          <cell r="AM584">
            <v>3.262</v>
          </cell>
          <cell r="AN584"/>
          <cell r="AO584"/>
          <cell r="AP584"/>
          <cell r="AQ584"/>
          <cell r="AR584"/>
          <cell r="AS584"/>
          <cell r="AT584"/>
          <cell r="AU584"/>
          <cell r="AV584"/>
          <cell r="AW584"/>
          <cell r="AX584">
            <v>0.81899999999999995</v>
          </cell>
          <cell r="AY584"/>
          <cell r="AZ584">
            <v>4913</v>
          </cell>
        </row>
        <row r="585">
          <cell r="A585">
            <v>46844</v>
          </cell>
          <cell r="B585">
            <v>2.65</v>
          </cell>
          <cell r="C585">
            <v>2.5</v>
          </cell>
          <cell r="D585">
            <v>2.5099999999999998</v>
          </cell>
          <cell r="E585"/>
          <cell r="F585"/>
          <cell r="G585"/>
          <cell r="H585"/>
          <cell r="I585"/>
          <cell r="J585"/>
          <cell r="K585"/>
          <cell r="L585"/>
          <cell r="M585"/>
          <cell r="N585"/>
          <cell r="O585">
            <v>2.52</v>
          </cell>
          <cell r="P585">
            <v>2.5499999999999998</v>
          </cell>
          <cell r="Q585">
            <v>2.6</v>
          </cell>
          <cell r="R585">
            <v>2.7</v>
          </cell>
          <cell r="S585">
            <v>2.411</v>
          </cell>
          <cell r="T585">
            <v>2.5030000000000001</v>
          </cell>
          <cell r="U585">
            <v>2.6030000000000002</v>
          </cell>
          <cell r="V585">
            <v>2.8029999999999999</v>
          </cell>
          <cell r="W585">
            <v>3.09</v>
          </cell>
          <cell r="X585">
            <v>3.609</v>
          </cell>
          <cell r="Y585"/>
          <cell r="Z585"/>
          <cell r="AA585"/>
          <cell r="AB585"/>
          <cell r="AC585"/>
          <cell r="AD585"/>
          <cell r="AE585"/>
          <cell r="AF585"/>
          <cell r="AG585"/>
          <cell r="AH585"/>
          <cell r="AI585">
            <v>2.77</v>
          </cell>
          <cell r="AJ585">
            <v>2.9039999999999999</v>
          </cell>
          <cell r="AK585">
            <v>2.952</v>
          </cell>
          <cell r="AL585">
            <v>3.085</v>
          </cell>
          <cell r="AM585">
            <v>3.282</v>
          </cell>
          <cell r="AN585"/>
          <cell r="AO585"/>
          <cell r="AP585"/>
          <cell r="AQ585"/>
          <cell r="AR585"/>
          <cell r="AS585"/>
          <cell r="AT585"/>
          <cell r="AU585"/>
          <cell r="AV585"/>
          <cell r="AW585"/>
          <cell r="AX585">
            <v>0.81799999999999995</v>
          </cell>
          <cell r="AY585"/>
          <cell r="AZ585">
            <v>4867</v>
          </cell>
        </row>
        <row r="586">
          <cell r="A586">
            <v>46874</v>
          </cell>
          <cell r="B586">
            <v>2.65</v>
          </cell>
          <cell r="C586">
            <v>2.5</v>
          </cell>
          <cell r="D586">
            <v>2.5099999999999998</v>
          </cell>
          <cell r="E586"/>
          <cell r="F586"/>
          <cell r="G586"/>
          <cell r="H586"/>
          <cell r="I586"/>
          <cell r="J586"/>
          <cell r="K586"/>
          <cell r="L586"/>
          <cell r="M586"/>
          <cell r="N586"/>
          <cell r="O586">
            <v>2.52</v>
          </cell>
          <cell r="P586">
            <v>2.5499999999999998</v>
          </cell>
          <cell r="Q586">
            <v>2.6</v>
          </cell>
          <cell r="R586">
            <v>2.7</v>
          </cell>
          <cell r="S586">
            <v>2.4289999999999998</v>
          </cell>
          <cell r="T586">
            <v>2.528</v>
          </cell>
          <cell r="U586">
            <v>2.6280000000000001</v>
          </cell>
          <cell r="V586">
            <v>2.8279999999999998</v>
          </cell>
          <cell r="W586">
            <v>3.1019999999999999</v>
          </cell>
          <cell r="X586">
            <v>3.6139999999999999</v>
          </cell>
          <cell r="Y586"/>
          <cell r="Z586"/>
          <cell r="AA586"/>
          <cell r="AB586"/>
          <cell r="AC586"/>
          <cell r="AD586"/>
          <cell r="AE586"/>
          <cell r="AF586"/>
          <cell r="AG586"/>
          <cell r="AH586"/>
          <cell r="AI586">
            <v>2.798</v>
          </cell>
          <cell r="AJ586">
            <v>2.9340000000000002</v>
          </cell>
          <cell r="AK586">
            <v>2.9870000000000001</v>
          </cell>
          <cell r="AL586">
            <v>3.12</v>
          </cell>
          <cell r="AM586">
            <v>3.3069999999999999</v>
          </cell>
          <cell r="AN586"/>
          <cell r="AO586"/>
          <cell r="AP586"/>
          <cell r="AQ586"/>
          <cell r="AR586"/>
          <cell r="AS586"/>
          <cell r="AT586"/>
          <cell r="AU586"/>
          <cell r="AV586"/>
          <cell r="AW586"/>
          <cell r="AX586">
            <v>0.81599999999999995</v>
          </cell>
          <cell r="AY586"/>
          <cell r="AZ586">
            <v>4821</v>
          </cell>
        </row>
        <row r="587">
          <cell r="A587">
            <v>46905</v>
          </cell>
          <cell r="B587">
            <v>2.65</v>
          </cell>
          <cell r="C587">
            <v>2.5</v>
          </cell>
          <cell r="D587">
            <v>2.5099999999999998</v>
          </cell>
          <cell r="E587"/>
          <cell r="F587"/>
          <cell r="G587"/>
          <cell r="H587"/>
          <cell r="I587"/>
          <cell r="J587"/>
          <cell r="K587"/>
          <cell r="L587"/>
          <cell r="M587"/>
          <cell r="N587"/>
          <cell r="O587">
            <v>2.52</v>
          </cell>
          <cell r="P587">
            <v>2.5499999999999998</v>
          </cell>
          <cell r="Q587">
            <v>2.6</v>
          </cell>
          <cell r="R587">
            <v>2.7</v>
          </cell>
          <cell r="S587">
            <v>2.4470000000000001</v>
          </cell>
          <cell r="T587">
            <v>2.5529999999999999</v>
          </cell>
          <cell r="U587">
            <v>2.653</v>
          </cell>
          <cell r="V587">
            <v>2.8530000000000002</v>
          </cell>
          <cell r="W587">
            <v>3.1150000000000002</v>
          </cell>
          <cell r="X587">
            <v>3.6190000000000002</v>
          </cell>
          <cell r="Y587"/>
          <cell r="Z587"/>
          <cell r="AA587"/>
          <cell r="AB587"/>
          <cell r="AC587"/>
          <cell r="AD587"/>
          <cell r="AE587"/>
          <cell r="AF587"/>
          <cell r="AG587"/>
          <cell r="AH587"/>
          <cell r="AI587">
            <v>2.8260000000000001</v>
          </cell>
          <cell r="AJ587">
            <v>2.964</v>
          </cell>
          <cell r="AK587">
            <v>3.0219999999999998</v>
          </cell>
          <cell r="AL587">
            <v>3.1549999999999998</v>
          </cell>
          <cell r="AM587">
            <v>3.3319999999999999</v>
          </cell>
          <cell r="AN587"/>
          <cell r="AO587"/>
          <cell r="AP587"/>
          <cell r="AQ587"/>
          <cell r="AR587"/>
          <cell r="AS587"/>
          <cell r="AT587"/>
          <cell r="AU587"/>
          <cell r="AV587"/>
          <cell r="AW587"/>
          <cell r="AX587">
            <v>0.81499999999999995</v>
          </cell>
          <cell r="AY587"/>
          <cell r="AZ587">
            <v>4775</v>
          </cell>
        </row>
        <row r="588">
          <cell r="A588">
            <v>46935</v>
          </cell>
          <cell r="B588">
            <v>2.65</v>
          </cell>
          <cell r="C588">
            <v>2.5</v>
          </cell>
          <cell r="D588">
            <v>2.5099999999999998</v>
          </cell>
          <cell r="E588"/>
          <cell r="F588"/>
          <cell r="G588"/>
          <cell r="H588"/>
          <cell r="I588"/>
          <cell r="J588"/>
          <cell r="K588"/>
          <cell r="L588"/>
          <cell r="M588"/>
          <cell r="N588"/>
          <cell r="O588">
            <v>2.52</v>
          </cell>
          <cell r="P588">
            <v>2.5499999999999998</v>
          </cell>
          <cell r="Q588">
            <v>2.6</v>
          </cell>
          <cell r="R588">
            <v>2.7</v>
          </cell>
          <cell r="S588">
            <v>2.4649999999999999</v>
          </cell>
          <cell r="T588">
            <v>2.5779999999999998</v>
          </cell>
          <cell r="U588">
            <v>2.6779999999999999</v>
          </cell>
          <cell r="V588">
            <v>2.8780000000000001</v>
          </cell>
          <cell r="W588">
            <v>3.1269999999999998</v>
          </cell>
          <cell r="X588">
            <v>3.6240000000000001</v>
          </cell>
          <cell r="Y588"/>
          <cell r="Z588"/>
          <cell r="AA588"/>
          <cell r="AB588"/>
          <cell r="AC588"/>
          <cell r="AD588"/>
          <cell r="AE588"/>
          <cell r="AF588"/>
          <cell r="AG588"/>
          <cell r="AH588"/>
          <cell r="AI588">
            <v>2.8540000000000001</v>
          </cell>
          <cell r="AJ588">
            <v>2.984</v>
          </cell>
          <cell r="AK588">
            <v>3.032</v>
          </cell>
          <cell r="AL588">
            <v>3.19</v>
          </cell>
          <cell r="AM588">
            <v>3.3570000000000002</v>
          </cell>
          <cell r="AN588"/>
          <cell r="AO588"/>
          <cell r="AP588"/>
          <cell r="AQ588"/>
          <cell r="AR588"/>
          <cell r="AS588"/>
          <cell r="AT588"/>
          <cell r="AU588"/>
          <cell r="AV588"/>
          <cell r="AW588"/>
          <cell r="AX588">
            <v>0.81399999999999995</v>
          </cell>
          <cell r="AY588"/>
          <cell r="AZ588">
            <v>4729</v>
          </cell>
        </row>
        <row r="589">
          <cell r="A589">
            <v>46966</v>
          </cell>
          <cell r="B589">
            <v>2.65</v>
          </cell>
          <cell r="C589">
            <v>2.5</v>
          </cell>
          <cell r="D589">
            <v>2.5099999999999998</v>
          </cell>
          <cell r="E589"/>
          <cell r="F589"/>
          <cell r="G589"/>
          <cell r="H589"/>
          <cell r="I589"/>
          <cell r="J589"/>
          <cell r="K589"/>
          <cell r="L589"/>
          <cell r="M589"/>
          <cell r="N589"/>
          <cell r="O589">
            <v>2.52</v>
          </cell>
          <cell r="P589">
            <v>2.5499999999999998</v>
          </cell>
          <cell r="Q589">
            <v>2.6</v>
          </cell>
          <cell r="R589">
            <v>2.7</v>
          </cell>
          <cell r="S589">
            <v>2.4830000000000001</v>
          </cell>
          <cell r="T589">
            <v>2.6</v>
          </cell>
          <cell r="U589">
            <v>2.7</v>
          </cell>
          <cell r="V589">
            <v>2.9</v>
          </cell>
          <cell r="W589">
            <v>3.14</v>
          </cell>
          <cell r="X589">
            <v>3.629</v>
          </cell>
          <cell r="Y589"/>
          <cell r="Z589"/>
          <cell r="AA589"/>
          <cell r="AB589"/>
          <cell r="AC589"/>
          <cell r="AD589"/>
          <cell r="AE589"/>
          <cell r="AF589"/>
          <cell r="AG589"/>
          <cell r="AH589"/>
          <cell r="AI589">
            <v>2.8820000000000001</v>
          </cell>
          <cell r="AJ589">
            <v>3.004</v>
          </cell>
          <cell r="AK589">
            <v>3.0419999999999998</v>
          </cell>
          <cell r="AL589">
            <v>3.2250000000000001</v>
          </cell>
          <cell r="AM589">
            <v>3.3820000000000001</v>
          </cell>
          <cell r="AN589"/>
          <cell r="AO589"/>
          <cell r="AP589"/>
          <cell r="AQ589"/>
          <cell r="AR589"/>
          <cell r="AS589"/>
          <cell r="AT589"/>
          <cell r="AU589"/>
          <cell r="AV589"/>
          <cell r="AW589"/>
          <cell r="AX589">
            <v>0.81299999999999994</v>
          </cell>
          <cell r="AY589"/>
          <cell r="AZ589">
            <v>4683</v>
          </cell>
        </row>
        <row r="590">
          <cell r="A590">
            <v>46997</v>
          </cell>
          <cell r="B590">
            <v>2.65</v>
          </cell>
          <cell r="C590">
            <v>2.5</v>
          </cell>
          <cell r="D590">
            <v>2.5099999999999998</v>
          </cell>
          <cell r="E590"/>
          <cell r="F590"/>
          <cell r="G590"/>
          <cell r="H590"/>
          <cell r="I590"/>
          <cell r="J590"/>
          <cell r="K590"/>
          <cell r="L590"/>
          <cell r="M590"/>
          <cell r="N590"/>
          <cell r="O590">
            <v>2.52</v>
          </cell>
          <cell r="P590">
            <v>2.5499999999999998</v>
          </cell>
          <cell r="Q590">
            <v>2.6</v>
          </cell>
          <cell r="R590">
            <v>2.7</v>
          </cell>
          <cell r="S590">
            <v>2.5009999999999999</v>
          </cell>
          <cell r="T590">
            <v>2.6</v>
          </cell>
          <cell r="U590">
            <v>2.7</v>
          </cell>
          <cell r="V590">
            <v>2.9</v>
          </cell>
          <cell r="W590">
            <v>3.1520000000000001</v>
          </cell>
          <cell r="X590">
            <v>3.6339999999999999</v>
          </cell>
          <cell r="Y590"/>
          <cell r="Z590"/>
          <cell r="AA590"/>
          <cell r="AB590"/>
          <cell r="AC590"/>
          <cell r="AD590"/>
          <cell r="AE590"/>
          <cell r="AF590"/>
          <cell r="AG590"/>
          <cell r="AH590"/>
          <cell r="AI590">
            <v>2.9009999999999998</v>
          </cell>
          <cell r="AJ590">
            <v>3.024</v>
          </cell>
          <cell r="AK590">
            <v>3.052</v>
          </cell>
          <cell r="AL590">
            <v>3.24</v>
          </cell>
          <cell r="AM590">
            <v>3.407</v>
          </cell>
          <cell r="AN590"/>
          <cell r="AO590"/>
          <cell r="AP590"/>
          <cell r="AQ590"/>
          <cell r="AR590"/>
          <cell r="AS590"/>
          <cell r="AT590"/>
          <cell r="AU590"/>
          <cell r="AV590"/>
          <cell r="AW590"/>
          <cell r="AX590">
            <v>0.81200000000000006</v>
          </cell>
          <cell r="AY590"/>
          <cell r="AZ590">
            <v>4637</v>
          </cell>
        </row>
        <row r="591">
          <cell r="A591">
            <v>47027</v>
          </cell>
          <cell r="B591">
            <v>2.65</v>
          </cell>
          <cell r="C591">
            <v>2.5</v>
          </cell>
          <cell r="D591">
            <v>2.5099999999999998</v>
          </cell>
          <cell r="E591"/>
          <cell r="F591"/>
          <cell r="G591"/>
          <cell r="H591"/>
          <cell r="I591"/>
          <cell r="J591"/>
          <cell r="K591"/>
          <cell r="L591"/>
          <cell r="M591"/>
          <cell r="N591"/>
          <cell r="O591">
            <v>2.52</v>
          </cell>
          <cell r="P591">
            <v>2.5499999999999998</v>
          </cell>
          <cell r="Q591">
            <v>2.6</v>
          </cell>
          <cell r="R591">
            <v>2.7</v>
          </cell>
          <cell r="S591">
            <v>2.5190000000000001</v>
          </cell>
          <cell r="T591">
            <v>2.6</v>
          </cell>
          <cell r="U591">
            <v>2.7</v>
          </cell>
          <cell r="V591">
            <v>2.9</v>
          </cell>
          <cell r="W591">
            <v>3.165</v>
          </cell>
          <cell r="X591">
            <v>3.6389999999999998</v>
          </cell>
          <cell r="Y591"/>
          <cell r="Z591"/>
          <cell r="AA591"/>
          <cell r="AB591"/>
          <cell r="AC591"/>
          <cell r="AD591"/>
          <cell r="AE591"/>
          <cell r="AF591"/>
          <cell r="AG591"/>
          <cell r="AH591"/>
          <cell r="AI591">
            <v>2.919</v>
          </cell>
          <cell r="AJ591">
            <v>3.044</v>
          </cell>
          <cell r="AK591">
            <v>3.0619999999999998</v>
          </cell>
          <cell r="AL591">
            <v>3.25</v>
          </cell>
          <cell r="AM591">
            <v>3.4319999999999999</v>
          </cell>
          <cell r="AN591"/>
          <cell r="AO591"/>
          <cell r="AP591"/>
          <cell r="AQ591"/>
          <cell r="AR591"/>
          <cell r="AS591"/>
          <cell r="AT591"/>
          <cell r="AU591"/>
          <cell r="AV591"/>
          <cell r="AW591"/>
          <cell r="AX591">
            <v>0.81200000000000006</v>
          </cell>
          <cell r="AY591"/>
          <cell r="AZ591">
            <v>4591</v>
          </cell>
        </row>
        <row r="592">
          <cell r="A592">
            <v>47058</v>
          </cell>
          <cell r="B592">
            <v>2.65</v>
          </cell>
          <cell r="C592">
            <v>2.5</v>
          </cell>
          <cell r="D592">
            <v>2.5099999999999998</v>
          </cell>
          <cell r="E592"/>
          <cell r="F592"/>
          <cell r="G592"/>
          <cell r="H592"/>
          <cell r="I592"/>
          <cell r="J592"/>
          <cell r="K592"/>
          <cell r="L592"/>
          <cell r="M592"/>
          <cell r="N592"/>
          <cell r="O592">
            <v>2.52</v>
          </cell>
          <cell r="P592">
            <v>2.5499999999999998</v>
          </cell>
          <cell r="Q592">
            <v>2.6</v>
          </cell>
          <cell r="R592">
            <v>2.7</v>
          </cell>
          <cell r="S592">
            <v>2.5369999999999999</v>
          </cell>
          <cell r="T592">
            <v>2.6</v>
          </cell>
          <cell r="U592">
            <v>2.7</v>
          </cell>
          <cell r="V592">
            <v>2.9</v>
          </cell>
          <cell r="W592">
            <v>3.18</v>
          </cell>
          <cell r="X592">
            <v>3.6440000000000001</v>
          </cell>
          <cell r="Y592"/>
          <cell r="Z592"/>
          <cell r="AA592"/>
          <cell r="AB592"/>
          <cell r="AC592"/>
          <cell r="AD592"/>
          <cell r="AE592"/>
          <cell r="AF592"/>
          <cell r="AG592"/>
          <cell r="AH592"/>
          <cell r="AI592">
            <v>2.9369999999999998</v>
          </cell>
          <cell r="AJ592">
            <v>3.0640000000000001</v>
          </cell>
          <cell r="AK592">
            <v>3.0720000000000001</v>
          </cell>
          <cell r="AL592">
            <v>3.25</v>
          </cell>
          <cell r="AM592">
            <v>3.4569999999999999</v>
          </cell>
          <cell r="AN592"/>
          <cell r="AO592"/>
          <cell r="AP592"/>
          <cell r="AQ592"/>
          <cell r="AR592"/>
          <cell r="AS592"/>
          <cell r="AT592"/>
          <cell r="AU592"/>
          <cell r="AV592"/>
          <cell r="AW592"/>
          <cell r="AX592">
            <v>0.81100000000000005</v>
          </cell>
          <cell r="AY592"/>
          <cell r="AZ592">
            <v>4545</v>
          </cell>
        </row>
        <row r="593">
          <cell r="A593">
            <v>47088</v>
          </cell>
          <cell r="B593">
            <v>2.65</v>
          </cell>
          <cell r="C593">
            <v>2.5</v>
          </cell>
          <cell r="D593">
            <v>2.5099999999999998</v>
          </cell>
          <cell r="E593"/>
          <cell r="F593"/>
          <cell r="G593"/>
          <cell r="H593"/>
          <cell r="I593"/>
          <cell r="J593"/>
          <cell r="K593"/>
          <cell r="L593"/>
          <cell r="M593"/>
          <cell r="N593"/>
          <cell r="O593">
            <v>2.52</v>
          </cell>
          <cell r="P593">
            <v>2.5499999999999998</v>
          </cell>
          <cell r="Q593">
            <v>2.6</v>
          </cell>
          <cell r="R593">
            <v>2.7</v>
          </cell>
          <cell r="S593">
            <v>2.5499999999999998</v>
          </cell>
          <cell r="T593">
            <v>2.6</v>
          </cell>
          <cell r="U593">
            <v>2.7</v>
          </cell>
          <cell r="V593">
            <v>2.9</v>
          </cell>
          <cell r="W593">
            <v>3.2</v>
          </cell>
          <cell r="X593">
            <v>3.649</v>
          </cell>
          <cell r="Y593"/>
          <cell r="Z593"/>
          <cell r="AA593"/>
          <cell r="AB593"/>
          <cell r="AC593"/>
          <cell r="AD593"/>
          <cell r="AE593"/>
          <cell r="AF593"/>
          <cell r="AG593"/>
          <cell r="AH593"/>
          <cell r="AI593">
            <v>2.95</v>
          </cell>
          <cell r="AJ593">
            <v>3.069</v>
          </cell>
          <cell r="AK593">
            <v>3.0819999999999999</v>
          </cell>
          <cell r="AL593">
            <v>3.25</v>
          </cell>
          <cell r="AM593">
            <v>3.4820000000000002</v>
          </cell>
          <cell r="AN593"/>
          <cell r="AO593"/>
          <cell r="AP593"/>
          <cell r="AQ593"/>
          <cell r="AR593"/>
          <cell r="AS593"/>
          <cell r="AT593"/>
          <cell r="AU593"/>
          <cell r="AV593"/>
          <cell r="AW593"/>
          <cell r="AX593">
            <v>0.81100000000000005</v>
          </cell>
          <cell r="AY593"/>
          <cell r="AZ593">
            <v>4499</v>
          </cell>
        </row>
        <row r="594">
          <cell r="A594">
            <v>47119</v>
          </cell>
          <cell r="B594">
            <v>2.65</v>
          </cell>
          <cell r="C594">
            <v>2.5</v>
          </cell>
          <cell r="D594">
            <v>2.5099999999999998</v>
          </cell>
          <cell r="E594"/>
          <cell r="F594"/>
          <cell r="G594"/>
          <cell r="H594"/>
          <cell r="I594"/>
          <cell r="J594"/>
          <cell r="K594"/>
          <cell r="L594"/>
          <cell r="M594"/>
          <cell r="N594"/>
          <cell r="O594">
            <v>2.52</v>
          </cell>
          <cell r="P594">
            <v>2.5499999999999998</v>
          </cell>
          <cell r="Q594">
            <v>2.6</v>
          </cell>
          <cell r="R594">
            <v>2.7</v>
          </cell>
          <cell r="S594">
            <v>2.5499999999999998</v>
          </cell>
          <cell r="T594">
            <v>2.6</v>
          </cell>
          <cell r="U594">
            <v>2.7</v>
          </cell>
          <cell r="V594">
            <v>2.9</v>
          </cell>
          <cell r="W594">
            <v>3.23</v>
          </cell>
          <cell r="X594">
            <v>3.65</v>
          </cell>
          <cell r="Y594"/>
          <cell r="Z594"/>
          <cell r="AA594"/>
          <cell r="AB594"/>
          <cell r="AC594"/>
          <cell r="AD594"/>
          <cell r="AE594"/>
          <cell r="AF594"/>
          <cell r="AG594"/>
          <cell r="AH594"/>
          <cell r="AI594">
            <v>2.95</v>
          </cell>
          <cell r="AJ594">
            <v>3.0739999999999998</v>
          </cell>
          <cell r="AK594">
            <v>3.0920000000000001</v>
          </cell>
          <cell r="AL594">
            <v>3.25</v>
          </cell>
          <cell r="AM594">
            <v>3.5070000000000001</v>
          </cell>
          <cell r="AN594"/>
          <cell r="AO594"/>
          <cell r="AP594"/>
          <cell r="AQ594"/>
          <cell r="AR594"/>
          <cell r="AS594"/>
          <cell r="AT594"/>
          <cell r="AU594"/>
          <cell r="AV594"/>
          <cell r="AW594"/>
          <cell r="AX594">
            <v>0.81</v>
          </cell>
          <cell r="AY594"/>
          <cell r="AZ594"/>
        </row>
        <row r="595">
          <cell r="A595">
            <v>47150</v>
          </cell>
          <cell r="B595">
            <v>2.65</v>
          </cell>
          <cell r="C595">
            <v>2.5</v>
          </cell>
          <cell r="D595">
            <v>2.5099999999999998</v>
          </cell>
          <cell r="E595"/>
          <cell r="F595"/>
          <cell r="G595"/>
          <cell r="H595"/>
          <cell r="I595"/>
          <cell r="J595"/>
          <cell r="K595"/>
          <cell r="L595"/>
          <cell r="M595"/>
          <cell r="N595"/>
          <cell r="O595">
            <v>2.52</v>
          </cell>
          <cell r="P595">
            <v>2.5499999999999998</v>
          </cell>
          <cell r="Q595">
            <v>2.6</v>
          </cell>
          <cell r="R595">
            <v>2.7</v>
          </cell>
          <cell r="S595">
            <v>2.5499999999999998</v>
          </cell>
          <cell r="T595">
            <v>2.6</v>
          </cell>
          <cell r="U595">
            <v>2.7</v>
          </cell>
          <cell r="V595">
            <v>2.9</v>
          </cell>
          <cell r="W595">
            <v>3.25</v>
          </cell>
          <cell r="X595">
            <v>3.65</v>
          </cell>
          <cell r="Y595"/>
          <cell r="Z595"/>
          <cell r="AA595"/>
          <cell r="AB595"/>
          <cell r="AC595"/>
          <cell r="AD595"/>
          <cell r="AE595"/>
          <cell r="AF595"/>
          <cell r="AG595"/>
          <cell r="AH595"/>
          <cell r="AI595">
            <v>2.95</v>
          </cell>
          <cell r="AJ595">
            <v>3.0739999999999998</v>
          </cell>
          <cell r="AK595">
            <v>3.1</v>
          </cell>
          <cell r="AL595">
            <v>3.25</v>
          </cell>
          <cell r="AM595">
            <v>3.532</v>
          </cell>
          <cell r="AN595"/>
          <cell r="AO595"/>
          <cell r="AP595"/>
          <cell r="AQ595"/>
          <cell r="AR595"/>
          <cell r="AS595"/>
          <cell r="AT595"/>
          <cell r="AU595"/>
          <cell r="AV595"/>
          <cell r="AW595"/>
          <cell r="AX595">
            <v>0.81</v>
          </cell>
          <cell r="AY595"/>
          <cell r="AZ595"/>
        </row>
        <row r="596">
          <cell r="A596">
            <v>47178</v>
          </cell>
          <cell r="B596">
            <v>2.65</v>
          </cell>
          <cell r="C596">
            <v>2.5</v>
          </cell>
          <cell r="D596">
            <v>2.5099999999999998</v>
          </cell>
          <cell r="E596"/>
          <cell r="F596"/>
          <cell r="G596"/>
          <cell r="H596"/>
          <cell r="I596"/>
          <cell r="J596"/>
          <cell r="K596"/>
          <cell r="L596"/>
          <cell r="M596"/>
          <cell r="N596"/>
          <cell r="O596">
            <v>2.52</v>
          </cell>
          <cell r="P596">
            <v>2.5499999999999998</v>
          </cell>
          <cell r="Q596">
            <v>2.6</v>
          </cell>
          <cell r="R596">
            <v>2.7</v>
          </cell>
          <cell r="S596">
            <v>2.5499999999999998</v>
          </cell>
          <cell r="T596">
            <v>2.6</v>
          </cell>
          <cell r="U596">
            <v>2.7</v>
          </cell>
          <cell r="V596">
            <v>2.9</v>
          </cell>
          <cell r="W596">
            <v>3.25</v>
          </cell>
          <cell r="X596">
            <v>3.65</v>
          </cell>
          <cell r="Y596"/>
          <cell r="Z596"/>
          <cell r="AA596"/>
          <cell r="AB596"/>
          <cell r="AC596"/>
          <cell r="AD596"/>
          <cell r="AE596"/>
          <cell r="AF596"/>
          <cell r="AG596"/>
          <cell r="AH596"/>
          <cell r="AI596">
            <v>2.95</v>
          </cell>
          <cell r="AJ596">
            <v>3.0739999999999998</v>
          </cell>
          <cell r="AK596">
            <v>3.1</v>
          </cell>
          <cell r="AL596">
            <v>3.25</v>
          </cell>
          <cell r="AM596">
            <v>3.5569999999999999</v>
          </cell>
          <cell r="AN596"/>
          <cell r="AO596"/>
          <cell r="AP596"/>
          <cell r="AQ596"/>
          <cell r="AR596"/>
          <cell r="AS596"/>
          <cell r="AT596"/>
          <cell r="AU596"/>
          <cell r="AV596"/>
          <cell r="AW596"/>
          <cell r="AX596">
            <v>0.80900000000000005</v>
          </cell>
          <cell r="AY596"/>
          <cell r="AZ596"/>
        </row>
        <row r="597">
          <cell r="A597">
            <v>47209</v>
          </cell>
          <cell r="B597">
            <v>2.65</v>
          </cell>
          <cell r="C597">
            <v>2.5</v>
          </cell>
          <cell r="D597">
            <v>2.5099999999999998</v>
          </cell>
          <cell r="E597"/>
          <cell r="F597"/>
          <cell r="G597"/>
          <cell r="H597"/>
          <cell r="I597"/>
          <cell r="J597"/>
          <cell r="K597"/>
          <cell r="L597"/>
          <cell r="M597"/>
          <cell r="N597"/>
          <cell r="O597">
            <v>2.52</v>
          </cell>
          <cell r="P597">
            <v>2.5499999999999998</v>
          </cell>
          <cell r="Q597">
            <v>2.6</v>
          </cell>
          <cell r="R597">
            <v>2.7</v>
          </cell>
          <cell r="S597">
            <v>2.5499999999999998</v>
          </cell>
          <cell r="T597">
            <v>2.6</v>
          </cell>
          <cell r="U597">
            <v>2.7</v>
          </cell>
          <cell r="V597">
            <v>2.9</v>
          </cell>
          <cell r="W597">
            <v>3.25</v>
          </cell>
          <cell r="X597">
            <v>3.65</v>
          </cell>
          <cell r="Y597"/>
          <cell r="Z597"/>
          <cell r="AA597"/>
          <cell r="AB597"/>
          <cell r="AC597"/>
          <cell r="AD597"/>
          <cell r="AE597"/>
          <cell r="AF597"/>
          <cell r="AG597"/>
          <cell r="AH597"/>
          <cell r="AI597">
            <v>2.95</v>
          </cell>
          <cell r="AJ597">
            <v>3.0739999999999998</v>
          </cell>
          <cell r="AK597">
            <v>3.1</v>
          </cell>
          <cell r="AL597">
            <v>3.25</v>
          </cell>
          <cell r="AM597">
            <v>3.5830000000000002</v>
          </cell>
          <cell r="AN597"/>
          <cell r="AO597"/>
          <cell r="AP597"/>
          <cell r="AQ597"/>
          <cell r="AR597"/>
          <cell r="AS597"/>
          <cell r="AT597"/>
          <cell r="AU597"/>
          <cell r="AV597"/>
          <cell r="AW597"/>
          <cell r="AX597">
            <v>0.80900000000000005</v>
          </cell>
          <cell r="AY597"/>
          <cell r="AZ597"/>
        </row>
        <row r="598">
          <cell r="A598">
            <v>47239</v>
          </cell>
          <cell r="B598">
            <v>2.65</v>
          </cell>
          <cell r="C598">
            <v>2.5</v>
          </cell>
          <cell r="D598">
            <v>2.5099999999999998</v>
          </cell>
          <cell r="E598"/>
          <cell r="F598"/>
          <cell r="G598"/>
          <cell r="H598"/>
          <cell r="I598"/>
          <cell r="J598"/>
          <cell r="K598"/>
          <cell r="L598"/>
          <cell r="M598"/>
          <cell r="N598"/>
          <cell r="O598">
            <v>2.52</v>
          </cell>
          <cell r="P598">
            <v>2.5499999999999998</v>
          </cell>
          <cell r="Q598">
            <v>2.6</v>
          </cell>
          <cell r="R598">
            <v>2.7</v>
          </cell>
          <cell r="S598">
            <v>2.5499999999999998</v>
          </cell>
          <cell r="T598">
            <v>2.6</v>
          </cell>
          <cell r="U598">
            <v>2.7</v>
          </cell>
          <cell r="V598">
            <v>2.9</v>
          </cell>
          <cell r="W598">
            <v>3.25</v>
          </cell>
          <cell r="X598">
            <v>3.65</v>
          </cell>
          <cell r="Y598"/>
          <cell r="Z598"/>
          <cell r="AA598"/>
          <cell r="AB598"/>
          <cell r="AC598"/>
          <cell r="AD598"/>
          <cell r="AE598"/>
          <cell r="AF598"/>
          <cell r="AG598"/>
          <cell r="AH598"/>
          <cell r="AI598">
            <v>2.95</v>
          </cell>
          <cell r="AJ598">
            <v>3.0739999999999998</v>
          </cell>
          <cell r="AK598">
            <v>3.1</v>
          </cell>
          <cell r="AL598">
            <v>3.25</v>
          </cell>
          <cell r="AM598">
            <v>3.593</v>
          </cell>
          <cell r="AN598"/>
          <cell r="AO598"/>
          <cell r="AP598"/>
          <cell r="AQ598"/>
          <cell r="AR598"/>
          <cell r="AS598"/>
          <cell r="AT598"/>
          <cell r="AU598"/>
          <cell r="AV598"/>
          <cell r="AW598"/>
          <cell r="AX598">
            <v>0.80800000000000005</v>
          </cell>
          <cell r="AY598"/>
          <cell r="AZ598"/>
        </row>
        <row r="599">
          <cell r="A599">
            <v>47270</v>
          </cell>
          <cell r="B599">
            <v>2.65</v>
          </cell>
          <cell r="C599">
            <v>2.5</v>
          </cell>
          <cell r="D599">
            <v>2.5099999999999998</v>
          </cell>
          <cell r="E599"/>
          <cell r="F599"/>
          <cell r="G599"/>
          <cell r="H599"/>
          <cell r="I599"/>
          <cell r="J599"/>
          <cell r="K599"/>
          <cell r="L599"/>
          <cell r="M599"/>
          <cell r="N599"/>
          <cell r="O599">
            <v>2.52</v>
          </cell>
          <cell r="P599">
            <v>2.5499999999999998</v>
          </cell>
          <cell r="Q599">
            <v>2.6</v>
          </cell>
          <cell r="R599">
            <v>2.7</v>
          </cell>
          <cell r="S599">
            <v>2.5499999999999998</v>
          </cell>
          <cell r="T599">
            <v>2.6</v>
          </cell>
          <cell r="U599">
            <v>2.7</v>
          </cell>
          <cell r="V599">
            <v>2.9</v>
          </cell>
          <cell r="W599">
            <v>3.25</v>
          </cell>
          <cell r="X599">
            <v>3.65</v>
          </cell>
          <cell r="Y599"/>
          <cell r="Z599"/>
          <cell r="AA599"/>
          <cell r="AB599"/>
          <cell r="AC599"/>
          <cell r="AD599"/>
          <cell r="AE599"/>
          <cell r="AF599"/>
          <cell r="AG599"/>
          <cell r="AH599"/>
          <cell r="AI599">
            <v>2.95</v>
          </cell>
          <cell r="AJ599">
            <v>3.0739999999999998</v>
          </cell>
          <cell r="AK599">
            <v>3.1</v>
          </cell>
          <cell r="AL599">
            <v>3.25</v>
          </cell>
          <cell r="AM599">
            <v>3.6030000000000002</v>
          </cell>
          <cell r="AN599"/>
          <cell r="AO599"/>
          <cell r="AP599"/>
          <cell r="AQ599"/>
          <cell r="AR599"/>
          <cell r="AS599"/>
          <cell r="AT599"/>
          <cell r="AU599"/>
          <cell r="AV599"/>
          <cell r="AW599"/>
          <cell r="AX599">
            <v>0.80800000000000005</v>
          </cell>
          <cell r="AY599"/>
          <cell r="AZ599"/>
        </row>
        <row r="600">
          <cell r="A600">
            <v>47300</v>
          </cell>
          <cell r="B600">
            <v>2.65</v>
          </cell>
          <cell r="C600">
            <v>2.5</v>
          </cell>
          <cell r="D600">
            <v>2.5099999999999998</v>
          </cell>
          <cell r="E600"/>
          <cell r="F600"/>
          <cell r="G600"/>
          <cell r="H600"/>
          <cell r="I600"/>
          <cell r="J600"/>
          <cell r="K600"/>
          <cell r="L600"/>
          <cell r="M600"/>
          <cell r="N600"/>
          <cell r="O600">
            <v>2.52</v>
          </cell>
          <cell r="P600">
            <v>2.5499999999999998</v>
          </cell>
          <cell r="Q600">
            <v>2.6</v>
          </cell>
          <cell r="R600">
            <v>2.7</v>
          </cell>
          <cell r="S600">
            <v>2.5499999999999998</v>
          </cell>
          <cell r="T600">
            <v>2.6</v>
          </cell>
          <cell r="U600">
            <v>2.7</v>
          </cell>
          <cell r="V600">
            <v>2.9</v>
          </cell>
          <cell r="W600">
            <v>3.25</v>
          </cell>
          <cell r="X600">
            <v>3.65</v>
          </cell>
          <cell r="Y600"/>
          <cell r="Z600"/>
          <cell r="AA600"/>
          <cell r="AB600"/>
          <cell r="AC600"/>
          <cell r="AD600"/>
          <cell r="AE600"/>
          <cell r="AF600"/>
          <cell r="AG600"/>
          <cell r="AH600"/>
          <cell r="AI600">
            <v>2.95</v>
          </cell>
          <cell r="AJ600">
            <v>3.0739999999999998</v>
          </cell>
          <cell r="AK600">
            <v>3.1</v>
          </cell>
          <cell r="AL600">
            <v>3.25</v>
          </cell>
          <cell r="AM600">
            <v>3.6030000000000002</v>
          </cell>
          <cell r="AN600"/>
          <cell r="AO600"/>
          <cell r="AP600"/>
          <cell r="AQ600"/>
          <cell r="AR600"/>
          <cell r="AS600"/>
          <cell r="AT600"/>
          <cell r="AU600"/>
          <cell r="AV600"/>
          <cell r="AW600"/>
          <cell r="AX600">
            <v>0.80700000000000005</v>
          </cell>
          <cell r="AY600"/>
          <cell r="AZ600"/>
        </row>
        <row r="601">
          <cell r="A601">
            <v>47331</v>
          </cell>
          <cell r="B601">
            <v>2.65</v>
          </cell>
          <cell r="C601">
            <v>2.5</v>
          </cell>
          <cell r="D601">
            <v>2.5099999999999998</v>
          </cell>
          <cell r="E601"/>
          <cell r="F601"/>
          <cell r="G601"/>
          <cell r="H601"/>
          <cell r="I601"/>
          <cell r="J601"/>
          <cell r="K601"/>
          <cell r="L601"/>
          <cell r="M601"/>
          <cell r="N601"/>
          <cell r="O601">
            <v>2.52</v>
          </cell>
          <cell r="P601">
            <v>2.5499999999999998</v>
          </cell>
          <cell r="Q601">
            <v>2.6</v>
          </cell>
          <cell r="R601">
            <v>2.7</v>
          </cell>
          <cell r="S601">
            <v>2.5499999999999998</v>
          </cell>
          <cell r="T601">
            <v>2.6</v>
          </cell>
          <cell r="U601">
            <v>2.7</v>
          </cell>
          <cell r="V601">
            <v>2.9</v>
          </cell>
          <cell r="W601">
            <v>3.25</v>
          </cell>
          <cell r="X601">
            <v>3.65</v>
          </cell>
          <cell r="Y601"/>
          <cell r="Z601"/>
          <cell r="AA601"/>
          <cell r="AB601"/>
          <cell r="AC601"/>
          <cell r="AD601"/>
          <cell r="AE601"/>
          <cell r="AF601"/>
          <cell r="AG601"/>
          <cell r="AH601"/>
          <cell r="AI601">
            <v>2.95</v>
          </cell>
          <cell r="AJ601">
            <v>3.0739999999999998</v>
          </cell>
          <cell r="AK601">
            <v>3.1</v>
          </cell>
          <cell r="AL601">
            <v>3.25</v>
          </cell>
          <cell r="AM601">
            <v>3.6030000000000002</v>
          </cell>
          <cell r="AN601"/>
          <cell r="AO601"/>
          <cell r="AP601"/>
          <cell r="AQ601"/>
          <cell r="AR601"/>
          <cell r="AS601"/>
          <cell r="AT601"/>
          <cell r="AU601"/>
          <cell r="AV601"/>
          <cell r="AW601"/>
          <cell r="AX601">
            <v>0.80700000000000005</v>
          </cell>
          <cell r="AY601"/>
          <cell r="AZ601"/>
        </row>
        <row r="602">
          <cell r="A602">
            <v>47362</v>
          </cell>
          <cell r="B602">
            <v>2.65</v>
          </cell>
          <cell r="C602">
            <v>2.5</v>
          </cell>
          <cell r="D602">
            <v>2.5099999999999998</v>
          </cell>
          <cell r="E602"/>
          <cell r="F602"/>
          <cell r="G602"/>
          <cell r="H602"/>
          <cell r="I602"/>
          <cell r="J602"/>
          <cell r="K602"/>
          <cell r="L602"/>
          <cell r="M602"/>
          <cell r="N602"/>
          <cell r="O602">
            <v>2.52</v>
          </cell>
          <cell r="P602">
            <v>2.5499999999999998</v>
          </cell>
          <cell r="Q602">
            <v>2.6</v>
          </cell>
          <cell r="R602">
            <v>2.7</v>
          </cell>
          <cell r="S602">
            <v>2.5499999999999998</v>
          </cell>
          <cell r="T602">
            <v>2.6</v>
          </cell>
          <cell r="U602">
            <v>2.7</v>
          </cell>
          <cell r="V602">
            <v>2.9</v>
          </cell>
          <cell r="W602">
            <v>3.25</v>
          </cell>
          <cell r="X602">
            <v>3.65</v>
          </cell>
          <cell r="Y602"/>
          <cell r="Z602"/>
          <cell r="AA602"/>
          <cell r="AB602"/>
          <cell r="AC602"/>
          <cell r="AD602"/>
          <cell r="AE602"/>
          <cell r="AF602"/>
          <cell r="AG602"/>
          <cell r="AH602"/>
          <cell r="AI602">
            <v>2.95</v>
          </cell>
          <cell r="AJ602">
            <v>3.0739999999999998</v>
          </cell>
          <cell r="AK602">
            <v>3.1</v>
          </cell>
          <cell r="AL602">
            <v>3.25</v>
          </cell>
          <cell r="AM602">
            <v>3.6030000000000002</v>
          </cell>
          <cell r="AN602"/>
          <cell r="AO602"/>
          <cell r="AP602"/>
          <cell r="AQ602"/>
          <cell r="AR602"/>
          <cell r="AS602"/>
          <cell r="AT602"/>
          <cell r="AU602"/>
          <cell r="AV602"/>
          <cell r="AW602"/>
          <cell r="AX602">
            <v>0.80600000000000005</v>
          </cell>
          <cell r="AY602"/>
          <cell r="AZ602"/>
        </row>
        <row r="603">
          <cell r="A603">
            <v>47392</v>
          </cell>
          <cell r="B603">
            <v>2.65</v>
          </cell>
          <cell r="C603">
            <v>2.5</v>
          </cell>
          <cell r="D603">
            <v>2.5099999999999998</v>
          </cell>
          <cell r="E603"/>
          <cell r="F603"/>
          <cell r="G603"/>
          <cell r="H603"/>
          <cell r="I603"/>
          <cell r="J603"/>
          <cell r="K603"/>
          <cell r="L603"/>
          <cell r="M603"/>
          <cell r="N603"/>
          <cell r="O603">
            <v>2.52</v>
          </cell>
          <cell r="P603">
            <v>2.5499999999999998</v>
          </cell>
          <cell r="Q603">
            <v>2.6</v>
          </cell>
          <cell r="R603">
            <v>2.7</v>
          </cell>
          <cell r="S603">
            <v>2.5499999999999998</v>
          </cell>
          <cell r="T603">
            <v>2.6</v>
          </cell>
          <cell r="U603">
            <v>2.7</v>
          </cell>
          <cell r="V603">
            <v>2.9</v>
          </cell>
          <cell r="W603">
            <v>3.25</v>
          </cell>
          <cell r="X603">
            <v>3.65</v>
          </cell>
          <cell r="Y603"/>
          <cell r="Z603"/>
          <cell r="AA603"/>
          <cell r="AB603"/>
          <cell r="AC603"/>
          <cell r="AD603"/>
          <cell r="AE603"/>
          <cell r="AF603"/>
          <cell r="AG603"/>
          <cell r="AH603"/>
          <cell r="AI603">
            <v>2.95</v>
          </cell>
          <cell r="AJ603">
            <v>3.0739999999999998</v>
          </cell>
          <cell r="AK603">
            <v>3.1</v>
          </cell>
          <cell r="AL603">
            <v>3.25</v>
          </cell>
          <cell r="AM603">
            <v>3.6030000000000002</v>
          </cell>
          <cell r="AN603"/>
          <cell r="AO603"/>
          <cell r="AP603"/>
          <cell r="AQ603"/>
          <cell r="AR603"/>
          <cell r="AS603"/>
          <cell r="AT603"/>
          <cell r="AU603"/>
          <cell r="AV603"/>
          <cell r="AW603"/>
          <cell r="AX603">
            <v>0.80600000000000005</v>
          </cell>
          <cell r="AY603"/>
          <cell r="AZ603"/>
        </row>
        <row r="604">
          <cell r="A604">
            <v>47423</v>
          </cell>
          <cell r="B604">
            <v>2.65</v>
          </cell>
          <cell r="C604">
            <v>2.5</v>
          </cell>
          <cell r="D604">
            <v>2.5099999999999998</v>
          </cell>
          <cell r="E604"/>
          <cell r="F604"/>
          <cell r="G604"/>
          <cell r="H604"/>
          <cell r="I604"/>
          <cell r="J604"/>
          <cell r="K604"/>
          <cell r="L604"/>
          <cell r="M604"/>
          <cell r="N604"/>
          <cell r="O604">
            <v>2.52</v>
          </cell>
          <cell r="P604">
            <v>2.5499999999999998</v>
          </cell>
          <cell r="Q604">
            <v>2.6</v>
          </cell>
          <cell r="R604">
            <v>2.7</v>
          </cell>
          <cell r="S604">
            <v>2.5499999999999998</v>
          </cell>
          <cell r="T604">
            <v>2.6</v>
          </cell>
          <cell r="U604">
            <v>2.7</v>
          </cell>
          <cell r="V604">
            <v>2.9</v>
          </cell>
          <cell r="W604">
            <v>3.25</v>
          </cell>
          <cell r="X604">
            <v>3.65</v>
          </cell>
          <cell r="Y604"/>
          <cell r="Z604"/>
          <cell r="AA604"/>
          <cell r="AB604"/>
          <cell r="AC604"/>
          <cell r="AD604"/>
          <cell r="AE604"/>
          <cell r="AF604"/>
          <cell r="AG604"/>
          <cell r="AH604"/>
          <cell r="AI604">
            <v>2.95</v>
          </cell>
          <cell r="AJ604">
            <v>3.0739999999999998</v>
          </cell>
          <cell r="AK604">
            <v>3.1</v>
          </cell>
          <cell r="AL604">
            <v>3.25</v>
          </cell>
          <cell r="AM604">
            <v>3.6030000000000002</v>
          </cell>
          <cell r="AN604"/>
          <cell r="AO604"/>
          <cell r="AP604"/>
          <cell r="AQ604"/>
          <cell r="AR604"/>
          <cell r="AS604"/>
          <cell r="AT604"/>
          <cell r="AU604"/>
          <cell r="AV604"/>
          <cell r="AW604"/>
          <cell r="AX604">
            <v>0.80500000000000005</v>
          </cell>
          <cell r="AY604"/>
          <cell r="AZ604"/>
        </row>
        <row r="605">
          <cell r="A605">
            <v>47453</v>
          </cell>
          <cell r="B605">
            <v>2.65</v>
          </cell>
          <cell r="C605">
            <v>2.5</v>
          </cell>
          <cell r="D605">
            <v>2.5099999999999998</v>
          </cell>
          <cell r="E605"/>
          <cell r="F605"/>
          <cell r="G605"/>
          <cell r="H605"/>
          <cell r="I605"/>
          <cell r="J605"/>
          <cell r="K605"/>
          <cell r="L605"/>
          <cell r="M605"/>
          <cell r="N605"/>
          <cell r="O605">
            <v>2.52</v>
          </cell>
          <cell r="P605">
            <v>2.5499999999999998</v>
          </cell>
          <cell r="Q605">
            <v>2.6</v>
          </cell>
          <cell r="R605">
            <v>2.7</v>
          </cell>
          <cell r="S605">
            <v>2.5499999999999998</v>
          </cell>
          <cell r="T605">
            <v>2.6</v>
          </cell>
          <cell r="U605">
            <v>2.7</v>
          </cell>
          <cell r="V605">
            <v>2.9</v>
          </cell>
          <cell r="W605">
            <v>3.25</v>
          </cell>
          <cell r="X605">
            <v>3.65</v>
          </cell>
          <cell r="Y605"/>
          <cell r="Z605"/>
          <cell r="AA605"/>
          <cell r="AB605"/>
          <cell r="AC605"/>
          <cell r="AD605"/>
          <cell r="AE605"/>
          <cell r="AF605"/>
          <cell r="AG605"/>
          <cell r="AH605"/>
          <cell r="AI605">
            <v>2.95</v>
          </cell>
          <cell r="AJ605">
            <v>3.0739999999999998</v>
          </cell>
          <cell r="AK605">
            <v>3.1</v>
          </cell>
          <cell r="AL605">
            <v>3.25</v>
          </cell>
          <cell r="AM605">
            <v>3.6030000000000002</v>
          </cell>
          <cell r="AN605"/>
          <cell r="AO605"/>
          <cell r="AP605"/>
          <cell r="AQ605"/>
          <cell r="AR605"/>
          <cell r="AS605"/>
          <cell r="AT605"/>
          <cell r="AU605"/>
          <cell r="AV605"/>
          <cell r="AW605"/>
          <cell r="AX605">
            <v>0.80400000000000005</v>
          </cell>
          <cell r="AY605"/>
          <cell r="AZ605"/>
        </row>
        <row r="606">
          <cell r="A606">
            <v>47484</v>
          </cell>
          <cell r="B606">
            <v>2.65</v>
          </cell>
          <cell r="C606">
            <v>2.5</v>
          </cell>
          <cell r="D606">
            <v>2.5099999999999998</v>
          </cell>
          <cell r="E606"/>
          <cell r="F606"/>
          <cell r="G606"/>
          <cell r="H606"/>
          <cell r="I606"/>
          <cell r="J606"/>
          <cell r="K606"/>
          <cell r="L606"/>
          <cell r="M606"/>
          <cell r="N606"/>
          <cell r="O606">
            <v>2.52</v>
          </cell>
          <cell r="P606">
            <v>2.5499999999999998</v>
          </cell>
          <cell r="Q606">
            <v>2.6</v>
          </cell>
          <cell r="R606">
            <v>2.7</v>
          </cell>
          <cell r="S606">
            <v>2.5499999999999998</v>
          </cell>
          <cell r="T606">
            <v>2.6</v>
          </cell>
          <cell r="U606">
            <v>2.7</v>
          </cell>
          <cell r="V606">
            <v>2.9</v>
          </cell>
          <cell r="W606">
            <v>3.25</v>
          </cell>
          <cell r="X606">
            <v>3.65</v>
          </cell>
          <cell r="Y606"/>
          <cell r="Z606"/>
          <cell r="AA606"/>
          <cell r="AB606"/>
          <cell r="AC606"/>
          <cell r="AD606"/>
          <cell r="AE606"/>
          <cell r="AF606"/>
          <cell r="AG606"/>
          <cell r="AH606"/>
          <cell r="AI606">
            <v>2.95</v>
          </cell>
          <cell r="AJ606">
            <v>3.0739999999999998</v>
          </cell>
          <cell r="AK606">
            <v>3.1</v>
          </cell>
          <cell r="AL606">
            <v>3.25</v>
          </cell>
          <cell r="AM606">
            <v>3.6030000000000002</v>
          </cell>
          <cell r="AN606"/>
          <cell r="AO606"/>
          <cell r="AP606"/>
          <cell r="AQ606"/>
          <cell r="AR606"/>
          <cell r="AS606"/>
          <cell r="AT606"/>
          <cell r="AU606"/>
          <cell r="AV606"/>
          <cell r="AW606"/>
          <cell r="AX606">
            <v>0.80300000000000005</v>
          </cell>
          <cell r="AY606"/>
          <cell r="AZ606"/>
        </row>
        <row r="607">
          <cell r="A607">
            <v>47515</v>
          </cell>
          <cell r="B607">
            <v>2.65</v>
          </cell>
          <cell r="C607">
            <v>2.5</v>
          </cell>
          <cell r="D607">
            <v>2.5099999999999998</v>
          </cell>
          <cell r="E607"/>
          <cell r="F607"/>
          <cell r="G607"/>
          <cell r="H607"/>
          <cell r="I607"/>
          <cell r="J607"/>
          <cell r="K607"/>
          <cell r="L607"/>
          <cell r="M607"/>
          <cell r="N607"/>
          <cell r="O607">
            <v>2.52</v>
          </cell>
          <cell r="P607">
            <v>2.5499999999999998</v>
          </cell>
          <cell r="Q607">
            <v>2.6</v>
          </cell>
          <cell r="R607">
            <v>2.7</v>
          </cell>
          <cell r="S607">
            <v>2.5499999999999998</v>
          </cell>
          <cell r="T607">
            <v>2.6</v>
          </cell>
          <cell r="U607">
            <v>2.7</v>
          </cell>
          <cell r="V607">
            <v>2.9</v>
          </cell>
          <cell r="W607">
            <v>3.25</v>
          </cell>
          <cell r="X607">
            <v>3.65</v>
          </cell>
          <cell r="Y607"/>
          <cell r="Z607"/>
          <cell r="AA607"/>
          <cell r="AB607"/>
          <cell r="AC607"/>
          <cell r="AD607"/>
          <cell r="AE607"/>
          <cell r="AF607"/>
          <cell r="AG607"/>
          <cell r="AH607"/>
          <cell r="AI607">
            <v>2.95</v>
          </cell>
          <cell r="AJ607">
            <v>3.0739999999999998</v>
          </cell>
          <cell r="AK607">
            <v>3.1</v>
          </cell>
          <cell r="AL607">
            <v>3.25</v>
          </cell>
          <cell r="AM607">
            <v>3.6030000000000002</v>
          </cell>
          <cell r="AN607"/>
          <cell r="AO607"/>
          <cell r="AP607"/>
          <cell r="AQ607"/>
          <cell r="AR607"/>
          <cell r="AS607"/>
          <cell r="AT607"/>
          <cell r="AU607"/>
          <cell r="AV607"/>
          <cell r="AW607"/>
          <cell r="AX607">
            <v>0.80200000000000005</v>
          </cell>
          <cell r="AY607"/>
          <cell r="AZ607"/>
        </row>
        <row r="608">
          <cell r="A608">
            <v>47543</v>
          </cell>
          <cell r="B608">
            <v>2.65</v>
          </cell>
          <cell r="C608">
            <v>2.5</v>
          </cell>
          <cell r="D608">
            <v>2.5099999999999998</v>
          </cell>
          <cell r="E608"/>
          <cell r="F608"/>
          <cell r="G608"/>
          <cell r="H608"/>
          <cell r="I608"/>
          <cell r="J608"/>
          <cell r="K608"/>
          <cell r="L608"/>
          <cell r="M608"/>
          <cell r="N608"/>
          <cell r="O608">
            <v>2.52</v>
          </cell>
          <cell r="P608">
            <v>2.5499999999999998</v>
          </cell>
          <cell r="Q608">
            <v>2.6</v>
          </cell>
          <cell r="R608">
            <v>2.7</v>
          </cell>
          <cell r="S608">
            <v>2.5499999999999998</v>
          </cell>
          <cell r="T608">
            <v>2.6</v>
          </cell>
          <cell r="U608">
            <v>2.7</v>
          </cell>
          <cell r="V608">
            <v>2.9</v>
          </cell>
          <cell r="W608">
            <v>3.25</v>
          </cell>
          <cell r="X608">
            <v>3.65</v>
          </cell>
          <cell r="Y608"/>
          <cell r="Z608"/>
          <cell r="AA608"/>
          <cell r="AB608"/>
          <cell r="AC608"/>
          <cell r="AD608"/>
          <cell r="AE608"/>
          <cell r="AF608"/>
          <cell r="AG608"/>
          <cell r="AH608"/>
          <cell r="AI608">
            <v>2.95</v>
          </cell>
          <cell r="AJ608">
            <v>3.0739999999999998</v>
          </cell>
          <cell r="AK608">
            <v>3.1</v>
          </cell>
          <cell r="AL608">
            <v>3.25</v>
          </cell>
          <cell r="AM608">
            <v>3.6030000000000002</v>
          </cell>
          <cell r="AN608"/>
          <cell r="AO608"/>
          <cell r="AP608"/>
          <cell r="AQ608"/>
          <cell r="AR608"/>
          <cell r="AS608"/>
          <cell r="AT608"/>
          <cell r="AU608"/>
          <cell r="AV608"/>
          <cell r="AW608"/>
          <cell r="AX608">
            <v>0.80100000000000005</v>
          </cell>
          <cell r="AY608"/>
          <cell r="AZ608"/>
        </row>
        <row r="609">
          <cell r="A609">
            <v>47574</v>
          </cell>
          <cell r="B609">
            <v>2.65</v>
          </cell>
          <cell r="C609">
            <v>2.5</v>
          </cell>
          <cell r="D609">
            <v>2.5099999999999998</v>
          </cell>
          <cell r="E609"/>
          <cell r="F609"/>
          <cell r="G609"/>
          <cell r="H609"/>
          <cell r="I609"/>
          <cell r="J609"/>
          <cell r="K609"/>
          <cell r="L609"/>
          <cell r="M609"/>
          <cell r="N609"/>
          <cell r="O609">
            <v>2.52</v>
          </cell>
          <cell r="P609">
            <v>2.5499999999999998</v>
          </cell>
          <cell r="Q609">
            <v>2.6</v>
          </cell>
          <cell r="R609">
            <v>2.7</v>
          </cell>
          <cell r="S609">
            <v>2.5499999999999998</v>
          </cell>
          <cell r="T609">
            <v>2.6</v>
          </cell>
          <cell r="U609">
            <v>2.7</v>
          </cell>
          <cell r="V609">
            <v>2.9</v>
          </cell>
          <cell r="W609">
            <v>3.25</v>
          </cell>
          <cell r="X609">
            <v>3.65</v>
          </cell>
          <cell r="Y609"/>
          <cell r="Z609"/>
          <cell r="AA609"/>
          <cell r="AB609"/>
          <cell r="AC609"/>
          <cell r="AD609"/>
          <cell r="AE609"/>
          <cell r="AF609"/>
          <cell r="AG609"/>
          <cell r="AH609"/>
          <cell r="AI609">
            <v>2.95</v>
          </cell>
          <cell r="AJ609">
            <v>3.0739999999999998</v>
          </cell>
          <cell r="AK609">
            <v>3.1</v>
          </cell>
          <cell r="AL609">
            <v>3.25</v>
          </cell>
          <cell r="AM609">
            <v>3.6030000000000002</v>
          </cell>
          <cell r="AN609"/>
          <cell r="AO609"/>
          <cell r="AP609"/>
          <cell r="AQ609"/>
          <cell r="AR609"/>
          <cell r="AS609"/>
          <cell r="AT609"/>
          <cell r="AU609"/>
          <cell r="AV609"/>
          <cell r="AW609"/>
          <cell r="AX609">
            <v>0.8</v>
          </cell>
          <cell r="AY609"/>
          <cell r="AZ609"/>
        </row>
        <row r="610">
          <cell r="A610">
            <v>47604</v>
          </cell>
          <cell r="B610">
            <v>2.65</v>
          </cell>
          <cell r="C610">
            <v>2.5</v>
          </cell>
          <cell r="D610">
            <v>2.5099999999999998</v>
          </cell>
          <cell r="E610"/>
          <cell r="F610"/>
          <cell r="G610"/>
          <cell r="H610"/>
          <cell r="I610"/>
          <cell r="J610"/>
          <cell r="K610"/>
          <cell r="L610"/>
          <cell r="M610"/>
          <cell r="N610"/>
          <cell r="O610">
            <v>2.52</v>
          </cell>
          <cell r="P610">
            <v>2.5499999999999998</v>
          </cell>
          <cell r="Q610">
            <v>2.6</v>
          </cell>
          <cell r="R610">
            <v>2.7</v>
          </cell>
          <cell r="S610">
            <v>2.5499999999999998</v>
          </cell>
          <cell r="T610">
            <v>2.6</v>
          </cell>
          <cell r="U610">
            <v>2.7</v>
          </cell>
          <cell r="V610">
            <v>2.9</v>
          </cell>
          <cell r="W610">
            <v>3.25</v>
          </cell>
          <cell r="X610">
            <v>3.65</v>
          </cell>
          <cell r="Y610"/>
          <cell r="Z610"/>
          <cell r="AA610"/>
          <cell r="AB610"/>
          <cell r="AC610"/>
          <cell r="AD610"/>
          <cell r="AE610"/>
          <cell r="AF610"/>
          <cell r="AG610"/>
          <cell r="AH610"/>
          <cell r="AI610">
            <v>2.95</v>
          </cell>
          <cell r="AJ610">
            <v>3.0739999999999998</v>
          </cell>
          <cell r="AK610">
            <v>3.1</v>
          </cell>
          <cell r="AL610">
            <v>3.25</v>
          </cell>
          <cell r="AM610">
            <v>3.6030000000000002</v>
          </cell>
          <cell r="AN610"/>
          <cell r="AO610"/>
          <cell r="AP610"/>
          <cell r="AQ610"/>
          <cell r="AR610"/>
          <cell r="AS610"/>
          <cell r="AT610"/>
          <cell r="AU610"/>
          <cell r="AV610"/>
          <cell r="AW610"/>
          <cell r="AX610">
            <v>0.8</v>
          </cell>
          <cell r="AY610"/>
          <cell r="AZ610"/>
        </row>
        <row r="611">
          <cell r="A611">
            <v>47635</v>
          </cell>
          <cell r="B611">
            <v>2.65</v>
          </cell>
          <cell r="C611">
            <v>2.5</v>
          </cell>
          <cell r="D611">
            <v>2.5099999999999998</v>
          </cell>
          <cell r="E611"/>
          <cell r="F611"/>
          <cell r="G611"/>
          <cell r="H611"/>
          <cell r="I611"/>
          <cell r="J611"/>
          <cell r="K611"/>
          <cell r="L611"/>
          <cell r="M611"/>
          <cell r="N611"/>
          <cell r="O611">
            <v>2.52</v>
          </cell>
          <cell r="P611">
            <v>2.5499999999999998</v>
          </cell>
          <cell r="Q611">
            <v>2.6</v>
          </cell>
          <cell r="R611">
            <v>2.7</v>
          </cell>
          <cell r="S611">
            <v>2.5499999999999998</v>
          </cell>
          <cell r="T611">
            <v>2.6</v>
          </cell>
          <cell r="U611">
            <v>2.7</v>
          </cell>
          <cell r="V611">
            <v>2.9</v>
          </cell>
          <cell r="W611">
            <v>3.25</v>
          </cell>
          <cell r="X611">
            <v>3.65</v>
          </cell>
          <cell r="Y611"/>
          <cell r="Z611"/>
          <cell r="AA611"/>
          <cell r="AB611"/>
          <cell r="AC611"/>
          <cell r="AD611"/>
          <cell r="AE611"/>
          <cell r="AF611"/>
          <cell r="AG611"/>
          <cell r="AH611"/>
          <cell r="AI611">
            <v>2.95</v>
          </cell>
          <cell r="AJ611">
            <v>3.0739999999999998</v>
          </cell>
          <cell r="AK611">
            <v>3.1</v>
          </cell>
          <cell r="AL611">
            <v>3.25</v>
          </cell>
          <cell r="AM611">
            <v>3.6030000000000002</v>
          </cell>
          <cell r="AN611"/>
          <cell r="AO611"/>
          <cell r="AP611"/>
          <cell r="AQ611"/>
          <cell r="AR611"/>
          <cell r="AS611"/>
          <cell r="AT611"/>
          <cell r="AU611"/>
          <cell r="AV611"/>
          <cell r="AW611"/>
          <cell r="AX611">
            <v>0.8</v>
          </cell>
          <cell r="AY611"/>
          <cell r="AZ611"/>
        </row>
        <row r="612">
          <cell r="A612">
            <v>47665</v>
          </cell>
          <cell r="B612">
            <v>2.65</v>
          </cell>
          <cell r="C612">
            <v>2.5</v>
          </cell>
          <cell r="D612">
            <v>2.5099999999999998</v>
          </cell>
          <cell r="E612"/>
          <cell r="F612"/>
          <cell r="G612"/>
          <cell r="H612"/>
          <cell r="I612"/>
          <cell r="J612"/>
          <cell r="K612"/>
          <cell r="L612"/>
          <cell r="M612"/>
          <cell r="N612"/>
          <cell r="O612">
            <v>2.52</v>
          </cell>
          <cell r="P612">
            <v>2.5499999999999998</v>
          </cell>
          <cell r="Q612">
            <v>2.6</v>
          </cell>
          <cell r="R612">
            <v>2.7</v>
          </cell>
          <cell r="S612">
            <v>2.5499999999999998</v>
          </cell>
          <cell r="T612">
            <v>2.6</v>
          </cell>
          <cell r="U612">
            <v>2.7</v>
          </cell>
          <cell r="V612">
            <v>2.9</v>
          </cell>
          <cell r="W612">
            <v>3.25</v>
          </cell>
          <cell r="X612">
            <v>3.65</v>
          </cell>
          <cell r="Y612"/>
          <cell r="Z612"/>
          <cell r="AA612"/>
          <cell r="AB612"/>
          <cell r="AC612"/>
          <cell r="AD612"/>
          <cell r="AE612"/>
          <cell r="AF612"/>
          <cell r="AG612"/>
          <cell r="AH612"/>
          <cell r="AI612">
            <v>2.95</v>
          </cell>
          <cell r="AJ612">
            <v>3.0739999999999998</v>
          </cell>
          <cell r="AK612">
            <v>3.1</v>
          </cell>
          <cell r="AL612">
            <v>3.25</v>
          </cell>
          <cell r="AM612">
            <v>3.6030000000000002</v>
          </cell>
          <cell r="AN612"/>
          <cell r="AO612"/>
          <cell r="AP612"/>
          <cell r="AQ612"/>
          <cell r="AR612"/>
          <cell r="AS612"/>
          <cell r="AT612"/>
          <cell r="AU612"/>
          <cell r="AV612"/>
          <cell r="AW612"/>
          <cell r="AX612">
            <v>0.8</v>
          </cell>
          <cell r="AY612"/>
          <cell r="AZ612"/>
        </row>
        <row r="613">
          <cell r="A613">
            <v>47696</v>
          </cell>
          <cell r="B613">
            <v>2.65</v>
          </cell>
          <cell r="C613">
            <v>2.5</v>
          </cell>
          <cell r="D613">
            <v>2.5099999999999998</v>
          </cell>
          <cell r="E613"/>
          <cell r="F613"/>
          <cell r="G613"/>
          <cell r="H613"/>
          <cell r="I613"/>
          <cell r="J613"/>
          <cell r="K613"/>
          <cell r="L613"/>
          <cell r="M613"/>
          <cell r="N613"/>
          <cell r="O613">
            <v>2.52</v>
          </cell>
          <cell r="P613">
            <v>2.5499999999999998</v>
          </cell>
          <cell r="Q613">
            <v>2.6</v>
          </cell>
          <cell r="R613">
            <v>2.7</v>
          </cell>
          <cell r="S613">
            <v>2.5499999999999998</v>
          </cell>
          <cell r="T613">
            <v>2.6</v>
          </cell>
          <cell r="U613">
            <v>2.7</v>
          </cell>
          <cell r="V613">
            <v>2.9</v>
          </cell>
          <cell r="W613">
            <v>3.25</v>
          </cell>
          <cell r="X613">
            <v>3.65</v>
          </cell>
          <cell r="Y613"/>
          <cell r="Z613"/>
          <cell r="AA613"/>
          <cell r="AB613"/>
          <cell r="AC613"/>
          <cell r="AD613"/>
          <cell r="AE613"/>
          <cell r="AF613"/>
          <cell r="AG613"/>
          <cell r="AH613"/>
          <cell r="AI613">
            <v>2.95</v>
          </cell>
          <cell r="AJ613">
            <v>3.0739999999999998</v>
          </cell>
          <cell r="AK613">
            <v>3.1</v>
          </cell>
          <cell r="AL613">
            <v>3.25</v>
          </cell>
          <cell r="AM613">
            <v>3.6030000000000002</v>
          </cell>
          <cell r="AN613"/>
          <cell r="AO613"/>
          <cell r="AP613"/>
          <cell r="AQ613"/>
          <cell r="AR613"/>
          <cell r="AS613"/>
          <cell r="AT613"/>
          <cell r="AU613"/>
          <cell r="AV613"/>
          <cell r="AW613"/>
          <cell r="AX613">
            <v>0.8</v>
          </cell>
          <cell r="AY613"/>
          <cell r="AZ613"/>
        </row>
        <row r="614">
          <cell r="A614">
            <v>47727</v>
          </cell>
          <cell r="B614">
            <v>2.65</v>
          </cell>
          <cell r="C614">
            <v>2.5</v>
          </cell>
          <cell r="D614">
            <v>2.5099999999999998</v>
          </cell>
          <cell r="E614"/>
          <cell r="F614"/>
          <cell r="G614"/>
          <cell r="H614"/>
          <cell r="I614"/>
          <cell r="J614"/>
          <cell r="K614"/>
          <cell r="L614"/>
          <cell r="M614"/>
          <cell r="N614"/>
          <cell r="O614">
            <v>2.52</v>
          </cell>
          <cell r="P614">
            <v>2.5499999999999998</v>
          </cell>
          <cell r="Q614">
            <v>2.6</v>
          </cell>
          <cell r="R614">
            <v>2.7</v>
          </cell>
          <cell r="S614">
            <v>2.5499999999999998</v>
          </cell>
          <cell r="T614">
            <v>2.6</v>
          </cell>
          <cell r="U614">
            <v>2.7</v>
          </cell>
          <cell r="V614">
            <v>2.9</v>
          </cell>
          <cell r="W614">
            <v>3.25</v>
          </cell>
          <cell r="X614">
            <v>3.65</v>
          </cell>
          <cell r="Y614"/>
          <cell r="Z614"/>
          <cell r="AA614"/>
          <cell r="AB614"/>
          <cell r="AC614"/>
          <cell r="AD614"/>
          <cell r="AE614"/>
          <cell r="AF614"/>
          <cell r="AG614"/>
          <cell r="AH614"/>
          <cell r="AI614">
            <v>2.95</v>
          </cell>
          <cell r="AJ614">
            <v>3.0739999999999998</v>
          </cell>
          <cell r="AK614">
            <v>3.1</v>
          </cell>
          <cell r="AL614">
            <v>3.25</v>
          </cell>
          <cell r="AM614">
            <v>3.6030000000000002</v>
          </cell>
          <cell r="AN614"/>
          <cell r="AO614"/>
          <cell r="AP614"/>
          <cell r="AQ614"/>
          <cell r="AR614"/>
          <cell r="AS614"/>
          <cell r="AT614"/>
          <cell r="AU614"/>
          <cell r="AV614"/>
          <cell r="AW614"/>
          <cell r="AX614">
            <v>0.8</v>
          </cell>
          <cell r="AY614"/>
          <cell r="AZ614"/>
        </row>
        <row r="615">
          <cell r="A615">
            <v>47757</v>
          </cell>
          <cell r="B615">
            <v>2.65</v>
          </cell>
          <cell r="C615">
            <v>2.5</v>
          </cell>
          <cell r="D615">
            <v>2.5099999999999998</v>
          </cell>
          <cell r="E615"/>
          <cell r="F615"/>
          <cell r="G615"/>
          <cell r="H615"/>
          <cell r="I615"/>
          <cell r="J615"/>
          <cell r="K615"/>
          <cell r="L615"/>
          <cell r="M615"/>
          <cell r="N615"/>
          <cell r="O615">
            <v>2.52</v>
          </cell>
          <cell r="P615">
            <v>2.5499999999999998</v>
          </cell>
          <cell r="Q615">
            <v>2.6</v>
          </cell>
          <cell r="R615">
            <v>2.7</v>
          </cell>
          <cell r="S615">
            <v>2.5499999999999998</v>
          </cell>
          <cell r="T615">
            <v>2.6</v>
          </cell>
          <cell r="U615">
            <v>2.7</v>
          </cell>
          <cell r="V615">
            <v>2.9</v>
          </cell>
          <cell r="W615">
            <v>3.25</v>
          </cell>
          <cell r="X615">
            <v>3.65</v>
          </cell>
          <cell r="Y615"/>
          <cell r="Z615"/>
          <cell r="AA615"/>
          <cell r="AB615"/>
          <cell r="AC615"/>
          <cell r="AD615"/>
          <cell r="AE615"/>
          <cell r="AF615"/>
          <cell r="AG615"/>
          <cell r="AH615"/>
          <cell r="AI615">
            <v>2.95</v>
          </cell>
          <cell r="AJ615">
            <v>3.0739999999999998</v>
          </cell>
          <cell r="AK615">
            <v>3.1</v>
          </cell>
          <cell r="AL615">
            <v>3.25</v>
          </cell>
          <cell r="AM615">
            <v>3.6030000000000002</v>
          </cell>
          <cell r="AN615"/>
          <cell r="AO615"/>
          <cell r="AP615"/>
          <cell r="AQ615"/>
          <cell r="AR615"/>
          <cell r="AS615"/>
          <cell r="AT615"/>
          <cell r="AU615"/>
          <cell r="AV615"/>
          <cell r="AW615"/>
          <cell r="AX615">
            <v>0.8</v>
          </cell>
          <cell r="AY615"/>
          <cell r="AZ615"/>
        </row>
        <row r="616">
          <cell r="A616">
            <v>47788</v>
          </cell>
          <cell r="B616">
            <v>2.65</v>
          </cell>
          <cell r="C616">
            <v>2.5</v>
          </cell>
          <cell r="D616">
            <v>2.5099999999999998</v>
          </cell>
          <cell r="E616"/>
          <cell r="F616"/>
          <cell r="G616"/>
          <cell r="H616"/>
          <cell r="I616"/>
          <cell r="J616"/>
          <cell r="K616"/>
          <cell r="L616"/>
          <cell r="M616"/>
          <cell r="N616"/>
          <cell r="O616">
            <v>2.52</v>
          </cell>
          <cell r="P616">
            <v>2.5499999999999998</v>
          </cell>
          <cell r="Q616">
            <v>2.6</v>
          </cell>
          <cell r="R616">
            <v>2.7</v>
          </cell>
          <cell r="S616">
            <v>2.5499999999999998</v>
          </cell>
          <cell r="T616">
            <v>2.6</v>
          </cell>
          <cell r="U616">
            <v>2.7</v>
          </cell>
          <cell r="V616">
            <v>2.9</v>
          </cell>
          <cell r="W616">
            <v>3.25</v>
          </cell>
          <cell r="X616">
            <v>3.65</v>
          </cell>
          <cell r="Y616"/>
          <cell r="Z616"/>
          <cell r="AA616"/>
          <cell r="AB616"/>
          <cell r="AC616"/>
          <cell r="AD616"/>
          <cell r="AE616"/>
          <cell r="AF616"/>
          <cell r="AG616"/>
          <cell r="AH616"/>
          <cell r="AI616">
            <v>2.95</v>
          </cell>
          <cell r="AJ616">
            <v>3.0739999999999998</v>
          </cell>
          <cell r="AK616">
            <v>3.1</v>
          </cell>
          <cell r="AL616">
            <v>3.25</v>
          </cell>
          <cell r="AM616">
            <v>3.6030000000000002</v>
          </cell>
          <cell r="AN616"/>
          <cell r="AO616"/>
          <cell r="AP616"/>
          <cell r="AQ616"/>
          <cell r="AR616"/>
          <cell r="AS616"/>
          <cell r="AT616"/>
          <cell r="AU616"/>
          <cell r="AV616"/>
          <cell r="AW616"/>
          <cell r="AX616">
            <v>0.8</v>
          </cell>
          <cell r="AY616"/>
          <cell r="AZ616"/>
        </row>
        <row r="617">
          <cell r="A617">
            <v>47818</v>
          </cell>
          <cell r="B617">
            <v>2.65</v>
          </cell>
          <cell r="C617">
            <v>2.5</v>
          </cell>
          <cell r="D617">
            <v>2.5099999999999998</v>
          </cell>
          <cell r="E617"/>
          <cell r="F617"/>
          <cell r="G617"/>
          <cell r="H617"/>
          <cell r="I617"/>
          <cell r="J617"/>
          <cell r="K617"/>
          <cell r="L617"/>
          <cell r="M617"/>
          <cell r="N617"/>
          <cell r="O617">
            <v>2.52</v>
          </cell>
          <cell r="P617">
            <v>2.5499999999999998</v>
          </cell>
          <cell r="Q617">
            <v>2.6</v>
          </cell>
          <cell r="R617">
            <v>2.7</v>
          </cell>
          <cell r="S617">
            <v>2.5499999999999998</v>
          </cell>
          <cell r="T617">
            <v>2.6</v>
          </cell>
          <cell r="U617">
            <v>2.7</v>
          </cell>
          <cell r="V617">
            <v>2.9</v>
          </cell>
          <cell r="W617">
            <v>3.25</v>
          </cell>
          <cell r="X617">
            <v>3.65</v>
          </cell>
          <cell r="Y617"/>
          <cell r="Z617"/>
          <cell r="AA617"/>
          <cell r="AB617"/>
          <cell r="AC617"/>
          <cell r="AD617"/>
          <cell r="AE617"/>
          <cell r="AF617"/>
          <cell r="AG617"/>
          <cell r="AH617"/>
          <cell r="AI617">
            <v>2.95</v>
          </cell>
          <cell r="AJ617">
            <v>3.0739999999999998</v>
          </cell>
          <cell r="AK617">
            <v>3.1</v>
          </cell>
          <cell r="AL617">
            <v>3.25</v>
          </cell>
          <cell r="AM617">
            <v>3.6030000000000002</v>
          </cell>
          <cell r="AN617"/>
          <cell r="AO617"/>
          <cell r="AP617"/>
          <cell r="AQ617"/>
          <cell r="AR617"/>
          <cell r="AS617"/>
          <cell r="AT617"/>
          <cell r="AU617"/>
          <cell r="AV617"/>
          <cell r="AW617"/>
          <cell r="AX617">
            <v>0.8</v>
          </cell>
          <cell r="AY617"/>
          <cell r="AZ617"/>
        </row>
        <row r="618">
          <cell r="A618">
            <v>47849</v>
          </cell>
          <cell r="B618">
            <v>2.65</v>
          </cell>
          <cell r="C618">
            <v>2.5</v>
          </cell>
          <cell r="D618">
            <v>2.5099999999999998</v>
          </cell>
          <cell r="E618"/>
          <cell r="F618"/>
          <cell r="G618"/>
          <cell r="H618"/>
          <cell r="I618"/>
          <cell r="J618"/>
          <cell r="K618"/>
          <cell r="L618"/>
          <cell r="M618"/>
          <cell r="N618"/>
          <cell r="O618">
            <v>2.52</v>
          </cell>
          <cell r="P618">
            <v>2.5499999999999998</v>
          </cell>
          <cell r="Q618">
            <v>2.6</v>
          </cell>
          <cell r="R618">
            <v>2.7</v>
          </cell>
          <cell r="S618">
            <v>2.5499999999999998</v>
          </cell>
          <cell r="T618">
            <v>2.6</v>
          </cell>
          <cell r="U618">
            <v>2.7</v>
          </cell>
          <cell r="V618">
            <v>2.9</v>
          </cell>
          <cell r="W618">
            <v>3.25</v>
          </cell>
          <cell r="X618">
            <v>3.65</v>
          </cell>
          <cell r="Y618"/>
          <cell r="Z618"/>
          <cell r="AA618"/>
          <cell r="AB618"/>
          <cell r="AC618"/>
          <cell r="AD618"/>
          <cell r="AE618"/>
          <cell r="AF618"/>
          <cell r="AG618"/>
          <cell r="AH618"/>
          <cell r="AI618">
            <v>2.95</v>
          </cell>
          <cell r="AJ618">
            <v>3.0739999999999998</v>
          </cell>
          <cell r="AK618">
            <v>3.1</v>
          </cell>
          <cell r="AL618">
            <v>3.25</v>
          </cell>
          <cell r="AM618">
            <v>3.6030000000000002</v>
          </cell>
          <cell r="AN618"/>
          <cell r="AO618"/>
          <cell r="AP618"/>
          <cell r="AQ618"/>
          <cell r="AR618"/>
          <cell r="AS618"/>
          <cell r="AT618"/>
          <cell r="AU618"/>
          <cell r="AV618"/>
          <cell r="AW618"/>
          <cell r="AX618">
            <v>0.8</v>
          </cell>
          <cell r="AY618"/>
          <cell r="AZ618"/>
        </row>
        <row r="619">
          <cell r="A619">
            <v>47880</v>
          </cell>
          <cell r="B619">
            <v>2.65</v>
          </cell>
          <cell r="C619">
            <v>2.5</v>
          </cell>
          <cell r="D619">
            <v>2.5099999999999998</v>
          </cell>
          <cell r="E619"/>
          <cell r="F619"/>
          <cell r="G619"/>
          <cell r="H619"/>
          <cell r="I619"/>
          <cell r="J619"/>
          <cell r="K619"/>
          <cell r="L619"/>
          <cell r="M619"/>
          <cell r="N619"/>
          <cell r="O619">
            <v>2.52</v>
          </cell>
          <cell r="P619">
            <v>2.5499999999999998</v>
          </cell>
          <cell r="Q619">
            <v>2.6</v>
          </cell>
          <cell r="R619">
            <v>2.7</v>
          </cell>
          <cell r="S619">
            <v>2.5499999999999998</v>
          </cell>
          <cell r="T619">
            <v>2.6</v>
          </cell>
          <cell r="U619">
            <v>2.7</v>
          </cell>
          <cell r="V619">
            <v>2.9</v>
          </cell>
          <cell r="W619">
            <v>3.25</v>
          </cell>
          <cell r="X619">
            <v>3.65</v>
          </cell>
          <cell r="Y619"/>
          <cell r="Z619"/>
          <cell r="AA619"/>
          <cell r="AB619"/>
          <cell r="AC619"/>
          <cell r="AD619"/>
          <cell r="AE619"/>
          <cell r="AF619"/>
          <cell r="AG619"/>
          <cell r="AH619"/>
          <cell r="AI619">
            <v>2.95</v>
          </cell>
          <cell r="AJ619">
            <v>3.0739999999999998</v>
          </cell>
          <cell r="AK619">
            <v>3.1</v>
          </cell>
          <cell r="AL619">
            <v>3.25</v>
          </cell>
          <cell r="AM619">
            <v>3.6030000000000002</v>
          </cell>
          <cell r="AN619"/>
          <cell r="AO619"/>
          <cell r="AP619"/>
          <cell r="AQ619"/>
          <cell r="AR619"/>
          <cell r="AS619"/>
          <cell r="AT619"/>
          <cell r="AU619"/>
          <cell r="AV619"/>
          <cell r="AW619"/>
          <cell r="AX619">
            <v>0.8</v>
          </cell>
          <cell r="AY619"/>
          <cell r="AZ619"/>
        </row>
        <row r="620">
          <cell r="A620">
            <v>47908</v>
          </cell>
          <cell r="B620">
            <v>2.65</v>
          </cell>
          <cell r="C620">
            <v>2.5</v>
          </cell>
          <cell r="D620">
            <v>2.5099999999999998</v>
          </cell>
          <cell r="E620"/>
          <cell r="F620"/>
          <cell r="G620"/>
          <cell r="H620"/>
          <cell r="I620"/>
          <cell r="J620"/>
          <cell r="K620"/>
          <cell r="L620"/>
          <cell r="M620"/>
          <cell r="N620"/>
          <cell r="O620">
            <v>2.52</v>
          </cell>
          <cell r="P620">
            <v>2.5499999999999998</v>
          </cell>
          <cell r="Q620">
            <v>2.6</v>
          </cell>
          <cell r="R620">
            <v>2.7</v>
          </cell>
          <cell r="S620">
            <v>2.5499999999999998</v>
          </cell>
          <cell r="T620">
            <v>2.6</v>
          </cell>
          <cell r="U620">
            <v>2.7</v>
          </cell>
          <cell r="V620">
            <v>2.9</v>
          </cell>
          <cell r="W620">
            <v>3.25</v>
          </cell>
          <cell r="X620">
            <v>3.65</v>
          </cell>
          <cell r="Y620"/>
          <cell r="Z620"/>
          <cell r="AA620"/>
          <cell r="AB620"/>
          <cell r="AC620"/>
          <cell r="AD620"/>
          <cell r="AE620"/>
          <cell r="AF620"/>
          <cell r="AG620"/>
          <cell r="AH620"/>
          <cell r="AI620">
            <v>2.95</v>
          </cell>
          <cell r="AJ620">
            <v>3.0739999999999998</v>
          </cell>
          <cell r="AK620">
            <v>3.1</v>
          </cell>
          <cell r="AL620">
            <v>3.25</v>
          </cell>
          <cell r="AM620">
            <v>3.6030000000000002</v>
          </cell>
          <cell r="AN620"/>
          <cell r="AO620"/>
          <cell r="AP620"/>
          <cell r="AQ620"/>
          <cell r="AR620"/>
          <cell r="AS620"/>
          <cell r="AT620"/>
          <cell r="AU620"/>
          <cell r="AV620"/>
          <cell r="AW620"/>
          <cell r="AX620">
            <v>0.8</v>
          </cell>
          <cell r="AY620"/>
          <cell r="AZ620"/>
        </row>
        <row r="621">
          <cell r="A621">
            <v>47939</v>
          </cell>
          <cell r="B621">
            <v>2.65</v>
          </cell>
          <cell r="C621">
            <v>2.5</v>
          </cell>
          <cell r="D621">
            <v>2.5099999999999998</v>
          </cell>
          <cell r="E621"/>
          <cell r="F621"/>
          <cell r="G621"/>
          <cell r="H621"/>
          <cell r="I621"/>
          <cell r="J621"/>
          <cell r="K621"/>
          <cell r="L621"/>
          <cell r="M621"/>
          <cell r="N621"/>
          <cell r="O621">
            <v>2.52</v>
          </cell>
          <cell r="P621">
            <v>2.5499999999999998</v>
          </cell>
          <cell r="Q621">
            <v>2.6</v>
          </cell>
          <cell r="R621">
            <v>2.7</v>
          </cell>
          <cell r="S621">
            <v>2.5499999999999998</v>
          </cell>
          <cell r="T621">
            <v>2.6</v>
          </cell>
          <cell r="U621">
            <v>2.7</v>
          </cell>
          <cell r="V621">
            <v>2.9</v>
          </cell>
          <cell r="W621">
            <v>3.25</v>
          </cell>
          <cell r="X621">
            <v>3.65</v>
          </cell>
          <cell r="Y621"/>
          <cell r="Z621"/>
          <cell r="AA621"/>
          <cell r="AB621"/>
          <cell r="AC621"/>
          <cell r="AD621"/>
          <cell r="AE621"/>
          <cell r="AF621"/>
          <cell r="AG621"/>
          <cell r="AH621"/>
          <cell r="AI621">
            <v>2.95</v>
          </cell>
          <cell r="AJ621">
            <v>3.0739999999999998</v>
          </cell>
          <cell r="AK621">
            <v>3.1</v>
          </cell>
          <cell r="AL621">
            <v>3.25</v>
          </cell>
          <cell r="AM621">
            <v>3.6030000000000002</v>
          </cell>
          <cell r="AN621"/>
          <cell r="AO621"/>
          <cell r="AP621"/>
          <cell r="AQ621"/>
          <cell r="AR621"/>
          <cell r="AS621"/>
          <cell r="AT621"/>
          <cell r="AU621"/>
          <cell r="AV621"/>
          <cell r="AW621"/>
          <cell r="AX621">
            <v>0.8</v>
          </cell>
          <cell r="AY621"/>
          <cell r="AZ621"/>
        </row>
        <row r="622">
          <cell r="A622">
            <v>47969</v>
          </cell>
          <cell r="B622">
            <v>2.65</v>
          </cell>
          <cell r="C622">
            <v>2.5</v>
          </cell>
          <cell r="D622">
            <v>2.5099999999999998</v>
          </cell>
          <cell r="E622"/>
          <cell r="F622"/>
          <cell r="G622"/>
          <cell r="H622"/>
          <cell r="I622"/>
          <cell r="J622"/>
          <cell r="K622"/>
          <cell r="L622"/>
          <cell r="M622"/>
          <cell r="N622"/>
          <cell r="O622">
            <v>2.52</v>
          </cell>
          <cell r="P622">
            <v>2.5499999999999998</v>
          </cell>
          <cell r="Q622">
            <v>2.6</v>
          </cell>
          <cell r="R622">
            <v>2.7</v>
          </cell>
          <cell r="S622">
            <v>2.5499999999999998</v>
          </cell>
          <cell r="T622">
            <v>2.6</v>
          </cell>
          <cell r="U622">
            <v>2.7</v>
          </cell>
          <cell r="V622">
            <v>2.9</v>
          </cell>
          <cell r="W622">
            <v>3.25</v>
          </cell>
          <cell r="X622">
            <v>3.65</v>
          </cell>
          <cell r="Y622"/>
          <cell r="Z622"/>
          <cell r="AA622"/>
          <cell r="AB622"/>
          <cell r="AC622"/>
          <cell r="AD622"/>
          <cell r="AE622"/>
          <cell r="AF622"/>
          <cell r="AG622"/>
          <cell r="AH622"/>
          <cell r="AI622">
            <v>2.95</v>
          </cell>
          <cell r="AJ622">
            <v>3.0739999999999998</v>
          </cell>
          <cell r="AK622">
            <v>3.1</v>
          </cell>
          <cell r="AL622">
            <v>3.25</v>
          </cell>
          <cell r="AM622">
            <v>3.6030000000000002</v>
          </cell>
          <cell r="AN622"/>
          <cell r="AO622"/>
          <cell r="AP622"/>
          <cell r="AQ622"/>
          <cell r="AR622"/>
          <cell r="AS622"/>
          <cell r="AT622"/>
          <cell r="AU622"/>
          <cell r="AV622"/>
          <cell r="AW622"/>
          <cell r="AX622">
            <v>0.8</v>
          </cell>
          <cell r="AY622"/>
          <cell r="AZ622"/>
        </row>
        <row r="623">
          <cell r="A623">
            <v>48000</v>
          </cell>
          <cell r="B623">
            <v>2.65</v>
          </cell>
          <cell r="C623">
            <v>2.5</v>
          </cell>
          <cell r="D623">
            <v>2.5099999999999998</v>
          </cell>
          <cell r="E623"/>
          <cell r="F623"/>
          <cell r="G623"/>
          <cell r="H623"/>
          <cell r="I623"/>
          <cell r="J623"/>
          <cell r="K623"/>
          <cell r="L623"/>
          <cell r="M623"/>
          <cell r="N623"/>
          <cell r="O623">
            <v>2.52</v>
          </cell>
          <cell r="P623">
            <v>2.5499999999999998</v>
          </cell>
          <cell r="Q623">
            <v>2.6</v>
          </cell>
          <cell r="R623">
            <v>2.7</v>
          </cell>
          <cell r="S623">
            <v>2.5499999999999998</v>
          </cell>
          <cell r="T623">
            <v>2.6</v>
          </cell>
          <cell r="U623">
            <v>2.7</v>
          </cell>
          <cell r="V623">
            <v>2.9</v>
          </cell>
          <cell r="W623">
            <v>3.25</v>
          </cell>
          <cell r="X623">
            <v>3.65</v>
          </cell>
          <cell r="Y623"/>
          <cell r="Z623"/>
          <cell r="AA623"/>
          <cell r="AB623"/>
          <cell r="AC623"/>
          <cell r="AD623"/>
          <cell r="AE623"/>
          <cell r="AF623"/>
          <cell r="AG623"/>
          <cell r="AH623"/>
          <cell r="AI623">
            <v>2.95</v>
          </cell>
          <cell r="AJ623">
            <v>3.0739999999999998</v>
          </cell>
          <cell r="AK623">
            <v>3.1</v>
          </cell>
          <cell r="AL623">
            <v>3.25</v>
          </cell>
          <cell r="AM623">
            <v>3.6030000000000002</v>
          </cell>
          <cell r="AN623"/>
          <cell r="AO623"/>
          <cell r="AP623"/>
          <cell r="AQ623"/>
          <cell r="AR623"/>
          <cell r="AS623"/>
          <cell r="AT623"/>
          <cell r="AU623"/>
          <cell r="AV623"/>
          <cell r="AW623"/>
          <cell r="AX623">
            <v>0.8</v>
          </cell>
          <cell r="AY623"/>
          <cell r="AZ623"/>
        </row>
        <row r="624">
          <cell r="A624">
            <v>48030</v>
          </cell>
          <cell r="B624">
            <v>2.65</v>
          </cell>
          <cell r="C624">
            <v>2.5</v>
          </cell>
          <cell r="D624">
            <v>2.5099999999999998</v>
          </cell>
          <cell r="E624"/>
          <cell r="F624"/>
          <cell r="G624"/>
          <cell r="H624"/>
          <cell r="I624"/>
          <cell r="J624"/>
          <cell r="K624"/>
          <cell r="L624"/>
          <cell r="M624"/>
          <cell r="N624"/>
          <cell r="O624">
            <v>2.52</v>
          </cell>
          <cell r="P624">
            <v>2.5499999999999998</v>
          </cell>
          <cell r="Q624">
            <v>2.6</v>
          </cell>
          <cell r="R624">
            <v>2.7</v>
          </cell>
          <cell r="S624">
            <v>2.5499999999999998</v>
          </cell>
          <cell r="T624">
            <v>2.6</v>
          </cell>
          <cell r="U624">
            <v>2.7</v>
          </cell>
          <cell r="V624">
            <v>2.9</v>
          </cell>
          <cell r="W624">
            <v>3.25</v>
          </cell>
          <cell r="X624">
            <v>3.65</v>
          </cell>
          <cell r="Y624"/>
          <cell r="Z624"/>
          <cell r="AA624"/>
          <cell r="AB624"/>
          <cell r="AC624"/>
          <cell r="AD624"/>
          <cell r="AE624"/>
          <cell r="AF624"/>
          <cell r="AG624"/>
          <cell r="AH624"/>
          <cell r="AI624">
            <v>2.95</v>
          </cell>
          <cell r="AJ624">
            <v>3.0739999999999998</v>
          </cell>
          <cell r="AK624">
            <v>3.1</v>
          </cell>
          <cell r="AL624">
            <v>3.25</v>
          </cell>
          <cell r="AM624">
            <v>3.6030000000000002</v>
          </cell>
          <cell r="AN624"/>
          <cell r="AO624"/>
          <cell r="AP624"/>
          <cell r="AQ624"/>
          <cell r="AR624"/>
          <cell r="AS624"/>
          <cell r="AT624"/>
          <cell r="AU624"/>
          <cell r="AV624"/>
          <cell r="AW624"/>
          <cell r="AX624">
            <v>0.8</v>
          </cell>
          <cell r="AY624"/>
          <cell r="AZ624"/>
        </row>
        <row r="625">
          <cell r="A625">
            <v>48061</v>
          </cell>
          <cell r="B625">
            <v>2.65</v>
          </cell>
          <cell r="C625">
            <v>2.5</v>
          </cell>
          <cell r="D625">
            <v>2.5099999999999998</v>
          </cell>
          <cell r="E625"/>
          <cell r="F625"/>
          <cell r="G625"/>
          <cell r="H625"/>
          <cell r="I625"/>
          <cell r="J625"/>
          <cell r="K625"/>
          <cell r="L625"/>
          <cell r="M625"/>
          <cell r="N625"/>
          <cell r="O625">
            <v>2.52</v>
          </cell>
          <cell r="P625">
            <v>2.5499999999999998</v>
          </cell>
          <cell r="Q625">
            <v>2.6</v>
          </cell>
          <cell r="R625">
            <v>2.7</v>
          </cell>
          <cell r="S625">
            <v>2.5499999999999998</v>
          </cell>
          <cell r="T625">
            <v>2.6</v>
          </cell>
          <cell r="U625">
            <v>2.7</v>
          </cell>
          <cell r="V625">
            <v>2.9</v>
          </cell>
          <cell r="W625">
            <v>3.25</v>
          </cell>
          <cell r="X625">
            <v>3.65</v>
          </cell>
          <cell r="Y625"/>
          <cell r="Z625"/>
          <cell r="AA625"/>
          <cell r="AB625"/>
          <cell r="AC625"/>
          <cell r="AD625"/>
          <cell r="AE625"/>
          <cell r="AF625"/>
          <cell r="AG625"/>
          <cell r="AH625"/>
          <cell r="AI625">
            <v>2.95</v>
          </cell>
          <cell r="AJ625">
            <v>3.0739999999999998</v>
          </cell>
          <cell r="AK625">
            <v>3.1</v>
          </cell>
          <cell r="AL625">
            <v>3.25</v>
          </cell>
          <cell r="AM625">
            <v>3.6030000000000002</v>
          </cell>
          <cell r="AN625"/>
          <cell r="AO625"/>
          <cell r="AP625"/>
          <cell r="AQ625"/>
          <cell r="AR625"/>
          <cell r="AS625"/>
          <cell r="AT625"/>
          <cell r="AU625"/>
          <cell r="AV625"/>
          <cell r="AW625"/>
          <cell r="AX625">
            <v>0.8</v>
          </cell>
          <cell r="AY625"/>
          <cell r="AZ625"/>
        </row>
        <row r="626">
          <cell r="A626">
            <v>48092</v>
          </cell>
          <cell r="B626">
            <v>2.65</v>
          </cell>
          <cell r="C626">
            <v>2.5</v>
          </cell>
          <cell r="D626">
            <v>2.5099999999999998</v>
          </cell>
          <cell r="E626"/>
          <cell r="F626"/>
          <cell r="G626"/>
          <cell r="H626"/>
          <cell r="I626"/>
          <cell r="J626"/>
          <cell r="K626"/>
          <cell r="L626"/>
          <cell r="M626"/>
          <cell r="N626"/>
          <cell r="O626">
            <v>2.52</v>
          </cell>
          <cell r="P626">
            <v>2.5499999999999998</v>
          </cell>
          <cell r="Q626">
            <v>2.6</v>
          </cell>
          <cell r="R626">
            <v>2.7</v>
          </cell>
          <cell r="S626">
            <v>2.5499999999999998</v>
          </cell>
          <cell r="T626">
            <v>2.6</v>
          </cell>
          <cell r="U626">
            <v>2.7</v>
          </cell>
          <cell r="V626">
            <v>2.9</v>
          </cell>
          <cell r="W626">
            <v>3.25</v>
          </cell>
          <cell r="X626">
            <v>3.65</v>
          </cell>
          <cell r="Y626"/>
          <cell r="Z626"/>
          <cell r="AA626"/>
          <cell r="AB626"/>
          <cell r="AC626"/>
          <cell r="AD626"/>
          <cell r="AE626"/>
          <cell r="AF626"/>
          <cell r="AG626"/>
          <cell r="AH626"/>
          <cell r="AI626">
            <v>2.95</v>
          </cell>
          <cell r="AJ626">
            <v>3.0739999999999998</v>
          </cell>
          <cell r="AK626">
            <v>3.1</v>
          </cell>
          <cell r="AL626">
            <v>3.25</v>
          </cell>
          <cell r="AM626">
            <v>3.6030000000000002</v>
          </cell>
          <cell r="AN626"/>
          <cell r="AO626"/>
          <cell r="AP626"/>
          <cell r="AQ626"/>
          <cell r="AR626"/>
          <cell r="AS626"/>
          <cell r="AT626"/>
          <cell r="AU626"/>
          <cell r="AV626"/>
          <cell r="AW626"/>
          <cell r="AX626">
            <v>0.8</v>
          </cell>
          <cell r="AY626"/>
          <cell r="AZ626"/>
        </row>
        <row r="627">
          <cell r="A627">
            <v>48122</v>
          </cell>
          <cell r="B627">
            <v>2.65</v>
          </cell>
          <cell r="C627">
            <v>2.5</v>
          </cell>
          <cell r="D627">
            <v>2.5099999999999998</v>
          </cell>
          <cell r="E627"/>
          <cell r="F627"/>
          <cell r="G627"/>
          <cell r="H627"/>
          <cell r="I627"/>
          <cell r="J627"/>
          <cell r="K627"/>
          <cell r="L627"/>
          <cell r="M627"/>
          <cell r="N627"/>
          <cell r="O627">
            <v>2.52</v>
          </cell>
          <cell r="P627">
            <v>2.5499999999999998</v>
          </cell>
          <cell r="Q627">
            <v>2.6</v>
          </cell>
          <cell r="R627">
            <v>2.7</v>
          </cell>
          <cell r="S627">
            <v>2.5499999999999998</v>
          </cell>
          <cell r="T627">
            <v>2.6</v>
          </cell>
          <cell r="U627">
            <v>2.7</v>
          </cell>
          <cell r="V627">
            <v>2.9</v>
          </cell>
          <cell r="W627">
            <v>3.25</v>
          </cell>
          <cell r="X627">
            <v>3.65</v>
          </cell>
          <cell r="Y627"/>
          <cell r="Z627"/>
          <cell r="AA627"/>
          <cell r="AB627"/>
          <cell r="AC627"/>
          <cell r="AD627"/>
          <cell r="AE627"/>
          <cell r="AF627"/>
          <cell r="AG627"/>
          <cell r="AH627"/>
          <cell r="AI627">
            <v>2.95</v>
          </cell>
          <cell r="AJ627">
            <v>3.0739999999999998</v>
          </cell>
          <cell r="AK627">
            <v>3.1</v>
          </cell>
          <cell r="AL627">
            <v>3.25</v>
          </cell>
          <cell r="AM627">
            <v>3.6030000000000002</v>
          </cell>
          <cell r="AN627"/>
          <cell r="AO627"/>
          <cell r="AP627"/>
          <cell r="AQ627"/>
          <cell r="AR627"/>
          <cell r="AS627"/>
          <cell r="AT627"/>
          <cell r="AU627"/>
          <cell r="AV627"/>
          <cell r="AW627"/>
          <cell r="AX627">
            <v>0.8</v>
          </cell>
          <cell r="AY627"/>
          <cell r="AZ627"/>
        </row>
        <row r="628">
          <cell r="A628">
            <v>48153</v>
          </cell>
          <cell r="B628">
            <v>2.65</v>
          </cell>
          <cell r="C628">
            <v>2.5</v>
          </cell>
          <cell r="D628">
            <v>2.5099999999999998</v>
          </cell>
          <cell r="E628"/>
          <cell r="F628"/>
          <cell r="G628"/>
          <cell r="H628"/>
          <cell r="I628"/>
          <cell r="J628"/>
          <cell r="K628"/>
          <cell r="L628"/>
          <cell r="M628"/>
          <cell r="N628"/>
          <cell r="O628">
            <v>2.52</v>
          </cell>
          <cell r="P628">
            <v>2.5499999999999998</v>
          </cell>
          <cell r="Q628">
            <v>2.6</v>
          </cell>
          <cell r="R628">
            <v>2.7</v>
          </cell>
          <cell r="S628">
            <v>2.5499999999999998</v>
          </cell>
          <cell r="T628">
            <v>2.6</v>
          </cell>
          <cell r="U628">
            <v>2.7</v>
          </cell>
          <cell r="V628">
            <v>2.9</v>
          </cell>
          <cell r="W628">
            <v>3.25</v>
          </cell>
          <cell r="X628">
            <v>3.65</v>
          </cell>
          <cell r="Y628"/>
          <cell r="Z628"/>
          <cell r="AA628"/>
          <cell r="AB628"/>
          <cell r="AC628"/>
          <cell r="AD628"/>
          <cell r="AE628"/>
          <cell r="AF628"/>
          <cell r="AG628"/>
          <cell r="AH628"/>
          <cell r="AI628">
            <v>2.95</v>
          </cell>
          <cell r="AJ628">
            <v>3.0739999999999998</v>
          </cell>
          <cell r="AK628">
            <v>3.1</v>
          </cell>
          <cell r="AL628">
            <v>3.25</v>
          </cell>
          <cell r="AM628">
            <v>3.6030000000000002</v>
          </cell>
          <cell r="AN628"/>
          <cell r="AO628"/>
          <cell r="AP628"/>
          <cell r="AQ628"/>
          <cell r="AR628"/>
          <cell r="AS628"/>
          <cell r="AT628"/>
          <cell r="AU628"/>
          <cell r="AV628"/>
          <cell r="AW628"/>
          <cell r="AX628">
            <v>0.8</v>
          </cell>
          <cell r="AY628"/>
          <cell r="AZ628"/>
        </row>
        <row r="629">
          <cell r="A629">
            <v>48183</v>
          </cell>
          <cell r="B629">
            <v>2.65</v>
          </cell>
          <cell r="C629">
            <v>2.5</v>
          </cell>
          <cell r="D629">
            <v>2.5099999999999998</v>
          </cell>
          <cell r="E629"/>
          <cell r="F629"/>
          <cell r="G629"/>
          <cell r="H629"/>
          <cell r="I629"/>
          <cell r="J629"/>
          <cell r="K629"/>
          <cell r="L629"/>
          <cell r="M629"/>
          <cell r="N629"/>
          <cell r="O629">
            <v>2.52</v>
          </cell>
          <cell r="P629">
            <v>2.5499999999999998</v>
          </cell>
          <cell r="Q629">
            <v>2.6</v>
          </cell>
          <cell r="R629">
            <v>2.7</v>
          </cell>
          <cell r="S629">
            <v>2.5499999999999998</v>
          </cell>
          <cell r="T629">
            <v>2.6</v>
          </cell>
          <cell r="U629">
            <v>2.7</v>
          </cell>
          <cell r="V629">
            <v>2.9</v>
          </cell>
          <cell r="W629">
            <v>3.25</v>
          </cell>
          <cell r="X629">
            <v>3.65</v>
          </cell>
          <cell r="Y629"/>
          <cell r="Z629"/>
          <cell r="AA629"/>
          <cell r="AB629"/>
          <cell r="AC629"/>
          <cell r="AD629"/>
          <cell r="AE629"/>
          <cell r="AF629"/>
          <cell r="AG629"/>
          <cell r="AH629"/>
          <cell r="AI629">
            <v>2.95</v>
          </cell>
          <cell r="AJ629">
            <v>3.0739999999999998</v>
          </cell>
          <cell r="AK629">
            <v>3.1</v>
          </cell>
          <cell r="AL629">
            <v>3.25</v>
          </cell>
          <cell r="AM629">
            <v>3.6030000000000002</v>
          </cell>
          <cell r="AN629"/>
          <cell r="AO629"/>
          <cell r="AP629"/>
          <cell r="AQ629"/>
          <cell r="AR629"/>
          <cell r="AS629"/>
          <cell r="AT629"/>
          <cell r="AU629"/>
          <cell r="AV629"/>
          <cell r="AW629"/>
          <cell r="AX629">
            <v>0.8</v>
          </cell>
          <cell r="AY629"/>
          <cell r="AZ629"/>
        </row>
        <row r="630">
          <cell r="A630"/>
          <cell r="B630"/>
          <cell r="C630"/>
          <cell r="D630"/>
          <cell r="E630"/>
          <cell r="F630"/>
          <cell r="G630"/>
          <cell r="H630"/>
          <cell r="I630"/>
          <cell r="J630"/>
          <cell r="K630"/>
          <cell r="L630"/>
          <cell r="M630"/>
          <cell r="N630"/>
          <cell r="O630"/>
          <cell r="P630"/>
          <cell r="Q630"/>
          <cell r="R630"/>
          <cell r="S630"/>
          <cell r="T630"/>
          <cell r="U630"/>
          <cell r="V630"/>
          <cell r="W630"/>
          <cell r="X630"/>
          <cell r="Y630"/>
          <cell r="Z630"/>
          <cell r="AA630"/>
          <cell r="AB630"/>
          <cell r="AC630"/>
          <cell r="AD630"/>
          <cell r="AE630"/>
          <cell r="AF630"/>
          <cell r="AG630"/>
          <cell r="AH630"/>
          <cell r="AI630"/>
          <cell r="AJ630"/>
          <cell r="AK630"/>
          <cell r="AL630"/>
          <cell r="AM630"/>
          <cell r="AN630"/>
          <cell r="AO630"/>
          <cell r="AP630"/>
          <cell r="AQ630"/>
          <cell r="AR630"/>
          <cell r="AS630"/>
          <cell r="AT630"/>
          <cell r="AU630"/>
          <cell r="AV630"/>
          <cell r="AW630"/>
          <cell r="AX630"/>
          <cell r="AY630"/>
          <cell r="AZ630"/>
        </row>
        <row r="631">
          <cell r="A631">
            <v>2030</v>
          </cell>
          <cell r="B631">
            <v>2.6499999999999999E-2</v>
          </cell>
          <cell r="C631"/>
          <cell r="D631"/>
          <cell r="E631"/>
          <cell r="F631"/>
          <cell r="G631"/>
          <cell r="H631"/>
          <cell r="I631"/>
          <cell r="J631"/>
          <cell r="K631"/>
          <cell r="L631"/>
          <cell r="M631"/>
          <cell r="N631"/>
          <cell r="O631"/>
          <cell r="P631"/>
          <cell r="Q631"/>
          <cell r="R631"/>
          <cell r="S631"/>
          <cell r="T631"/>
          <cell r="U631"/>
          <cell r="V631"/>
          <cell r="W631">
            <v>3.25</v>
          </cell>
          <cell r="X631"/>
          <cell r="Y631"/>
          <cell r="Z631"/>
          <cell r="AA631"/>
          <cell r="AB631"/>
          <cell r="AC631"/>
          <cell r="AD631"/>
          <cell r="AE631"/>
          <cell r="AF631"/>
          <cell r="AG631"/>
          <cell r="AH631"/>
          <cell r="AI631"/>
          <cell r="AJ631"/>
          <cell r="AK631"/>
          <cell r="AL631"/>
          <cell r="AM631"/>
          <cell r="AN631"/>
          <cell r="AO631"/>
          <cell r="AP631"/>
          <cell r="AQ631"/>
          <cell r="AR631"/>
          <cell r="AS631"/>
          <cell r="AT631"/>
          <cell r="AU631"/>
          <cell r="AV631"/>
          <cell r="AW631"/>
          <cell r="AX631"/>
          <cell r="AY631"/>
          <cell r="AZ631"/>
        </row>
        <row r="632">
          <cell r="A632">
            <v>2040</v>
          </cell>
          <cell r="B632">
            <v>2.6499999999999999E-2</v>
          </cell>
          <cell r="C632"/>
          <cell r="D632"/>
          <cell r="E632"/>
          <cell r="F632"/>
          <cell r="G632"/>
          <cell r="H632"/>
          <cell r="I632"/>
          <cell r="J632"/>
          <cell r="K632"/>
          <cell r="L632"/>
          <cell r="M632"/>
          <cell r="N632"/>
          <cell r="O632"/>
          <cell r="P632"/>
          <cell r="Q632"/>
          <cell r="R632"/>
          <cell r="S632"/>
          <cell r="T632"/>
          <cell r="U632"/>
          <cell r="V632"/>
          <cell r="W632">
            <v>3.25</v>
          </cell>
          <cell r="X632"/>
          <cell r="Y632"/>
          <cell r="Z632"/>
          <cell r="AA632"/>
          <cell r="AB632"/>
          <cell r="AC632"/>
          <cell r="AD632"/>
          <cell r="AE632"/>
          <cell r="AF632"/>
          <cell r="AG632"/>
          <cell r="AH632"/>
          <cell r="AI632"/>
          <cell r="AJ632"/>
          <cell r="AK632"/>
          <cell r="AL632"/>
          <cell r="AM632"/>
          <cell r="AN632"/>
          <cell r="AO632"/>
          <cell r="AP632"/>
          <cell r="AQ632"/>
          <cell r="AR632"/>
          <cell r="AS632"/>
          <cell r="AT632"/>
          <cell r="AU632"/>
          <cell r="AV632"/>
          <cell r="AW632"/>
          <cell r="AX632"/>
          <cell r="AY632"/>
          <cell r="AZ632"/>
        </row>
        <row r="633">
          <cell r="A633"/>
          <cell r="B633"/>
          <cell r="C633"/>
          <cell r="D633"/>
          <cell r="E633"/>
          <cell r="F633"/>
          <cell r="G633"/>
          <cell r="H633"/>
          <cell r="I633"/>
          <cell r="J633"/>
          <cell r="K633"/>
          <cell r="L633"/>
          <cell r="M633"/>
          <cell r="N633"/>
          <cell r="O633"/>
          <cell r="P633"/>
          <cell r="Q633"/>
          <cell r="R633"/>
          <cell r="S633"/>
          <cell r="T633"/>
          <cell r="U633"/>
          <cell r="V633"/>
          <cell r="W633"/>
          <cell r="X633"/>
          <cell r="Y633"/>
          <cell r="Z633"/>
          <cell r="AA633"/>
          <cell r="AB633"/>
          <cell r="AC633"/>
          <cell r="AD633"/>
          <cell r="AE633"/>
          <cell r="AF633"/>
          <cell r="AG633"/>
          <cell r="AH633"/>
          <cell r="AI633"/>
          <cell r="AJ633"/>
          <cell r="AK633"/>
          <cell r="AL633"/>
          <cell r="AM633"/>
          <cell r="AN633"/>
          <cell r="AO633"/>
          <cell r="AP633"/>
          <cell r="AQ633"/>
          <cell r="AR633"/>
          <cell r="AS633"/>
          <cell r="AT633"/>
          <cell r="AU633"/>
          <cell r="AV633"/>
          <cell r="AW633"/>
          <cell r="AX633"/>
          <cell r="AY633"/>
          <cell r="AZ633"/>
        </row>
        <row r="634">
          <cell r="A634"/>
          <cell r="B634"/>
          <cell r="C634"/>
          <cell r="D634"/>
          <cell r="E634"/>
          <cell r="F634"/>
          <cell r="G634"/>
          <cell r="H634"/>
          <cell r="I634"/>
          <cell r="J634"/>
          <cell r="K634"/>
          <cell r="L634"/>
          <cell r="M634"/>
          <cell r="N634"/>
          <cell r="O634"/>
          <cell r="P634"/>
          <cell r="Q634"/>
          <cell r="R634"/>
          <cell r="S634"/>
          <cell r="T634"/>
          <cell r="U634"/>
          <cell r="V634"/>
          <cell r="W634"/>
          <cell r="X634"/>
          <cell r="Y634"/>
          <cell r="Z634"/>
          <cell r="AA634"/>
          <cell r="AB634"/>
          <cell r="AC634"/>
          <cell r="AD634"/>
          <cell r="AE634"/>
          <cell r="AF634"/>
          <cell r="AG634"/>
          <cell r="AH634"/>
          <cell r="AI634"/>
          <cell r="AJ634"/>
          <cell r="AK634"/>
          <cell r="AL634"/>
          <cell r="AM634"/>
          <cell r="AN634"/>
          <cell r="AO634"/>
          <cell r="AP634"/>
          <cell r="AQ634"/>
          <cell r="AR634"/>
          <cell r="AS634"/>
          <cell r="AT634"/>
          <cell r="AU634"/>
          <cell r="AV634"/>
          <cell r="AW634"/>
          <cell r="AX634"/>
          <cell r="AY634"/>
          <cell r="AZ634"/>
        </row>
        <row r="635">
          <cell r="A635"/>
          <cell r="B635"/>
          <cell r="C635"/>
          <cell r="D635"/>
          <cell r="E635"/>
          <cell r="F635"/>
          <cell r="G635"/>
          <cell r="H635"/>
          <cell r="I635"/>
          <cell r="J635"/>
          <cell r="K635"/>
          <cell r="L635"/>
          <cell r="M635"/>
          <cell r="N635"/>
          <cell r="O635"/>
          <cell r="P635"/>
          <cell r="Q635"/>
          <cell r="R635"/>
          <cell r="S635"/>
          <cell r="T635"/>
          <cell r="U635"/>
          <cell r="V635"/>
          <cell r="W635"/>
          <cell r="X635"/>
          <cell r="Y635"/>
          <cell r="Z635"/>
          <cell r="AA635"/>
          <cell r="AB635"/>
          <cell r="AC635"/>
          <cell r="AD635"/>
          <cell r="AE635"/>
          <cell r="AF635"/>
          <cell r="AG635"/>
          <cell r="AH635"/>
          <cell r="AI635"/>
          <cell r="AJ635"/>
          <cell r="AK635"/>
          <cell r="AL635"/>
          <cell r="AM635"/>
          <cell r="AN635"/>
          <cell r="AO635"/>
          <cell r="AP635"/>
          <cell r="AQ635"/>
          <cell r="AR635"/>
          <cell r="AS635"/>
          <cell r="AT635"/>
          <cell r="AU635"/>
          <cell r="AV635"/>
          <cell r="AW635"/>
          <cell r="AX635"/>
          <cell r="AY635"/>
          <cell r="AZ635"/>
        </row>
        <row r="636">
          <cell r="A636"/>
          <cell r="B636"/>
          <cell r="C636"/>
          <cell r="D636"/>
          <cell r="E636"/>
          <cell r="F636"/>
          <cell r="G636"/>
          <cell r="H636"/>
          <cell r="I636"/>
          <cell r="J636"/>
          <cell r="K636"/>
          <cell r="L636"/>
          <cell r="M636"/>
          <cell r="N636"/>
          <cell r="O636"/>
          <cell r="P636"/>
          <cell r="Q636"/>
          <cell r="R636"/>
          <cell r="S636"/>
          <cell r="T636"/>
          <cell r="U636"/>
          <cell r="V636"/>
          <cell r="W636"/>
          <cell r="X636"/>
          <cell r="Y636"/>
          <cell r="Z636"/>
          <cell r="AA636"/>
          <cell r="AB636"/>
          <cell r="AC636"/>
          <cell r="AD636"/>
          <cell r="AE636"/>
          <cell r="AF636"/>
          <cell r="AG636"/>
          <cell r="AH636"/>
          <cell r="AI636"/>
          <cell r="AJ636"/>
          <cell r="AK636"/>
          <cell r="AL636"/>
          <cell r="AM636"/>
          <cell r="AN636"/>
          <cell r="AO636"/>
          <cell r="AP636"/>
          <cell r="AQ636"/>
          <cell r="AR636"/>
          <cell r="AS636"/>
          <cell r="AT636"/>
          <cell r="AU636"/>
          <cell r="AV636"/>
          <cell r="AW636"/>
          <cell r="AX636"/>
          <cell r="AY636"/>
          <cell r="AZ636"/>
        </row>
        <row r="637">
          <cell r="A637"/>
          <cell r="B637"/>
          <cell r="C637"/>
          <cell r="D637"/>
          <cell r="E637"/>
          <cell r="F637"/>
          <cell r="G637"/>
          <cell r="H637"/>
          <cell r="I637"/>
          <cell r="J637"/>
          <cell r="K637"/>
          <cell r="L637"/>
          <cell r="M637"/>
          <cell r="N637"/>
          <cell r="O637"/>
          <cell r="P637"/>
          <cell r="Q637"/>
          <cell r="R637"/>
          <cell r="S637"/>
          <cell r="T637"/>
          <cell r="U637"/>
          <cell r="V637"/>
          <cell r="W637"/>
          <cell r="X637"/>
          <cell r="Y637"/>
          <cell r="Z637"/>
          <cell r="AA637"/>
          <cell r="AB637"/>
          <cell r="AC637"/>
          <cell r="AD637"/>
          <cell r="AE637"/>
          <cell r="AF637"/>
          <cell r="AG637"/>
          <cell r="AH637"/>
          <cell r="AI637"/>
          <cell r="AJ637"/>
          <cell r="AK637"/>
          <cell r="AL637"/>
          <cell r="AM637"/>
          <cell r="AN637"/>
          <cell r="AO637"/>
          <cell r="AP637"/>
          <cell r="AQ637"/>
          <cell r="AR637"/>
          <cell r="AS637"/>
          <cell r="AT637"/>
          <cell r="AU637"/>
          <cell r="AV637"/>
          <cell r="AW637"/>
          <cell r="AX637"/>
          <cell r="AY637"/>
          <cell r="AZ637"/>
        </row>
        <row r="638">
          <cell r="A638"/>
          <cell r="B638"/>
          <cell r="C638"/>
          <cell r="D638"/>
          <cell r="E638"/>
          <cell r="F638"/>
          <cell r="G638"/>
          <cell r="H638"/>
          <cell r="I638"/>
          <cell r="J638"/>
          <cell r="K638"/>
          <cell r="L638"/>
          <cell r="M638"/>
          <cell r="N638"/>
          <cell r="O638"/>
          <cell r="P638"/>
          <cell r="Q638"/>
          <cell r="R638"/>
          <cell r="S638"/>
          <cell r="T638"/>
          <cell r="U638"/>
          <cell r="V638"/>
          <cell r="W638"/>
          <cell r="X638"/>
          <cell r="Y638"/>
          <cell r="Z638"/>
          <cell r="AA638"/>
          <cell r="AB638"/>
          <cell r="AC638"/>
          <cell r="AD638"/>
          <cell r="AE638"/>
          <cell r="AF638"/>
          <cell r="AG638"/>
          <cell r="AH638"/>
          <cell r="AI638"/>
          <cell r="AJ638"/>
          <cell r="AK638"/>
          <cell r="AL638"/>
          <cell r="AM638"/>
          <cell r="AN638"/>
          <cell r="AO638"/>
          <cell r="AP638"/>
          <cell r="AQ638"/>
          <cell r="AR638"/>
          <cell r="AS638"/>
          <cell r="AT638"/>
          <cell r="AU638"/>
          <cell r="AV638"/>
          <cell r="AW638"/>
          <cell r="AX638"/>
          <cell r="AY638"/>
          <cell r="AZ638"/>
        </row>
        <row r="639">
          <cell r="A639"/>
          <cell r="B639"/>
          <cell r="C639"/>
          <cell r="D639"/>
          <cell r="E639"/>
          <cell r="F639"/>
          <cell r="G639"/>
          <cell r="H639"/>
          <cell r="I639"/>
          <cell r="J639"/>
          <cell r="K639"/>
          <cell r="L639"/>
          <cell r="M639"/>
          <cell r="N639"/>
          <cell r="O639"/>
          <cell r="P639"/>
          <cell r="Q639"/>
          <cell r="R639"/>
          <cell r="S639"/>
          <cell r="T639"/>
          <cell r="U639"/>
          <cell r="V639"/>
          <cell r="W639"/>
          <cell r="X639"/>
          <cell r="Y639"/>
          <cell r="Z639"/>
          <cell r="AA639"/>
          <cell r="AB639"/>
          <cell r="AC639"/>
          <cell r="AD639"/>
          <cell r="AE639"/>
          <cell r="AF639"/>
          <cell r="AG639"/>
          <cell r="AH639"/>
          <cell r="AI639"/>
          <cell r="AJ639"/>
          <cell r="AK639"/>
          <cell r="AL639"/>
          <cell r="AM639"/>
          <cell r="AN639"/>
          <cell r="AO639"/>
          <cell r="AP639"/>
          <cell r="AQ639"/>
          <cell r="AR639"/>
          <cell r="AS639"/>
          <cell r="AT639"/>
          <cell r="AU639"/>
          <cell r="AV639"/>
          <cell r="AW639"/>
          <cell r="AX639"/>
          <cell r="AY639"/>
          <cell r="AZ639"/>
        </row>
        <row r="640">
          <cell r="A640"/>
          <cell r="B640"/>
          <cell r="C640"/>
          <cell r="D640"/>
          <cell r="E640"/>
          <cell r="F640"/>
          <cell r="G640"/>
          <cell r="H640"/>
          <cell r="I640"/>
          <cell r="J640"/>
          <cell r="K640"/>
          <cell r="L640"/>
          <cell r="M640"/>
          <cell r="N640"/>
          <cell r="O640"/>
          <cell r="P640"/>
          <cell r="Q640"/>
          <cell r="R640"/>
          <cell r="S640"/>
          <cell r="T640"/>
          <cell r="U640"/>
          <cell r="V640"/>
          <cell r="W640"/>
          <cell r="X640"/>
          <cell r="Y640"/>
          <cell r="Z640"/>
          <cell r="AA640"/>
          <cell r="AB640"/>
          <cell r="AC640"/>
          <cell r="AD640"/>
          <cell r="AE640"/>
          <cell r="AF640"/>
          <cell r="AG640"/>
          <cell r="AH640"/>
          <cell r="AI640"/>
          <cell r="AJ640"/>
          <cell r="AK640"/>
          <cell r="AL640"/>
          <cell r="AM640"/>
          <cell r="AN640"/>
          <cell r="AO640"/>
          <cell r="AP640"/>
          <cell r="AQ640"/>
          <cell r="AR640"/>
          <cell r="AS640"/>
          <cell r="AT640"/>
          <cell r="AU640"/>
          <cell r="AV640"/>
          <cell r="AW640"/>
          <cell r="AX640"/>
          <cell r="AY640"/>
          <cell r="AZ640"/>
        </row>
        <row r="641">
          <cell r="A641"/>
          <cell r="B641"/>
          <cell r="C641"/>
          <cell r="D641"/>
          <cell r="E641"/>
          <cell r="F641"/>
          <cell r="G641"/>
          <cell r="H641"/>
          <cell r="I641"/>
          <cell r="J641"/>
          <cell r="K641"/>
          <cell r="L641"/>
          <cell r="M641"/>
          <cell r="N641"/>
          <cell r="O641"/>
          <cell r="P641"/>
          <cell r="Q641"/>
          <cell r="R641"/>
          <cell r="S641"/>
          <cell r="T641"/>
          <cell r="U641"/>
          <cell r="V641"/>
          <cell r="W641"/>
          <cell r="X641"/>
          <cell r="Y641"/>
          <cell r="Z641"/>
          <cell r="AA641"/>
          <cell r="AB641"/>
          <cell r="AC641"/>
          <cell r="AD641"/>
          <cell r="AE641"/>
          <cell r="AF641"/>
          <cell r="AG641"/>
          <cell r="AH641"/>
          <cell r="AI641"/>
          <cell r="AJ641"/>
          <cell r="AK641"/>
          <cell r="AL641"/>
          <cell r="AM641"/>
          <cell r="AN641"/>
          <cell r="AO641"/>
          <cell r="AP641"/>
          <cell r="AQ641"/>
          <cell r="AR641"/>
          <cell r="AS641"/>
          <cell r="AT641"/>
          <cell r="AU641"/>
          <cell r="AV641"/>
          <cell r="AW641"/>
          <cell r="AX641"/>
          <cell r="AY641"/>
          <cell r="AZ641"/>
        </row>
        <row r="642">
          <cell r="A642"/>
          <cell r="B642"/>
          <cell r="C642"/>
          <cell r="D642"/>
          <cell r="E642"/>
          <cell r="F642"/>
          <cell r="G642"/>
          <cell r="H642"/>
          <cell r="I642"/>
          <cell r="J642"/>
          <cell r="K642"/>
          <cell r="L642"/>
          <cell r="M642"/>
          <cell r="N642"/>
          <cell r="O642"/>
          <cell r="P642"/>
          <cell r="Q642"/>
          <cell r="R642"/>
          <cell r="S642"/>
          <cell r="T642"/>
          <cell r="U642"/>
          <cell r="V642"/>
          <cell r="W642"/>
          <cell r="X642"/>
          <cell r="Y642"/>
          <cell r="Z642"/>
          <cell r="AA642"/>
          <cell r="AB642"/>
          <cell r="AC642"/>
          <cell r="AD642"/>
          <cell r="AE642"/>
          <cell r="AF642"/>
          <cell r="AG642"/>
          <cell r="AH642"/>
          <cell r="AI642"/>
          <cell r="AJ642"/>
          <cell r="AK642"/>
          <cell r="AL642"/>
          <cell r="AM642"/>
          <cell r="AN642"/>
          <cell r="AO642"/>
          <cell r="AP642"/>
          <cell r="AQ642"/>
          <cell r="AR642"/>
          <cell r="AS642"/>
          <cell r="AT642"/>
          <cell r="AU642"/>
          <cell r="AV642"/>
          <cell r="AW642"/>
          <cell r="AX642"/>
          <cell r="AY642"/>
          <cell r="AZ642"/>
        </row>
        <row r="643">
          <cell r="A643"/>
          <cell r="B643"/>
          <cell r="C643"/>
          <cell r="D643"/>
          <cell r="E643"/>
          <cell r="F643"/>
          <cell r="G643"/>
          <cell r="H643"/>
          <cell r="I643"/>
          <cell r="J643"/>
          <cell r="K643"/>
          <cell r="L643"/>
          <cell r="M643"/>
          <cell r="N643"/>
          <cell r="O643"/>
          <cell r="P643"/>
          <cell r="Q643"/>
          <cell r="R643"/>
          <cell r="S643"/>
          <cell r="T643"/>
          <cell r="U643"/>
          <cell r="V643"/>
          <cell r="W643"/>
          <cell r="X643"/>
          <cell r="Y643"/>
          <cell r="Z643"/>
          <cell r="AA643"/>
          <cell r="AB643"/>
          <cell r="AC643"/>
          <cell r="AD643"/>
          <cell r="AE643"/>
          <cell r="AF643"/>
          <cell r="AG643"/>
          <cell r="AH643"/>
          <cell r="AI643"/>
          <cell r="AJ643"/>
          <cell r="AK643"/>
          <cell r="AL643"/>
          <cell r="AM643"/>
          <cell r="AN643"/>
          <cell r="AO643"/>
          <cell r="AP643"/>
          <cell r="AQ643"/>
          <cell r="AR643"/>
          <cell r="AS643"/>
          <cell r="AT643"/>
          <cell r="AU643"/>
          <cell r="AV643"/>
          <cell r="AW643"/>
          <cell r="AX643"/>
          <cell r="AY643"/>
          <cell r="AZ643"/>
        </row>
        <row r="644">
          <cell r="A644"/>
          <cell r="B644"/>
          <cell r="C644"/>
          <cell r="D644"/>
          <cell r="E644"/>
          <cell r="F644"/>
          <cell r="G644"/>
          <cell r="H644"/>
          <cell r="I644"/>
          <cell r="J644"/>
          <cell r="K644"/>
          <cell r="L644"/>
          <cell r="M644"/>
          <cell r="N644"/>
          <cell r="O644"/>
          <cell r="P644"/>
          <cell r="Q644"/>
          <cell r="R644"/>
          <cell r="S644"/>
          <cell r="T644"/>
          <cell r="U644"/>
          <cell r="V644"/>
          <cell r="W644"/>
          <cell r="X644"/>
          <cell r="Y644"/>
          <cell r="Z644"/>
          <cell r="AA644"/>
          <cell r="AB644"/>
          <cell r="AC644"/>
          <cell r="AD644"/>
          <cell r="AE644"/>
          <cell r="AF644"/>
          <cell r="AG644"/>
          <cell r="AH644"/>
          <cell r="AI644"/>
          <cell r="AJ644"/>
          <cell r="AK644"/>
          <cell r="AL644"/>
          <cell r="AM644"/>
          <cell r="AN644"/>
          <cell r="AO644"/>
          <cell r="AP644"/>
          <cell r="AQ644"/>
          <cell r="AR644"/>
          <cell r="AS644"/>
          <cell r="AT644"/>
          <cell r="AU644"/>
          <cell r="AV644"/>
          <cell r="AW644"/>
          <cell r="AX644"/>
          <cell r="AY644"/>
          <cell r="AZ644"/>
        </row>
        <row r="645">
          <cell r="A645"/>
          <cell r="B645"/>
          <cell r="C645"/>
          <cell r="D645"/>
          <cell r="E645"/>
          <cell r="F645"/>
          <cell r="G645"/>
          <cell r="H645"/>
          <cell r="I645"/>
          <cell r="J645"/>
          <cell r="K645"/>
          <cell r="L645"/>
          <cell r="M645"/>
          <cell r="N645"/>
          <cell r="O645"/>
          <cell r="P645"/>
          <cell r="Q645"/>
          <cell r="R645"/>
          <cell r="S645"/>
          <cell r="T645"/>
          <cell r="U645"/>
          <cell r="V645"/>
          <cell r="W645"/>
          <cell r="X645"/>
          <cell r="Y645"/>
          <cell r="Z645"/>
          <cell r="AA645"/>
          <cell r="AB645"/>
          <cell r="AC645"/>
          <cell r="AD645"/>
          <cell r="AE645"/>
          <cell r="AF645"/>
          <cell r="AG645"/>
          <cell r="AH645"/>
          <cell r="AI645"/>
          <cell r="AJ645"/>
          <cell r="AK645"/>
          <cell r="AL645"/>
          <cell r="AM645"/>
          <cell r="AN645"/>
          <cell r="AO645"/>
          <cell r="AP645"/>
          <cell r="AQ645"/>
          <cell r="AR645"/>
          <cell r="AS645"/>
          <cell r="AT645"/>
          <cell r="AU645"/>
          <cell r="AV645"/>
          <cell r="AW645"/>
          <cell r="AX645"/>
          <cell r="AY645"/>
          <cell r="AZ645"/>
        </row>
        <row r="646">
          <cell r="A646"/>
          <cell r="B646"/>
          <cell r="C646"/>
          <cell r="D646"/>
          <cell r="E646"/>
          <cell r="F646"/>
          <cell r="G646"/>
          <cell r="H646"/>
          <cell r="I646"/>
          <cell r="J646"/>
          <cell r="K646"/>
          <cell r="L646"/>
          <cell r="M646"/>
          <cell r="N646"/>
          <cell r="O646"/>
          <cell r="P646"/>
          <cell r="Q646"/>
          <cell r="R646"/>
          <cell r="S646"/>
          <cell r="T646"/>
          <cell r="U646"/>
          <cell r="V646"/>
          <cell r="W646"/>
          <cell r="X646"/>
          <cell r="Y646"/>
          <cell r="Z646"/>
          <cell r="AA646"/>
          <cell r="AB646"/>
          <cell r="AC646"/>
          <cell r="AD646"/>
          <cell r="AE646"/>
          <cell r="AF646"/>
          <cell r="AG646"/>
          <cell r="AH646"/>
          <cell r="AI646"/>
          <cell r="AJ646"/>
          <cell r="AK646"/>
          <cell r="AL646"/>
          <cell r="AM646"/>
          <cell r="AN646"/>
          <cell r="AO646"/>
          <cell r="AP646"/>
          <cell r="AQ646"/>
          <cell r="AR646"/>
          <cell r="AS646"/>
          <cell r="AT646"/>
          <cell r="AU646"/>
          <cell r="AV646"/>
          <cell r="AW646"/>
          <cell r="AX646"/>
          <cell r="AY646"/>
          <cell r="AZ646"/>
        </row>
        <row r="647">
          <cell r="A647"/>
          <cell r="B647"/>
          <cell r="C647"/>
          <cell r="D647"/>
          <cell r="E647"/>
          <cell r="F647"/>
          <cell r="G647"/>
          <cell r="H647"/>
          <cell r="I647"/>
          <cell r="J647"/>
          <cell r="K647"/>
          <cell r="L647"/>
          <cell r="M647"/>
          <cell r="N647"/>
          <cell r="O647"/>
          <cell r="P647"/>
          <cell r="Q647"/>
          <cell r="R647"/>
          <cell r="S647"/>
          <cell r="T647"/>
          <cell r="U647"/>
          <cell r="V647"/>
          <cell r="W647"/>
          <cell r="X647"/>
          <cell r="Y647"/>
          <cell r="Z647"/>
          <cell r="AA647"/>
          <cell r="AB647"/>
          <cell r="AC647"/>
          <cell r="AD647"/>
          <cell r="AE647"/>
          <cell r="AF647"/>
          <cell r="AG647"/>
          <cell r="AH647"/>
          <cell r="AI647"/>
          <cell r="AJ647"/>
          <cell r="AK647"/>
          <cell r="AL647"/>
          <cell r="AM647"/>
          <cell r="AN647"/>
          <cell r="AO647"/>
          <cell r="AP647"/>
          <cell r="AQ647"/>
          <cell r="AR647"/>
          <cell r="AS647"/>
          <cell r="AT647"/>
          <cell r="AU647"/>
          <cell r="AV647"/>
          <cell r="AW647"/>
          <cell r="AX647"/>
          <cell r="AY647"/>
          <cell r="AZ647"/>
        </row>
        <row r="648">
          <cell r="A648"/>
          <cell r="B648"/>
          <cell r="C648"/>
          <cell r="D648"/>
          <cell r="E648"/>
          <cell r="F648"/>
          <cell r="G648"/>
          <cell r="H648"/>
          <cell r="I648"/>
          <cell r="J648"/>
          <cell r="K648"/>
          <cell r="L648"/>
          <cell r="M648"/>
          <cell r="N648"/>
          <cell r="O648"/>
          <cell r="P648"/>
          <cell r="Q648"/>
          <cell r="R648"/>
          <cell r="S648"/>
          <cell r="T648"/>
          <cell r="U648"/>
          <cell r="V648"/>
          <cell r="W648"/>
          <cell r="X648"/>
          <cell r="Y648"/>
          <cell r="Z648"/>
          <cell r="AA648"/>
          <cell r="AB648"/>
          <cell r="AC648"/>
          <cell r="AD648"/>
          <cell r="AE648"/>
          <cell r="AF648"/>
          <cell r="AG648"/>
          <cell r="AH648"/>
          <cell r="AI648"/>
          <cell r="AJ648"/>
          <cell r="AK648"/>
          <cell r="AL648"/>
          <cell r="AM648"/>
          <cell r="AN648"/>
          <cell r="AO648"/>
          <cell r="AP648"/>
          <cell r="AQ648"/>
          <cell r="AR648"/>
          <cell r="AS648"/>
          <cell r="AT648"/>
          <cell r="AU648"/>
          <cell r="AV648"/>
          <cell r="AW648"/>
          <cell r="AX648"/>
          <cell r="AY648"/>
          <cell r="AZ648"/>
        </row>
        <row r="649">
          <cell r="A649"/>
          <cell r="B649"/>
          <cell r="C649"/>
          <cell r="D649"/>
          <cell r="E649"/>
          <cell r="F649"/>
          <cell r="G649"/>
          <cell r="H649"/>
          <cell r="I649"/>
          <cell r="J649"/>
          <cell r="K649"/>
          <cell r="L649"/>
          <cell r="M649"/>
          <cell r="N649"/>
          <cell r="O649"/>
          <cell r="P649"/>
          <cell r="Q649"/>
          <cell r="R649"/>
          <cell r="S649"/>
          <cell r="T649"/>
          <cell r="U649"/>
          <cell r="V649"/>
          <cell r="W649"/>
          <cell r="X649"/>
          <cell r="Y649"/>
          <cell r="Z649"/>
          <cell r="AA649"/>
          <cell r="AB649"/>
          <cell r="AC649"/>
          <cell r="AD649"/>
          <cell r="AE649"/>
          <cell r="AF649"/>
          <cell r="AG649"/>
          <cell r="AH649"/>
          <cell r="AI649"/>
          <cell r="AJ649"/>
          <cell r="AK649"/>
          <cell r="AL649"/>
          <cell r="AM649"/>
          <cell r="AN649"/>
          <cell r="AO649"/>
          <cell r="AP649"/>
          <cell r="AQ649"/>
          <cell r="AR649"/>
          <cell r="AS649"/>
          <cell r="AT649"/>
          <cell r="AU649"/>
          <cell r="AV649"/>
          <cell r="AW649"/>
          <cell r="AX649"/>
          <cell r="AY649"/>
          <cell r="AZ649"/>
        </row>
        <row r="650">
          <cell r="A650"/>
          <cell r="B650"/>
          <cell r="C650"/>
          <cell r="D650"/>
          <cell r="E650"/>
          <cell r="F650"/>
          <cell r="G650"/>
          <cell r="H650"/>
          <cell r="I650"/>
          <cell r="J650"/>
          <cell r="K650"/>
          <cell r="L650"/>
          <cell r="M650"/>
          <cell r="N650"/>
          <cell r="O650"/>
          <cell r="P650"/>
          <cell r="Q650"/>
          <cell r="R650"/>
          <cell r="S650"/>
          <cell r="T650"/>
          <cell r="U650"/>
          <cell r="V650"/>
          <cell r="W650"/>
          <cell r="X650"/>
          <cell r="Y650"/>
          <cell r="Z650"/>
          <cell r="AA650"/>
          <cell r="AB650"/>
          <cell r="AC650"/>
          <cell r="AD650"/>
          <cell r="AE650"/>
          <cell r="AF650"/>
          <cell r="AG650"/>
          <cell r="AH650"/>
          <cell r="AI650"/>
          <cell r="AJ650"/>
          <cell r="AK650"/>
          <cell r="AL650"/>
          <cell r="AM650"/>
          <cell r="AN650"/>
          <cell r="AO650"/>
          <cell r="AP650"/>
          <cell r="AQ650"/>
          <cell r="AR650"/>
          <cell r="AS650"/>
          <cell r="AT650"/>
          <cell r="AU650"/>
          <cell r="AV650"/>
          <cell r="AW650"/>
          <cell r="AX650"/>
          <cell r="AY650"/>
          <cell r="AZ650"/>
        </row>
        <row r="651">
          <cell r="A651"/>
          <cell r="B651"/>
          <cell r="C651"/>
          <cell r="D651"/>
          <cell r="E651"/>
          <cell r="F651"/>
          <cell r="G651"/>
          <cell r="H651"/>
          <cell r="I651"/>
          <cell r="J651"/>
          <cell r="K651"/>
          <cell r="L651"/>
          <cell r="M651"/>
          <cell r="N651"/>
          <cell r="O651"/>
          <cell r="P651"/>
          <cell r="Q651"/>
          <cell r="R651"/>
          <cell r="S651"/>
          <cell r="T651"/>
          <cell r="U651"/>
          <cell r="V651"/>
          <cell r="W651"/>
          <cell r="X651"/>
          <cell r="Y651"/>
          <cell r="Z651"/>
          <cell r="AA651"/>
          <cell r="AB651"/>
          <cell r="AC651"/>
          <cell r="AD651"/>
          <cell r="AE651"/>
          <cell r="AF651"/>
          <cell r="AG651"/>
          <cell r="AH651"/>
          <cell r="AI651"/>
          <cell r="AJ651"/>
          <cell r="AK651"/>
          <cell r="AL651"/>
          <cell r="AM651"/>
          <cell r="AN651"/>
          <cell r="AO651"/>
          <cell r="AP651"/>
          <cell r="AQ651"/>
          <cell r="AR651"/>
          <cell r="AS651"/>
          <cell r="AT651"/>
          <cell r="AU651"/>
          <cell r="AV651"/>
          <cell r="AW651"/>
          <cell r="AX651"/>
          <cell r="AY651"/>
          <cell r="AZ651"/>
        </row>
        <row r="652">
          <cell r="A652"/>
          <cell r="B652"/>
          <cell r="C652"/>
          <cell r="D652"/>
          <cell r="E652"/>
          <cell r="F652"/>
          <cell r="G652"/>
          <cell r="H652"/>
          <cell r="I652"/>
          <cell r="J652"/>
          <cell r="K652"/>
          <cell r="L652"/>
          <cell r="M652"/>
          <cell r="N652"/>
          <cell r="O652"/>
          <cell r="P652"/>
          <cell r="Q652"/>
          <cell r="R652"/>
          <cell r="S652"/>
          <cell r="T652"/>
          <cell r="U652"/>
          <cell r="V652"/>
          <cell r="W652"/>
          <cell r="X652"/>
          <cell r="Y652"/>
          <cell r="Z652"/>
          <cell r="AA652"/>
          <cell r="AB652"/>
          <cell r="AC652"/>
          <cell r="AD652"/>
          <cell r="AE652"/>
          <cell r="AF652"/>
          <cell r="AG652"/>
          <cell r="AH652"/>
          <cell r="AI652"/>
          <cell r="AJ652"/>
          <cell r="AK652"/>
          <cell r="AL652"/>
          <cell r="AM652"/>
          <cell r="AN652"/>
          <cell r="AO652"/>
          <cell r="AP652"/>
          <cell r="AQ652"/>
          <cell r="AR652"/>
          <cell r="AS652"/>
          <cell r="AT652"/>
          <cell r="AU652"/>
          <cell r="AV652"/>
          <cell r="AW652"/>
          <cell r="AX652"/>
          <cell r="AY652"/>
          <cell r="AZ652"/>
        </row>
        <row r="653">
          <cell r="A653"/>
          <cell r="B653"/>
          <cell r="C653"/>
          <cell r="D653"/>
          <cell r="E653"/>
          <cell r="F653"/>
          <cell r="G653"/>
          <cell r="H653"/>
          <cell r="I653"/>
          <cell r="J653"/>
          <cell r="K653"/>
          <cell r="L653"/>
          <cell r="M653"/>
          <cell r="N653"/>
          <cell r="O653"/>
          <cell r="P653"/>
          <cell r="Q653"/>
          <cell r="R653"/>
          <cell r="S653"/>
          <cell r="T653"/>
          <cell r="U653"/>
          <cell r="V653"/>
          <cell r="W653"/>
          <cell r="X653"/>
          <cell r="Y653"/>
          <cell r="Z653"/>
          <cell r="AA653"/>
          <cell r="AB653"/>
          <cell r="AC653"/>
          <cell r="AD653"/>
          <cell r="AE653"/>
          <cell r="AF653"/>
          <cell r="AG653"/>
          <cell r="AH653"/>
          <cell r="AI653"/>
          <cell r="AJ653"/>
          <cell r="AK653"/>
          <cell r="AL653"/>
          <cell r="AM653"/>
          <cell r="AN653"/>
          <cell r="AO653"/>
          <cell r="AP653"/>
          <cell r="AQ653"/>
          <cell r="AR653"/>
          <cell r="AS653"/>
          <cell r="AT653"/>
          <cell r="AU653"/>
          <cell r="AV653"/>
          <cell r="AW653"/>
          <cell r="AX653"/>
          <cell r="AY653"/>
          <cell r="AZ653"/>
        </row>
        <row r="654">
          <cell r="A654"/>
          <cell r="B654"/>
          <cell r="C654"/>
          <cell r="D654"/>
          <cell r="E654"/>
          <cell r="F654"/>
          <cell r="G654"/>
          <cell r="H654"/>
          <cell r="I654"/>
          <cell r="J654"/>
          <cell r="K654"/>
          <cell r="L654"/>
          <cell r="M654"/>
          <cell r="N654"/>
          <cell r="O654"/>
          <cell r="P654"/>
          <cell r="Q654"/>
          <cell r="R654"/>
          <cell r="S654"/>
          <cell r="T654"/>
          <cell r="U654"/>
          <cell r="V654"/>
          <cell r="W654"/>
          <cell r="X654"/>
          <cell r="Y654"/>
          <cell r="Z654"/>
          <cell r="AA654"/>
          <cell r="AB654"/>
          <cell r="AC654"/>
          <cell r="AD654"/>
          <cell r="AE654"/>
          <cell r="AF654"/>
          <cell r="AG654"/>
          <cell r="AH654"/>
          <cell r="AI654"/>
          <cell r="AJ654"/>
          <cell r="AK654"/>
          <cell r="AL654"/>
          <cell r="AM654"/>
          <cell r="AN654"/>
          <cell r="AO654"/>
          <cell r="AP654"/>
          <cell r="AQ654"/>
          <cell r="AR654"/>
          <cell r="AS654"/>
          <cell r="AT654"/>
          <cell r="AU654"/>
          <cell r="AV654"/>
          <cell r="AW654"/>
          <cell r="AX654"/>
          <cell r="AY654"/>
          <cell r="AZ654"/>
        </row>
        <row r="655">
          <cell r="A655"/>
          <cell r="B655"/>
          <cell r="C655"/>
          <cell r="D655"/>
          <cell r="E655"/>
          <cell r="F655"/>
          <cell r="G655"/>
          <cell r="H655"/>
          <cell r="I655"/>
          <cell r="J655"/>
          <cell r="K655"/>
          <cell r="L655"/>
          <cell r="M655"/>
          <cell r="N655"/>
          <cell r="O655"/>
          <cell r="P655"/>
          <cell r="Q655"/>
          <cell r="R655"/>
          <cell r="S655"/>
          <cell r="T655"/>
          <cell r="U655"/>
          <cell r="V655"/>
          <cell r="W655"/>
          <cell r="X655"/>
          <cell r="Y655"/>
          <cell r="Z655"/>
          <cell r="AA655"/>
          <cell r="AB655"/>
          <cell r="AC655"/>
          <cell r="AD655"/>
          <cell r="AE655"/>
          <cell r="AF655"/>
          <cell r="AG655"/>
          <cell r="AH655"/>
          <cell r="AI655"/>
          <cell r="AJ655"/>
          <cell r="AK655"/>
          <cell r="AL655"/>
          <cell r="AM655"/>
          <cell r="AN655"/>
          <cell r="AO655"/>
          <cell r="AP655"/>
          <cell r="AQ655"/>
          <cell r="AR655"/>
          <cell r="AS655"/>
          <cell r="AT655"/>
          <cell r="AU655"/>
          <cell r="AV655"/>
          <cell r="AW655"/>
          <cell r="AX655"/>
          <cell r="AY655"/>
          <cell r="AZ655"/>
        </row>
        <row r="656">
          <cell r="A656"/>
          <cell r="B656"/>
          <cell r="C656"/>
          <cell r="D656"/>
          <cell r="E656"/>
          <cell r="F656"/>
          <cell r="G656"/>
          <cell r="H656"/>
          <cell r="I656"/>
          <cell r="J656"/>
          <cell r="K656"/>
          <cell r="L656"/>
          <cell r="M656"/>
          <cell r="N656"/>
          <cell r="O656"/>
          <cell r="P656"/>
          <cell r="Q656"/>
          <cell r="R656"/>
          <cell r="S656"/>
          <cell r="T656"/>
          <cell r="U656"/>
          <cell r="V656"/>
          <cell r="W656"/>
          <cell r="X656"/>
          <cell r="Y656"/>
          <cell r="Z656"/>
          <cell r="AA656"/>
          <cell r="AB656"/>
          <cell r="AC656"/>
          <cell r="AD656"/>
          <cell r="AE656"/>
          <cell r="AF656"/>
          <cell r="AG656"/>
          <cell r="AH656"/>
          <cell r="AI656"/>
          <cell r="AJ656"/>
          <cell r="AK656"/>
          <cell r="AL656"/>
          <cell r="AM656"/>
          <cell r="AN656"/>
          <cell r="AO656"/>
          <cell r="AP656"/>
          <cell r="AQ656"/>
          <cell r="AR656"/>
          <cell r="AS656"/>
          <cell r="AT656"/>
          <cell r="AU656"/>
          <cell r="AV656"/>
          <cell r="AW656"/>
          <cell r="AX656"/>
          <cell r="AY656"/>
          <cell r="AZ656"/>
        </row>
        <row r="657">
          <cell r="A657"/>
          <cell r="B657"/>
          <cell r="C657"/>
          <cell r="D657"/>
          <cell r="E657"/>
          <cell r="F657"/>
          <cell r="G657"/>
          <cell r="H657"/>
          <cell r="I657"/>
          <cell r="J657"/>
          <cell r="K657"/>
          <cell r="L657"/>
          <cell r="M657"/>
          <cell r="N657"/>
          <cell r="O657"/>
          <cell r="P657"/>
          <cell r="Q657"/>
          <cell r="R657"/>
          <cell r="S657"/>
          <cell r="T657"/>
          <cell r="U657"/>
          <cell r="V657"/>
          <cell r="W657"/>
          <cell r="X657"/>
          <cell r="Y657"/>
          <cell r="Z657"/>
          <cell r="AA657"/>
          <cell r="AB657"/>
          <cell r="AC657"/>
          <cell r="AD657"/>
          <cell r="AE657"/>
          <cell r="AF657"/>
          <cell r="AG657"/>
          <cell r="AH657"/>
          <cell r="AI657"/>
          <cell r="AJ657"/>
          <cell r="AK657"/>
          <cell r="AL657"/>
          <cell r="AM657"/>
          <cell r="AN657"/>
          <cell r="AO657"/>
          <cell r="AP657"/>
          <cell r="AQ657"/>
          <cell r="AR657"/>
          <cell r="AS657"/>
          <cell r="AT657"/>
          <cell r="AU657"/>
          <cell r="AV657"/>
          <cell r="AW657"/>
          <cell r="AX657"/>
          <cell r="AY657"/>
          <cell r="AZ657"/>
        </row>
        <row r="658">
          <cell r="A658"/>
          <cell r="B658"/>
          <cell r="C658"/>
          <cell r="D658"/>
          <cell r="E658"/>
          <cell r="F658"/>
          <cell r="G658"/>
          <cell r="H658"/>
          <cell r="I658"/>
          <cell r="J658"/>
          <cell r="K658"/>
          <cell r="L658"/>
          <cell r="M658"/>
          <cell r="N658"/>
          <cell r="O658"/>
          <cell r="P658"/>
          <cell r="Q658"/>
          <cell r="R658"/>
          <cell r="S658"/>
          <cell r="T658"/>
          <cell r="U658"/>
          <cell r="V658"/>
          <cell r="W658"/>
          <cell r="X658"/>
          <cell r="Y658"/>
          <cell r="Z658"/>
          <cell r="AA658"/>
          <cell r="AB658"/>
          <cell r="AC658"/>
          <cell r="AD658"/>
          <cell r="AE658"/>
          <cell r="AF658"/>
          <cell r="AG658"/>
          <cell r="AH658"/>
          <cell r="AI658"/>
          <cell r="AJ658"/>
          <cell r="AK658"/>
          <cell r="AL658"/>
          <cell r="AM658"/>
          <cell r="AN658"/>
          <cell r="AO658"/>
          <cell r="AP658"/>
          <cell r="AQ658"/>
          <cell r="AR658"/>
          <cell r="AS658"/>
          <cell r="AT658"/>
          <cell r="AU658"/>
          <cell r="AV658"/>
          <cell r="AW658"/>
          <cell r="AX658"/>
          <cell r="AY658"/>
          <cell r="AZ658"/>
        </row>
        <row r="659">
          <cell r="A659"/>
          <cell r="B659"/>
          <cell r="C659"/>
          <cell r="D659"/>
          <cell r="E659"/>
          <cell r="F659"/>
          <cell r="G659"/>
          <cell r="H659"/>
          <cell r="I659"/>
          <cell r="J659"/>
          <cell r="K659"/>
          <cell r="L659"/>
          <cell r="M659"/>
          <cell r="N659"/>
          <cell r="O659"/>
          <cell r="P659"/>
          <cell r="Q659"/>
          <cell r="R659"/>
          <cell r="S659"/>
          <cell r="T659"/>
          <cell r="U659"/>
          <cell r="V659"/>
          <cell r="W659"/>
          <cell r="X659"/>
          <cell r="Y659"/>
          <cell r="Z659"/>
          <cell r="AA659"/>
          <cell r="AB659"/>
          <cell r="AC659"/>
          <cell r="AD659"/>
          <cell r="AE659"/>
          <cell r="AF659"/>
          <cell r="AG659"/>
          <cell r="AH659"/>
          <cell r="AI659"/>
          <cell r="AJ659"/>
          <cell r="AK659"/>
          <cell r="AL659"/>
          <cell r="AM659"/>
          <cell r="AN659"/>
          <cell r="AO659"/>
          <cell r="AP659"/>
          <cell r="AQ659"/>
          <cell r="AR659"/>
          <cell r="AS659"/>
          <cell r="AT659"/>
          <cell r="AU659"/>
          <cell r="AV659"/>
          <cell r="AW659"/>
          <cell r="AX659"/>
          <cell r="AY659"/>
          <cell r="AZ659"/>
        </row>
        <row r="660">
          <cell r="A660"/>
          <cell r="B660"/>
          <cell r="C660"/>
          <cell r="D660"/>
          <cell r="E660"/>
          <cell r="F660"/>
          <cell r="G660"/>
          <cell r="H660"/>
          <cell r="I660"/>
          <cell r="J660"/>
          <cell r="K660"/>
          <cell r="L660"/>
          <cell r="M660"/>
          <cell r="N660"/>
          <cell r="O660"/>
          <cell r="P660"/>
          <cell r="Q660"/>
          <cell r="R660"/>
          <cell r="S660"/>
          <cell r="T660"/>
          <cell r="U660"/>
          <cell r="V660"/>
          <cell r="W660"/>
          <cell r="X660"/>
          <cell r="Y660"/>
          <cell r="Z660"/>
          <cell r="AA660"/>
          <cell r="AB660"/>
          <cell r="AC660"/>
          <cell r="AD660"/>
          <cell r="AE660"/>
          <cell r="AF660"/>
          <cell r="AG660"/>
          <cell r="AH660"/>
          <cell r="AI660"/>
          <cell r="AJ660"/>
          <cell r="AK660"/>
          <cell r="AL660"/>
          <cell r="AM660"/>
          <cell r="AN660"/>
          <cell r="AO660"/>
          <cell r="AP660"/>
          <cell r="AQ660"/>
          <cell r="AR660"/>
          <cell r="AS660"/>
          <cell r="AT660"/>
          <cell r="AU660"/>
          <cell r="AV660"/>
          <cell r="AW660"/>
          <cell r="AX660"/>
          <cell r="AY660"/>
          <cell r="AZ660"/>
        </row>
        <row r="661">
          <cell r="A661"/>
          <cell r="B661"/>
          <cell r="C661"/>
          <cell r="D661"/>
          <cell r="E661"/>
          <cell r="F661"/>
          <cell r="G661"/>
          <cell r="H661"/>
          <cell r="I661"/>
          <cell r="J661"/>
          <cell r="K661"/>
          <cell r="L661"/>
          <cell r="M661"/>
          <cell r="N661"/>
          <cell r="O661"/>
          <cell r="P661"/>
          <cell r="Q661"/>
          <cell r="R661"/>
          <cell r="S661"/>
          <cell r="T661"/>
          <cell r="U661"/>
          <cell r="V661"/>
          <cell r="W661"/>
          <cell r="X661"/>
          <cell r="Y661"/>
          <cell r="Z661"/>
          <cell r="AA661"/>
          <cell r="AB661"/>
          <cell r="AC661"/>
          <cell r="AD661"/>
          <cell r="AE661"/>
          <cell r="AF661"/>
          <cell r="AG661"/>
          <cell r="AH661"/>
          <cell r="AI661"/>
          <cell r="AJ661"/>
          <cell r="AK661"/>
          <cell r="AL661"/>
          <cell r="AM661"/>
          <cell r="AN661"/>
          <cell r="AO661"/>
          <cell r="AP661"/>
          <cell r="AQ661"/>
          <cell r="AR661"/>
          <cell r="AS661"/>
          <cell r="AT661"/>
          <cell r="AU661"/>
          <cell r="AV661"/>
          <cell r="AW661"/>
          <cell r="AX661"/>
          <cell r="AY661"/>
          <cell r="AZ661"/>
        </row>
        <row r="662">
          <cell r="A662"/>
          <cell r="B662"/>
          <cell r="C662"/>
          <cell r="D662"/>
          <cell r="E662"/>
          <cell r="F662"/>
          <cell r="G662"/>
          <cell r="H662"/>
          <cell r="I662"/>
          <cell r="J662"/>
          <cell r="K662"/>
          <cell r="L662"/>
          <cell r="M662"/>
          <cell r="N662"/>
          <cell r="O662"/>
          <cell r="P662"/>
          <cell r="Q662"/>
          <cell r="R662"/>
          <cell r="S662"/>
          <cell r="T662"/>
          <cell r="U662"/>
          <cell r="V662"/>
          <cell r="W662"/>
          <cell r="X662"/>
          <cell r="Y662"/>
          <cell r="Z662"/>
          <cell r="AA662"/>
          <cell r="AB662"/>
          <cell r="AC662"/>
          <cell r="AD662"/>
          <cell r="AE662"/>
          <cell r="AF662"/>
          <cell r="AG662"/>
          <cell r="AH662"/>
          <cell r="AI662"/>
          <cell r="AJ662"/>
          <cell r="AK662"/>
          <cell r="AL662"/>
          <cell r="AM662"/>
          <cell r="AN662"/>
          <cell r="AO662"/>
          <cell r="AP662"/>
          <cell r="AQ662"/>
          <cell r="AR662"/>
          <cell r="AS662"/>
          <cell r="AT662"/>
          <cell r="AU662"/>
          <cell r="AV662"/>
          <cell r="AW662"/>
          <cell r="AX662"/>
          <cell r="AY662"/>
          <cell r="AZ662"/>
        </row>
        <row r="663">
          <cell r="A663"/>
          <cell r="B663"/>
          <cell r="C663"/>
          <cell r="D663"/>
          <cell r="E663"/>
          <cell r="F663"/>
          <cell r="G663"/>
          <cell r="H663"/>
          <cell r="I663"/>
          <cell r="J663"/>
          <cell r="K663"/>
          <cell r="L663"/>
          <cell r="M663"/>
          <cell r="N663"/>
          <cell r="O663"/>
          <cell r="P663"/>
          <cell r="Q663"/>
          <cell r="R663"/>
          <cell r="S663"/>
          <cell r="T663"/>
          <cell r="U663"/>
          <cell r="V663"/>
          <cell r="W663"/>
          <cell r="X663"/>
          <cell r="Y663"/>
          <cell r="Z663"/>
          <cell r="AA663"/>
          <cell r="AB663"/>
          <cell r="AC663"/>
          <cell r="AD663"/>
          <cell r="AE663"/>
          <cell r="AF663"/>
          <cell r="AG663"/>
          <cell r="AH663"/>
          <cell r="AI663"/>
          <cell r="AJ663"/>
          <cell r="AK663"/>
          <cell r="AL663"/>
          <cell r="AM663"/>
          <cell r="AN663"/>
          <cell r="AO663"/>
          <cell r="AP663"/>
          <cell r="AQ663"/>
          <cell r="AR663"/>
          <cell r="AS663"/>
          <cell r="AT663"/>
          <cell r="AU663"/>
          <cell r="AV663"/>
          <cell r="AW663"/>
          <cell r="AX663"/>
          <cell r="AY663"/>
          <cell r="AZ663"/>
        </row>
        <row r="664">
          <cell r="A664"/>
          <cell r="B664"/>
          <cell r="C664"/>
          <cell r="D664"/>
          <cell r="E664"/>
          <cell r="F664"/>
          <cell r="G664"/>
          <cell r="H664"/>
          <cell r="I664"/>
          <cell r="J664"/>
          <cell r="K664"/>
          <cell r="L664"/>
          <cell r="M664"/>
          <cell r="N664"/>
          <cell r="O664"/>
          <cell r="P664"/>
          <cell r="Q664"/>
          <cell r="R664"/>
          <cell r="S664"/>
          <cell r="T664"/>
          <cell r="U664"/>
          <cell r="V664"/>
          <cell r="W664"/>
          <cell r="X664"/>
          <cell r="Y664"/>
          <cell r="Z664"/>
          <cell r="AA664"/>
          <cell r="AB664"/>
          <cell r="AC664"/>
          <cell r="AD664"/>
          <cell r="AE664"/>
          <cell r="AF664"/>
          <cell r="AG664"/>
          <cell r="AH664"/>
          <cell r="AI664"/>
          <cell r="AJ664"/>
          <cell r="AK664"/>
          <cell r="AL664"/>
          <cell r="AM664"/>
          <cell r="AN664"/>
          <cell r="AO664"/>
          <cell r="AP664"/>
          <cell r="AQ664"/>
          <cell r="AR664"/>
          <cell r="AS664"/>
          <cell r="AT664"/>
          <cell r="AU664"/>
          <cell r="AV664"/>
          <cell r="AW664"/>
          <cell r="AX664"/>
          <cell r="AY664"/>
          <cell r="AZ664"/>
        </row>
        <row r="665">
          <cell r="A665"/>
          <cell r="B665"/>
          <cell r="C665"/>
          <cell r="D665"/>
          <cell r="E665"/>
          <cell r="F665"/>
          <cell r="G665"/>
          <cell r="H665"/>
          <cell r="I665"/>
          <cell r="J665"/>
          <cell r="K665"/>
          <cell r="L665"/>
          <cell r="M665"/>
          <cell r="N665"/>
          <cell r="O665"/>
          <cell r="P665"/>
          <cell r="Q665"/>
          <cell r="R665"/>
          <cell r="S665"/>
          <cell r="T665"/>
          <cell r="U665"/>
          <cell r="V665"/>
          <cell r="W665"/>
          <cell r="X665"/>
          <cell r="Y665"/>
          <cell r="Z665"/>
          <cell r="AA665"/>
          <cell r="AB665"/>
          <cell r="AC665"/>
          <cell r="AD665"/>
          <cell r="AE665"/>
          <cell r="AF665"/>
          <cell r="AG665"/>
          <cell r="AH665"/>
          <cell r="AI665"/>
          <cell r="AJ665"/>
          <cell r="AK665"/>
          <cell r="AL665"/>
          <cell r="AM665"/>
          <cell r="AN665"/>
          <cell r="AO665"/>
          <cell r="AP665"/>
          <cell r="AQ665"/>
          <cell r="AR665"/>
          <cell r="AS665"/>
          <cell r="AT665"/>
          <cell r="AU665"/>
          <cell r="AV665"/>
          <cell r="AW665"/>
          <cell r="AX665"/>
          <cell r="AY665"/>
          <cell r="AZ665"/>
        </row>
        <row r="666">
          <cell r="A666"/>
          <cell r="B666"/>
          <cell r="C666"/>
          <cell r="D666"/>
          <cell r="E666"/>
          <cell r="F666"/>
          <cell r="G666"/>
          <cell r="H666"/>
          <cell r="I666"/>
          <cell r="J666"/>
          <cell r="K666"/>
          <cell r="L666"/>
          <cell r="M666"/>
          <cell r="N666"/>
          <cell r="O666"/>
          <cell r="P666"/>
          <cell r="Q666"/>
          <cell r="R666"/>
          <cell r="S666"/>
          <cell r="T666"/>
          <cell r="U666"/>
          <cell r="V666"/>
          <cell r="W666"/>
          <cell r="X666"/>
          <cell r="Y666"/>
          <cell r="Z666"/>
          <cell r="AA666"/>
          <cell r="AB666"/>
          <cell r="AC666"/>
          <cell r="AD666"/>
          <cell r="AE666"/>
          <cell r="AF666"/>
          <cell r="AG666"/>
          <cell r="AH666"/>
          <cell r="AI666"/>
          <cell r="AJ666"/>
          <cell r="AK666"/>
          <cell r="AL666"/>
          <cell r="AM666"/>
          <cell r="AN666"/>
          <cell r="AO666"/>
          <cell r="AP666"/>
          <cell r="AQ666"/>
          <cell r="AR666"/>
          <cell r="AS666"/>
          <cell r="AT666"/>
          <cell r="AU666"/>
          <cell r="AV666"/>
          <cell r="AW666"/>
          <cell r="AX666"/>
          <cell r="AY666"/>
          <cell r="AZ666"/>
        </row>
        <row r="667">
          <cell r="A667"/>
          <cell r="B667"/>
          <cell r="C667"/>
          <cell r="D667"/>
          <cell r="E667"/>
          <cell r="F667"/>
          <cell r="G667"/>
          <cell r="H667"/>
          <cell r="I667"/>
          <cell r="J667"/>
          <cell r="K667"/>
          <cell r="L667"/>
          <cell r="M667"/>
          <cell r="N667"/>
          <cell r="O667"/>
          <cell r="P667"/>
          <cell r="Q667"/>
          <cell r="R667"/>
          <cell r="S667"/>
          <cell r="T667"/>
          <cell r="U667"/>
          <cell r="V667"/>
          <cell r="W667"/>
          <cell r="X667"/>
          <cell r="Y667"/>
          <cell r="Z667"/>
          <cell r="AA667"/>
          <cell r="AB667"/>
          <cell r="AC667"/>
          <cell r="AD667"/>
          <cell r="AE667"/>
          <cell r="AF667"/>
          <cell r="AG667"/>
          <cell r="AH667"/>
          <cell r="AI667"/>
          <cell r="AJ667"/>
          <cell r="AK667"/>
          <cell r="AL667"/>
          <cell r="AM667"/>
          <cell r="AN667"/>
          <cell r="AO667"/>
          <cell r="AP667"/>
          <cell r="AQ667"/>
          <cell r="AR667"/>
          <cell r="AS667"/>
          <cell r="AT667"/>
          <cell r="AU667"/>
          <cell r="AV667"/>
          <cell r="AW667"/>
          <cell r="AX667"/>
          <cell r="AY667"/>
          <cell r="AZ667"/>
        </row>
        <row r="668">
          <cell r="A668"/>
          <cell r="B668"/>
          <cell r="C668"/>
          <cell r="D668"/>
          <cell r="E668"/>
          <cell r="F668"/>
          <cell r="G668"/>
          <cell r="H668"/>
          <cell r="I668"/>
          <cell r="J668"/>
          <cell r="K668"/>
          <cell r="L668"/>
          <cell r="M668"/>
          <cell r="N668"/>
          <cell r="O668"/>
          <cell r="P668"/>
          <cell r="Q668"/>
          <cell r="R668"/>
          <cell r="S668"/>
          <cell r="T668"/>
          <cell r="U668"/>
          <cell r="V668"/>
          <cell r="W668"/>
          <cell r="X668"/>
          <cell r="Y668"/>
          <cell r="Z668"/>
          <cell r="AA668"/>
          <cell r="AB668"/>
          <cell r="AC668"/>
          <cell r="AD668"/>
          <cell r="AE668"/>
          <cell r="AF668"/>
          <cell r="AG668"/>
          <cell r="AH668"/>
          <cell r="AI668"/>
          <cell r="AJ668"/>
          <cell r="AK668"/>
          <cell r="AL668"/>
          <cell r="AM668"/>
          <cell r="AN668"/>
          <cell r="AO668"/>
          <cell r="AP668"/>
          <cell r="AQ668"/>
          <cell r="AR668"/>
          <cell r="AS668"/>
          <cell r="AT668"/>
          <cell r="AU668"/>
          <cell r="AV668"/>
          <cell r="AW668"/>
          <cell r="AX668"/>
          <cell r="AY668"/>
          <cell r="AZ668"/>
        </row>
        <row r="669">
          <cell r="A669"/>
          <cell r="B669"/>
          <cell r="C669"/>
          <cell r="D669"/>
          <cell r="E669"/>
          <cell r="F669"/>
          <cell r="G669"/>
          <cell r="H669"/>
          <cell r="I669"/>
          <cell r="J669"/>
          <cell r="K669"/>
          <cell r="L669"/>
          <cell r="M669"/>
          <cell r="N669"/>
          <cell r="O669"/>
          <cell r="P669"/>
          <cell r="Q669"/>
          <cell r="R669"/>
          <cell r="S669"/>
          <cell r="T669"/>
          <cell r="U669"/>
          <cell r="V669"/>
          <cell r="W669"/>
          <cell r="X669"/>
          <cell r="Y669"/>
          <cell r="Z669"/>
          <cell r="AA669"/>
          <cell r="AB669"/>
          <cell r="AC669"/>
          <cell r="AD669"/>
          <cell r="AE669"/>
          <cell r="AF669"/>
          <cell r="AG669"/>
          <cell r="AH669"/>
          <cell r="AI669"/>
          <cell r="AJ669"/>
          <cell r="AK669"/>
          <cell r="AL669"/>
          <cell r="AM669"/>
          <cell r="AN669"/>
          <cell r="AO669"/>
          <cell r="AP669"/>
          <cell r="AQ669"/>
          <cell r="AR669"/>
          <cell r="AS669"/>
          <cell r="AT669"/>
          <cell r="AU669"/>
          <cell r="AV669"/>
          <cell r="AW669"/>
          <cell r="AX669"/>
          <cell r="AY669"/>
          <cell r="AZ669"/>
        </row>
        <row r="670">
          <cell r="A670"/>
          <cell r="B670"/>
          <cell r="C670"/>
          <cell r="D670"/>
          <cell r="E670"/>
          <cell r="F670"/>
          <cell r="G670"/>
          <cell r="H670"/>
          <cell r="I670"/>
          <cell r="J670"/>
          <cell r="K670"/>
          <cell r="L670"/>
          <cell r="M670"/>
          <cell r="N670"/>
          <cell r="O670"/>
          <cell r="P670"/>
          <cell r="Q670"/>
          <cell r="R670"/>
          <cell r="S670"/>
          <cell r="T670"/>
          <cell r="U670"/>
          <cell r="V670"/>
          <cell r="W670"/>
          <cell r="X670"/>
          <cell r="Y670"/>
          <cell r="Z670"/>
          <cell r="AA670"/>
          <cell r="AB670"/>
          <cell r="AC670"/>
          <cell r="AD670"/>
          <cell r="AE670"/>
          <cell r="AF670"/>
          <cell r="AG670"/>
          <cell r="AH670"/>
          <cell r="AI670"/>
          <cell r="AJ670"/>
          <cell r="AK670"/>
          <cell r="AL670"/>
          <cell r="AM670"/>
          <cell r="AN670"/>
          <cell r="AO670"/>
          <cell r="AP670"/>
          <cell r="AQ670"/>
          <cell r="AR670"/>
          <cell r="AS670"/>
          <cell r="AT670"/>
          <cell r="AU670"/>
          <cell r="AV670"/>
          <cell r="AW670"/>
          <cell r="AX670"/>
          <cell r="AY670"/>
          <cell r="AZ670"/>
        </row>
        <row r="671">
          <cell r="A671"/>
          <cell r="B671"/>
          <cell r="C671"/>
          <cell r="D671"/>
          <cell r="E671"/>
          <cell r="F671"/>
          <cell r="G671"/>
          <cell r="H671"/>
          <cell r="I671"/>
          <cell r="J671"/>
          <cell r="K671"/>
          <cell r="L671"/>
          <cell r="M671"/>
          <cell r="N671"/>
          <cell r="O671"/>
          <cell r="P671"/>
          <cell r="Q671"/>
          <cell r="R671"/>
          <cell r="S671"/>
          <cell r="T671"/>
          <cell r="U671"/>
          <cell r="V671"/>
          <cell r="W671"/>
          <cell r="X671"/>
          <cell r="Y671"/>
          <cell r="Z671"/>
          <cell r="AA671"/>
          <cell r="AB671"/>
          <cell r="AC671"/>
          <cell r="AD671"/>
          <cell r="AE671"/>
          <cell r="AF671"/>
          <cell r="AG671"/>
          <cell r="AH671"/>
          <cell r="AI671"/>
          <cell r="AJ671"/>
          <cell r="AK671"/>
          <cell r="AL671"/>
          <cell r="AM671"/>
          <cell r="AN671"/>
          <cell r="AO671"/>
          <cell r="AP671"/>
          <cell r="AQ671"/>
          <cell r="AR671"/>
          <cell r="AS671"/>
          <cell r="AT671"/>
          <cell r="AU671"/>
          <cell r="AV671"/>
          <cell r="AW671"/>
          <cell r="AX671"/>
          <cell r="AY671"/>
          <cell r="AZ671"/>
        </row>
        <row r="672">
          <cell r="A672"/>
          <cell r="B672"/>
          <cell r="C672"/>
          <cell r="D672"/>
          <cell r="E672"/>
          <cell r="F672"/>
          <cell r="G672"/>
          <cell r="H672"/>
          <cell r="I672"/>
          <cell r="J672"/>
          <cell r="K672"/>
          <cell r="L672"/>
          <cell r="M672"/>
          <cell r="N672"/>
          <cell r="O672"/>
          <cell r="P672"/>
          <cell r="Q672"/>
          <cell r="R672"/>
          <cell r="S672"/>
          <cell r="T672"/>
          <cell r="U672"/>
          <cell r="V672"/>
          <cell r="W672"/>
          <cell r="X672"/>
          <cell r="Y672"/>
          <cell r="Z672"/>
          <cell r="AA672"/>
          <cell r="AB672"/>
          <cell r="AC672"/>
          <cell r="AD672"/>
          <cell r="AE672"/>
          <cell r="AF672"/>
          <cell r="AG672"/>
          <cell r="AH672"/>
          <cell r="AI672"/>
          <cell r="AJ672"/>
          <cell r="AK672"/>
          <cell r="AL672"/>
          <cell r="AM672"/>
          <cell r="AN672"/>
          <cell r="AO672"/>
          <cell r="AP672"/>
          <cell r="AQ672"/>
          <cell r="AR672"/>
          <cell r="AS672"/>
          <cell r="AT672"/>
          <cell r="AU672"/>
          <cell r="AV672"/>
          <cell r="AW672"/>
          <cell r="AX672"/>
          <cell r="AY672"/>
          <cell r="AZ672"/>
        </row>
        <row r="673">
          <cell r="A673"/>
          <cell r="B673"/>
          <cell r="C673"/>
          <cell r="D673"/>
          <cell r="E673"/>
          <cell r="F673"/>
          <cell r="G673"/>
          <cell r="H673"/>
          <cell r="I673"/>
          <cell r="J673"/>
          <cell r="K673"/>
          <cell r="L673"/>
          <cell r="M673"/>
          <cell r="N673"/>
          <cell r="O673"/>
          <cell r="P673"/>
          <cell r="Q673"/>
          <cell r="R673"/>
          <cell r="S673"/>
          <cell r="T673"/>
          <cell r="U673"/>
          <cell r="V673"/>
          <cell r="W673"/>
          <cell r="X673"/>
          <cell r="Y673"/>
          <cell r="Z673"/>
          <cell r="AA673"/>
          <cell r="AB673"/>
          <cell r="AC673"/>
          <cell r="AD673"/>
          <cell r="AE673"/>
          <cell r="AF673"/>
          <cell r="AG673"/>
          <cell r="AH673"/>
          <cell r="AI673"/>
          <cell r="AJ673"/>
          <cell r="AK673"/>
          <cell r="AL673"/>
          <cell r="AM673"/>
          <cell r="AN673"/>
          <cell r="AO673"/>
          <cell r="AP673"/>
          <cell r="AQ673"/>
          <cell r="AR673"/>
          <cell r="AS673"/>
          <cell r="AT673"/>
          <cell r="AU673"/>
          <cell r="AV673"/>
          <cell r="AW673"/>
          <cell r="AX673"/>
          <cell r="AY673"/>
          <cell r="AZ673"/>
        </row>
        <row r="674">
          <cell r="A674"/>
          <cell r="B674"/>
          <cell r="C674"/>
          <cell r="D674"/>
          <cell r="E674"/>
          <cell r="F674"/>
          <cell r="G674"/>
          <cell r="H674"/>
          <cell r="I674"/>
          <cell r="J674"/>
          <cell r="K674"/>
          <cell r="L674"/>
          <cell r="M674"/>
          <cell r="N674"/>
          <cell r="O674"/>
          <cell r="P674"/>
          <cell r="Q674"/>
          <cell r="R674"/>
          <cell r="S674"/>
          <cell r="T674"/>
          <cell r="U674"/>
          <cell r="V674"/>
          <cell r="W674"/>
          <cell r="X674"/>
          <cell r="Y674"/>
          <cell r="Z674"/>
          <cell r="AA674"/>
          <cell r="AB674"/>
          <cell r="AC674"/>
          <cell r="AD674"/>
          <cell r="AE674"/>
          <cell r="AF674"/>
          <cell r="AG674"/>
          <cell r="AH674"/>
          <cell r="AI674"/>
          <cell r="AJ674"/>
          <cell r="AK674"/>
          <cell r="AL674"/>
          <cell r="AM674"/>
          <cell r="AN674"/>
          <cell r="AO674"/>
          <cell r="AP674"/>
          <cell r="AQ674"/>
          <cell r="AR674"/>
          <cell r="AS674"/>
          <cell r="AT674"/>
          <cell r="AU674"/>
          <cell r="AV674"/>
          <cell r="AW674"/>
          <cell r="AX674"/>
          <cell r="AY674"/>
          <cell r="AZ674"/>
        </row>
        <row r="675">
          <cell r="A675"/>
          <cell r="B675"/>
          <cell r="C675"/>
          <cell r="D675"/>
          <cell r="E675"/>
          <cell r="F675"/>
          <cell r="G675"/>
          <cell r="H675"/>
          <cell r="I675"/>
          <cell r="J675"/>
          <cell r="K675"/>
          <cell r="L675"/>
          <cell r="M675"/>
          <cell r="N675"/>
          <cell r="O675"/>
          <cell r="P675"/>
          <cell r="Q675"/>
          <cell r="R675"/>
          <cell r="S675"/>
          <cell r="T675"/>
          <cell r="U675"/>
          <cell r="V675"/>
          <cell r="W675"/>
          <cell r="X675"/>
          <cell r="Y675"/>
          <cell r="Z675"/>
          <cell r="AA675"/>
          <cell r="AB675"/>
          <cell r="AC675"/>
          <cell r="AD675"/>
          <cell r="AE675"/>
          <cell r="AF675"/>
          <cell r="AG675"/>
          <cell r="AH675"/>
          <cell r="AI675"/>
          <cell r="AJ675"/>
          <cell r="AK675"/>
          <cell r="AL675"/>
          <cell r="AM675"/>
          <cell r="AN675"/>
          <cell r="AO675"/>
          <cell r="AP675"/>
          <cell r="AQ675"/>
          <cell r="AR675"/>
          <cell r="AS675"/>
          <cell r="AT675"/>
          <cell r="AU675"/>
          <cell r="AV675"/>
          <cell r="AW675"/>
          <cell r="AX675"/>
          <cell r="AY675"/>
          <cell r="AZ675"/>
        </row>
        <row r="676">
          <cell r="A676"/>
          <cell r="B676"/>
          <cell r="C676"/>
          <cell r="D676"/>
          <cell r="E676"/>
          <cell r="F676"/>
          <cell r="G676"/>
          <cell r="H676"/>
          <cell r="I676"/>
          <cell r="J676"/>
          <cell r="K676"/>
          <cell r="L676"/>
          <cell r="M676"/>
          <cell r="N676"/>
          <cell r="O676"/>
          <cell r="P676"/>
          <cell r="Q676"/>
          <cell r="R676"/>
          <cell r="S676"/>
          <cell r="T676"/>
          <cell r="U676"/>
          <cell r="V676"/>
          <cell r="W676"/>
          <cell r="X676"/>
          <cell r="Y676"/>
          <cell r="Z676"/>
          <cell r="AA676"/>
          <cell r="AB676"/>
          <cell r="AC676"/>
          <cell r="AD676"/>
          <cell r="AE676"/>
          <cell r="AF676"/>
          <cell r="AG676"/>
          <cell r="AH676"/>
          <cell r="AI676"/>
          <cell r="AJ676"/>
          <cell r="AK676"/>
          <cell r="AL676"/>
          <cell r="AM676"/>
          <cell r="AN676"/>
          <cell r="AO676"/>
          <cell r="AP676"/>
          <cell r="AQ676"/>
          <cell r="AR676"/>
          <cell r="AS676"/>
          <cell r="AT676"/>
          <cell r="AU676"/>
          <cell r="AV676"/>
          <cell r="AW676"/>
          <cell r="AX676"/>
          <cell r="AY676"/>
          <cell r="AZ676"/>
        </row>
        <row r="677">
          <cell r="A677"/>
          <cell r="B677"/>
          <cell r="C677"/>
          <cell r="D677"/>
          <cell r="E677"/>
          <cell r="F677"/>
          <cell r="G677"/>
          <cell r="H677"/>
          <cell r="I677"/>
          <cell r="J677"/>
          <cell r="K677"/>
          <cell r="L677"/>
          <cell r="M677"/>
          <cell r="N677"/>
          <cell r="O677"/>
          <cell r="P677"/>
          <cell r="Q677"/>
          <cell r="R677"/>
          <cell r="S677"/>
          <cell r="T677"/>
          <cell r="U677"/>
          <cell r="V677"/>
          <cell r="W677"/>
          <cell r="X677"/>
          <cell r="Y677"/>
          <cell r="Z677"/>
          <cell r="AA677"/>
          <cell r="AB677"/>
          <cell r="AC677"/>
          <cell r="AD677"/>
          <cell r="AE677"/>
          <cell r="AF677"/>
          <cell r="AG677"/>
          <cell r="AH677"/>
          <cell r="AI677"/>
          <cell r="AJ677"/>
          <cell r="AK677"/>
          <cell r="AL677"/>
          <cell r="AM677"/>
          <cell r="AN677"/>
          <cell r="AO677"/>
          <cell r="AP677"/>
          <cell r="AQ677"/>
          <cell r="AR677"/>
          <cell r="AS677"/>
          <cell r="AT677"/>
          <cell r="AU677"/>
          <cell r="AV677"/>
          <cell r="AW677"/>
          <cell r="AX677"/>
          <cell r="AY677"/>
          <cell r="AZ677"/>
        </row>
        <row r="678">
          <cell r="A678"/>
          <cell r="B678"/>
          <cell r="C678"/>
          <cell r="D678"/>
          <cell r="E678"/>
          <cell r="F678"/>
          <cell r="G678"/>
          <cell r="H678"/>
          <cell r="I678"/>
          <cell r="J678"/>
          <cell r="K678"/>
          <cell r="L678"/>
          <cell r="M678"/>
          <cell r="N678"/>
          <cell r="O678"/>
          <cell r="P678"/>
          <cell r="Q678"/>
          <cell r="R678"/>
          <cell r="S678"/>
          <cell r="T678"/>
          <cell r="U678"/>
          <cell r="V678"/>
          <cell r="W678"/>
          <cell r="X678"/>
          <cell r="Y678"/>
          <cell r="Z678"/>
          <cell r="AA678"/>
          <cell r="AB678"/>
          <cell r="AC678"/>
          <cell r="AD678"/>
          <cell r="AE678"/>
          <cell r="AF678"/>
          <cell r="AG678"/>
          <cell r="AH678"/>
          <cell r="AI678"/>
          <cell r="AJ678"/>
          <cell r="AK678"/>
          <cell r="AL678"/>
          <cell r="AM678"/>
          <cell r="AN678"/>
          <cell r="AO678"/>
          <cell r="AP678"/>
          <cell r="AQ678"/>
          <cell r="AR678"/>
          <cell r="AS678"/>
          <cell r="AT678"/>
          <cell r="AU678"/>
          <cell r="AV678"/>
          <cell r="AW678"/>
          <cell r="AX678"/>
          <cell r="AY678"/>
          <cell r="AZ678"/>
        </row>
        <row r="679">
          <cell r="A679"/>
          <cell r="B679"/>
          <cell r="C679"/>
          <cell r="D679"/>
          <cell r="E679"/>
          <cell r="F679"/>
          <cell r="G679"/>
          <cell r="H679"/>
          <cell r="I679"/>
          <cell r="J679"/>
          <cell r="K679"/>
          <cell r="L679"/>
          <cell r="M679"/>
          <cell r="N679"/>
          <cell r="O679"/>
          <cell r="P679"/>
          <cell r="Q679"/>
          <cell r="R679"/>
          <cell r="S679"/>
          <cell r="T679"/>
          <cell r="U679"/>
          <cell r="V679"/>
          <cell r="W679"/>
          <cell r="X679"/>
          <cell r="Y679"/>
          <cell r="Z679"/>
          <cell r="AA679"/>
          <cell r="AB679"/>
          <cell r="AC679"/>
          <cell r="AD679"/>
          <cell r="AE679"/>
          <cell r="AF679"/>
          <cell r="AG679"/>
          <cell r="AH679"/>
          <cell r="AI679"/>
          <cell r="AJ679"/>
          <cell r="AK679"/>
          <cell r="AL679"/>
          <cell r="AM679"/>
          <cell r="AN679"/>
          <cell r="AO679"/>
          <cell r="AP679"/>
          <cell r="AQ679"/>
          <cell r="AR679"/>
          <cell r="AS679"/>
          <cell r="AT679"/>
          <cell r="AU679"/>
          <cell r="AV679"/>
          <cell r="AW679"/>
          <cell r="AX679"/>
          <cell r="AY679"/>
          <cell r="AZ679"/>
        </row>
        <row r="680">
          <cell r="A680"/>
          <cell r="B680"/>
          <cell r="C680"/>
          <cell r="D680"/>
          <cell r="E680"/>
          <cell r="F680"/>
          <cell r="G680"/>
          <cell r="H680"/>
          <cell r="I680"/>
          <cell r="J680"/>
          <cell r="K680"/>
          <cell r="L680"/>
          <cell r="M680"/>
          <cell r="N680"/>
          <cell r="O680"/>
          <cell r="P680"/>
          <cell r="Q680"/>
          <cell r="R680"/>
          <cell r="S680"/>
          <cell r="T680"/>
          <cell r="U680"/>
          <cell r="V680"/>
          <cell r="W680"/>
          <cell r="X680"/>
          <cell r="Y680"/>
          <cell r="Z680"/>
          <cell r="AA680"/>
          <cell r="AB680"/>
          <cell r="AC680"/>
          <cell r="AD680"/>
          <cell r="AE680"/>
          <cell r="AF680"/>
          <cell r="AG680"/>
          <cell r="AH680"/>
          <cell r="AI680"/>
          <cell r="AJ680"/>
          <cell r="AK680"/>
          <cell r="AL680"/>
          <cell r="AM680"/>
          <cell r="AN680"/>
          <cell r="AO680"/>
          <cell r="AP680"/>
          <cell r="AQ680"/>
          <cell r="AR680"/>
          <cell r="AS680"/>
          <cell r="AT680"/>
          <cell r="AU680"/>
          <cell r="AV680"/>
          <cell r="AW680"/>
          <cell r="AX680"/>
          <cell r="AY680"/>
          <cell r="AZ680"/>
        </row>
        <row r="681">
          <cell r="A681"/>
          <cell r="B681"/>
          <cell r="C681"/>
          <cell r="D681"/>
          <cell r="E681"/>
          <cell r="F681"/>
          <cell r="G681"/>
          <cell r="H681"/>
          <cell r="I681"/>
          <cell r="J681"/>
          <cell r="K681"/>
          <cell r="L681"/>
          <cell r="M681"/>
          <cell r="N681"/>
          <cell r="O681"/>
          <cell r="P681"/>
          <cell r="Q681"/>
          <cell r="R681"/>
          <cell r="S681"/>
          <cell r="T681"/>
          <cell r="U681"/>
          <cell r="V681"/>
          <cell r="W681"/>
          <cell r="X681"/>
          <cell r="Y681"/>
          <cell r="Z681"/>
          <cell r="AA681"/>
          <cell r="AB681"/>
          <cell r="AC681"/>
          <cell r="AD681"/>
          <cell r="AE681"/>
          <cell r="AF681"/>
          <cell r="AG681"/>
          <cell r="AH681"/>
          <cell r="AI681"/>
          <cell r="AJ681"/>
          <cell r="AK681"/>
          <cell r="AL681"/>
          <cell r="AM681"/>
          <cell r="AN681"/>
          <cell r="AO681"/>
          <cell r="AP681"/>
          <cell r="AQ681"/>
          <cell r="AR681"/>
          <cell r="AS681"/>
          <cell r="AT681"/>
          <cell r="AU681"/>
          <cell r="AV681"/>
          <cell r="AW681"/>
          <cell r="AX681"/>
          <cell r="AY681"/>
          <cell r="AZ681"/>
        </row>
        <row r="682">
          <cell r="A682"/>
          <cell r="B682"/>
          <cell r="C682"/>
          <cell r="D682"/>
          <cell r="E682"/>
          <cell r="F682"/>
          <cell r="G682"/>
          <cell r="H682"/>
          <cell r="I682"/>
          <cell r="J682"/>
          <cell r="K682"/>
          <cell r="L682"/>
          <cell r="M682"/>
          <cell r="N682"/>
          <cell r="O682"/>
          <cell r="P682"/>
          <cell r="Q682"/>
          <cell r="R682"/>
          <cell r="S682"/>
          <cell r="T682"/>
          <cell r="U682"/>
          <cell r="V682"/>
          <cell r="W682"/>
          <cell r="X682"/>
          <cell r="Y682"/>
          <cell r="Z682"/>
          <cell r="AA682"/>
          <cell r="AB682"/>
          <cell r="AC682"/>
          <cell r="AD682"/>
          <cell r="AE682"/>
          <cell r="AF682"/>
          <cell r="AG682"/>
          <cell r="AH682"/>
          <cell r="AI682"/>
          <cell r="AJ682"/>
          <cell r="AK682"/>
          <cell r="AL682"/>
          <cell r="AM682"/>
          <cell r="AN682"/>
          <cell r="AO682"/>
          <cell r="AP682"/>
          <cell r="AQ682"/>
          <cell r="AR682"/>
          <cell r="AS682"/>
          <cell r="AT682"/>
          <cell r="AU682"/>
          <cell r="AV682"/>
          <cell r="AW682"/>
          <cell r="AX682"/>
          <cell r="AY682"/>
          <cell r="AZ682"/>
        </row>
        <row r="683">
          <cell r="A683"/>
          <cell r="B683"/>
          <cell r="C683"/>
          <cell r="D683"/>
          <cell r="E683"/>
          <cell r="F683"/>
          <cell r="G683"/>
          <cell r="H683"/>
          <cell r="I683"/>
          <cell r="J683"/>
          <cell r="K683"/>
          <cell r="L683"/>
          <cell r="M683"/>
          <cell r="N683"/>
          <cell r="O683"/>
          <cell r="P683"/>
          <cell r="Q683"/>
          <cell r="R683"/>
          <cell r="S683"/>
          <cell r="T683"/>
          <cell r="U683"/>
          <cell r="V683"/>
          <cell r="W683"/>
          <cell r="X683"/>
          <cell r="Y683"/>
          <cell r="Z683"/>
          <cell r="AA683"/>
          <cell r="AB683"/>
          <cell r="AC683"/>
          <cell r="AD683"/>
          <cell r="AE683"/>
          <cell r="AF683"/>
          <cell r="AG683"/>
          <cell r="AH683"/>
          <cell r="AI683"/>
          <cell r="AJ683"/>
          <cell r="AK683"/>
          <cell r="AL683"/>
          <cell r="AM683"/>
          <cell r="AN683"/>
          <cell r="AO683"/>
          <cell r="AP683"/>
          <cell r="AQ683"/>
          <cell r="AR683"/>
          <cell r="AS683"/>
          <cell r="AT683"/>
          <cell r="AU683"/>
          <cell r="AV683"/>
          <cell r="AW683"/>
          <cell r="AX683"/>
          <cell r="AY683"/>
          <cell r="AZ683"/>
        </row>
        <row r="684">
          <cell r="A684"/>
          <cell r="B684"/>
          <cell r="C684"/>
          <cell r="D684"/>
          <cell r="E684"/>
          <cell r="F684"/>
          <cell r="G684"/>
          <cell r="H684"/>
          <cell r="I684"/>
          <cell r="J684"/>
          <cell r="K684"/>
          <cell r="L684"/>
          <cell r="M684"/>
          <cell r="N684"/>
          <cell r="O684"/>
          <cell r="P684"/>
          <cell r="Q684"/>
          <cell r="R684"/>
          <cell r="S684"/>
          <cell r="T684"/>
          <cell r="U684"/>
          <cell r="V684"/>
          <cell r="W684"/>
          <cell r="X684"/>
          <cell r="Y684"/>
          <cell r="Z684"/>
          <cell r="AA684"/>
          <cell r="AB684"/>
          <cell r="AC684"/>
          <cell r="AD684"/>
          <cell r="AE684"/>
          <cell r="AF684"/>
          <cell r="AG684"/>
          <cell r="AH684"/>
          <cell r="AI684"/>
          <cell r="AJ684"/>
          <cell r="AK684"/>
          <cell r="AL684"/>
          <cell r="AM684"/>
          <cell r="AN684"/>
          <cell r="AO684"/>
          <cell r="AP684"/>
          <cell r="AQ684"/>
          <cell r="AR684"/>
          <cell r="AS684"/>
          <cell r="AT684"/>
          <cell r="AU684"/>
          <cell r="AV684"/>
          <cell r="AW684"/>
          <cell r="AX684"/>
          <cell r="AY684"/>
          <cell r="AZ684"/>
        </row>
        <row r="685">
          <cell r="A685"/>
          <cell r="B685"/>
          <cell r="C685"/>
          <cell r="D685"/>
          <cell r="E685"/>
          <cell r="F685"/>
          <cell r="G685"/>
          <cell r="H685"/>
          <cell r="I685"/>
          <cell r="J685"/>
          <cell r="K685"/>
          <cell r="L685"/>
          <cell r="M685"/>
          <cell r="N685"/>
          <cell r="O685"/>
          <cell r="P685"/>
          <cell r="Q685"/>
          <cell r="R685"/>
          <cell r="S685"/>
          <cell r="T685"/>
          <cell r="U685"/>
          <cell r="V685"/>
          <cell r="W685"/>
          <cell r="X685"/>
          <cell r="Y685"/>
          <cell r="Z685"/>
          <cell r="AA685"/>
          <cell r="AB685"/>
          <cell r="AC685"/>
          <cell r="AD685"/>
          <cell r="AE685"/>
          <cell r="AF685"/>
          <cell r="AG685"/>
          <cell r="AH685"/>
          <cell r="AI685"/>
          <cell r="AJ685"/>
          <cell r="AK685"/>
          <cell r="AL685"/>
          <cell r="AM685"/>
          <cell r="AN685"/>
          <cell r="AO685"/>
          <cell r="AP685"/>
          <cell r="AQ685"/>
          <cell r="AR685"/>
          <cell r="AS685"/>
          <cell r="AT685"/>
          <cell r="AU685"/>
          <cell r="AV685"/>
          <cell r="AW685"/>
          <cell r="AX685"/>
          <cell r="AY685"/>
          <cell r="AZ685"/>
        </row>
        <row r="686">
          <cell r="A686"/>
          <cell r="B686"/>
          <cell r="C686"/>
          <cell r="D686"/>
          <cell r="E686"/>
          <cell r="F686"/>
          <cell r="G686"/>
          <cell r="H686"/>
          <cell r="I686"/>
          <cell r="J686"/>
          <cell r="K686"/>
          <cell r="L686"/>
          <cell r="M686"/>
          <cell r="N686"/>
          <cell r="O686"/>
          <cell r="P686"/>
          <cell r="Q686"/>
          <cell r="R686"/>
          <cell r="S686"/>
          <cell r="T686"/>
          <cell r="U686"/>
          <cell r="V686"/>
          <cell r="W686"/>
          <cell r="X686"/>
          <cell r="Y686"/>
          <cell r="Z686"/>
          <cell r="AA686"/>
          <cell r="AB686"/>
          <cell r="AC686"/>
          <cell r="AD686"/>
          <cell r="AE686"/>
          <cell r="AF686"/>
          <cell r="AG686"/>
          <cell r="AH686"/>
          <cell r="AI686"/>
          <cell r="AJ686"/>
          <cell r="AK686"/>
          <cell r="AL686"/>
          <cell r="AM686"/>
          <cell r="AN686"/>
          <cell r="AO686"/>
          <cell r="AP686"/>
          <cell r="AQ686"/>
          <cell r="AR686"/>
          <cell r="AS686"/>
          <cell r="AT686"/>
          <cell r="AU686"/>
          <cell r="AV686"/>
          <cell r="AW686"/>
          <cell r="AX686"/>
          <cell r="AY686"/>
          <cell r="AZ686"/>
        </row>
        <row r="687">
          <cell r="A687"/>
          <cell r="B687"/>
          <cell r="C687"/>
          <cell r="D687"/>
          <cell r="E687"/>
          <cell r="F687"/>
          <cell r="G687"/>
          <cell r="H687"/>
          <cell r="I687"/>
          <cell r="J687"/>
          <cell r="K687"/>
          <cell r="L687"/>
          <cell r="M687"/>
          <cell r="N687"/>
          <cell r="O687"/>
          <cell r="P687"/>
          <cell r="Q687"/>
          <cell r="R687"/>
          <cell r="S687"/>
          <cell r="T687"/>
          <cell r="U687"/>
          <cell r="V687"/>
          <cell r="W687"/>
          <cell r="X687"/>
          <cell r="Y687"/>
          <cell r="Z687"/>
          <cell r="AA687"/>
          <cell r="AB687"/>
          <cell r="AC687"/>
          <cell r="AD687"/>
          <cell r="AE687"/>
          <cell r="AF687"/>
          <cell r="AG687"/>
          <cell r="AH687"/>
          <cell r="AI687"/>
          <cell r="AJ687"/>
          <cell r="AK687"/>
          <cell r="AL687"/>
          <cell r="AM687"/>
          <cell r="AN687"/>
          <cell r="AO687"/>
          <cell r="AP687"/>
          <cell r="AQ687"/>
          <cell r="AR687"/>
          <cell r="AS687"/>
          <cell r="AT687"/>
          <cell r="AU687"/>
          <cell r="AV687"/>
          <cell r="AW687"/>
          <cell r="AX687"/>
          <cell r="AY687"/>
          <cell r="AZ687"/>
        </row>
        <row r="688">
          <cell r="A688"/>
          <cell r="B688"/>
          <cell r="C688"/>
          <cell r="D688"/>
          <cell r="E688"/>
          <cell r="F688"/>
          <cell r="G688"/>
          <cell r="H688"/>
          <cell r="I688"/>
          <cell r="J688"/>
          <cell r="K688"/>
          <cell r="L688"/>
          <cell r="M688"/>
          <cell r="N688"/>
          <cell r="O688"/>
          <cell r="P688"/>
          <cell r="Q688"/>
          <cell r="R688"/>
          <cell r="S688"/>
          <cell r="T688"/>
          <cell r="U688"/>
          <cell r="V688"/>
          <cell r="W688"/>
          <cell r="X688"/>
          <cell r="Y688"/>
          <cell r="Z688"/>
          <cell r="AA688"/>
          <cell r="AB688"/>
          <cell r="AC688"/>
          <cell r="AD688"/>
          <cell r="AE688"/>
          <cell r="AF688"/>
          <cell r="AG688"/>
          <cell r="AH688"/>
          <cell r="AI688"/>
          <cell r="AJ688"/>
          <cell r="AK688"/>
          <cell r="AL688"/>
          <cell r="AM688"/>
          <cell r="AN688"/>
          <cell r="AO688"/>
          <cell r="AP688"/>
          <cell r="AQ688"/>
          <cell r="AR688"/>
          <cell r="AS688"/>
          <cell r="AT688"/>
          <cell r="AU688"/>
          <cell r="AV688"/>
          <cell r="AW688"/>
          <cell r="AX688"/>
          <cell r="AY688"/>
          <cell r="AZ688"/>
        </row>
        <row r="689">
          <cell r="A689"/>
          <cell r="B689"/>
          <cell r="C689"/>
          <cell r="D689"/>
          <cell r="E689"/>
          <cell r="F689"/>
          <cell r="G689"/>
          <cell r="H689"/>
          <cell r="I689"/>
          <cell r="J689"/>
          <cell r="K689"/>
          <cell r="L689"/>
          <cell r="M689"/>
          <cell r="N689"/>
          <cell r="O689"/>
          <cell r="P689"/>
          <cell r="Q689"/>
          <cell r="R689"/>
          <cell r="S689"/>
          <cell r="T689"/>
          <cell r="U689"/>
          <cell r="V689"/>
          <cell r="W689"/>
          <cell r="X689"/>
          <cell r="Y689"/>
          <cell r="Z689"/>
          <cell r="AA689"/>
          <cell r="AB689"/>
          <cell r="AC689"/>
          <cell r="AD689"/>
          <cell r="AE689"/>
          <cell r="AF689"/>
          <cell r="AG689"/>
          <cell r="AH689"/>
          <cell r="AI689"/>
          <cell r="AJ689"/>
          <cell r="AK689"/>
          <cell r="AL689"/>
          <cell r="AM689"/>
          <cell r="AN689"/>
          <cell r="AO689"/>
          <cell r="AP689"/>
          <cell r="AQ689"/>
          <cell r="AR689"/>
          <cell r="AS689"/>
          <cell r="AT689"/>
          <cell r="AU689"/>
          <cell r="AV689"/>
          <cell r="AW689"/>
          <cell r="AX689"/>
          <cell r="AY689"/>
          <cell r="AZ689"/>
        </row>
        <row r="690">
          <cell r="A690"/>
          <cell r="B690"/>
          <cell r="C690"/>
          <cell r="D690"/>
          <cell r="E690"/>
          <cell r="F690"/>
          <cell r="G690"/>
          <cell r="H690"/>
          <cell r="I690"/>
          <cell r="J690"/>
          <cell r="K690"/>
          <cell r="L690"/>
          <cell r="M690"/>
          <cell r="N690"/>
          <cell r="O690"/>
          <cell r="P690"/>
          <cell r="Q690"/>
          <cell r="R690"/>
          <cell r="S690"/>
          <cell r="T690"/>
          <cell r="U690"/>
          <cell r="V690"/>
          <cell r="W690"/>
          <cell r="X690"/>
          <cell r="Y690"/>
          <cell r="Z690"/>
          <cell r="AA690"/>
          <cell r="AB690"/>
          <cell r="AC690"/>
          <cell r="AD690"/>
          <cell r="AE690"/>
          <cell r="AF690"/>
          <cell r="AG690"/>
          <cell r="AH690"/>
          <cell r="AI690"/>
          <cell r="AJ690"/>
          <cell r="AK690"/>
          <cell r="AL690"/>
          <cell r="AM690"/>
          <cell r="AN690"/>
          <cell r="AO690"/>
          <cell r="AP690"/>
          <cell r="AQ690"/>
          <cell r="AR690"/>
          <cell r="AS690"/>
          <cell r="AT690"/>
          <cell r="AU690"/>
          <cell r="AV690"/>
          <cell r="AW690"/>
          <cell r="AX690"/>
          <cell r="AY690"/>
          <cell r="AZ690"/>
        </row>
        <row r="691">
          <cell r="A691"/>
          <cell r="B691"/>
          <cell r="C691"/>
          <cell r="D691"/>
          <cell r="E691"/>
          <cell r="F691"/>
          <cell r="G691"/>
          <cell r="H691"/>
          <cell r="I691"/>
          <cell r="J691"/>
          <cell r="K691"/>
          <cell r="L691"/>
          <cell r="M691"/>
          <cell r="N691"/>
          <cell r="O691"/>
          <cell r="P691"/>
          <cell r="Q691"/>
          <cell r="R691"/>
          <cell r="S691"/>
          <cell r="T691"/>
          <cell r="U691"/>
          <cell r="V691"/>
          <cell r="W691"/>
          <cell r="X691"/>
          <cell r="Y691"/>
          <cell r="Z691"/>
          <cell r="AA691"/>
          <cell r="AB691"/>
          <cell r="AC691"/>
          <cell r="AD691"/>
          <cell r="AE691"/>
          <cell r="AF691"/>
          <cell r="AG691"/>
          <cell r="AH691"/>
          <cell r="AI691"/>
          <cell r="AJ691"/>
          <cell r="AK691"/>
          <cell r="AL691"/>
          <cell r="AM691"/>
          <cell r="AN691"/>
          <cell r="AO691"/>
          <cell r="AP691"/>
          <cell r="AQ691"/>
          <cell r="AR691"/>
          <cell r="AS691"/>
          <cell r="AT691"/>
          <cell r="AU691"/>
          <cell r="AV691"/>
          <cell r="AW691"/>
          <cell r="AX691"/>
          <cell r="AY691"/>
          <cell r="AZ691"/>
        </row>
        <row r="692">
          <cell r="A692"/>
          <cell r="B692"/>
          <cell r="C692"/>
          <cell r="D692"/>
          <cell r="E692"/>
          <cell r="F692"/>
          <cell r="G692"/>
          <cell r="H692"/>
          <cell r="I692"/>
          <cell r="J692"/>
          <cell r="K692"/>
          <cell r="L692"/>
          <cell r="M692"/>
          <cell r="N692"/>
          <cell r="O692"/>
          <cell r="P692"/>
          <cell r="Q692"/>
          <cell r="R692"/>
          <cell r="S692"/>
          <cell r="T692"/>
          <cell r="U692"/>
          <cell r="V692"/>
          <cell r="W692"/>
          <cell r="X692"/>
          <cell r="Y692"/>
          <cell r="Z692"/>
          <cell r="AA692"/>
          <cell r="AB692"/>
          <cell r="AC692"/>
          <cell r="AD692"/>
          <cell r="AE692"/>
          <cell r="AF692"/>
          <cell r="AG692"/>
          <cell r="AH692"/>
          <cell r="AI692"/>
          <cell r="AJ692"/>
          <cell r="AK692"/>
          <cell r="AL692"/>
          <cell r="AM692"/>
          <cell r="AN692"/>
          <cell r="AO692"/>
          <cell r="AP692"/>
          <cell r="AQ692"/>
          <cell r="AR692"/>
          <cell r="AS692"/>
          <cell r="AT692"/>
          <cell r="AU692"/>
          <cell r="AV692"/>
          <cell r="AW692"/>
          <cell r="AX692"/>
          <cell r="AY692"/>
          <cell r="AZ692"/>
        </row>
        <row r="693">
          <cell r="A693"/>
          <cell r="B693"/>
          <cell r="C693"/>
          <cell r="D693"/>
          <cell r="E693"/>
          <cell r="F693"/>
          <cell r="G693"/>
          <cell r="H693"/>
          <cell r="I693"/>
          <cell r="J693"/>
          <cell r="K693"/>
          <cell r="L693"/>
          <cell r="M693"/>
          <cell r="N693"/>
          <cell r="O693"/>
          <cell r="P693"/>
          <cell r="Q693"/>
          <cell r="R693"/>
          <cell r="S693"/>
          <cell r="T693"/>
          <cell r="U693"/>
          <cell r="V693"/>
          <cell r="W693"/>
          <cell r="X693"/>
          <cell r="Y693"/>
          <cell r="Z693"/>
          <cell r="AA693"/>
          <cell r="AB693"/>
          <cell r="AC693"/>
          <cell r="AD693"/>
          <cell r="AE693"/>
          <cell r="AF693"/>
          <cell r="AG693"/>
          <cell r="AH693"/>
          <cell r="AI693"/>
          <cell r="AJ693"/>
          <cell r="AK693"/>
          <cell r="AL693"/>
          <cell r="AM693"/>
          <cell r="AN693"/>
          <cell r="AO693"/>
          <cell r="AP693"/>
          <cell r="AQ693"/>
          <cell r="AR693"/>
          <cell r="AS693"/>
          <cell r="AT693"/>
          <cell r="AU693"/>
          <cell r="AV693"/>
          <cell r="AW693"/>
          <cell r="AX693"/>
          <cell r="AY693"/>
          <cell r="AZ693"/>
        </row>
        <row r="694">
          <cell r="A694"/>
          <cell r="B694"/>
          <cell r="C694"/>
          <cell r="D694"/>
          <cell r="E694"/>
          <cell r="F694"/>
          <cell r="G694"/>
          <cell r="H694"/>
          <cell r="I694"/>
          <cell r="J694"/>
          <cell r="K694"/>
          <cell r="L694"/>
          <cell r="M694"/>
          <cell r="N694"/>
          <cell r="O694"/>
          <cell r="P694"/>
          <cell r="Q694"/>
          <cell r="R694"/>
          <cell r="S694"/>
          <cell r="T694"/>
          <cell r="U694"/>
          <cell r="V694"/>
          <cell r="W694"/>
          <cell r="X694"/>
          <cell r="Y694"/>
          <cell r="Z694"/>
          <cell r="AA694"/>
          <cell r="AB694"/>
          <cell r="AC694"/>
          <cell r="AD694"/>
          <cell r="AE694"/>
          <cell r="AF694"/>
          <cell r="AG694"/>
          <cell r="AH694"/>
          <cell r="AI694"/>
          <cell r="AJ694"/>
          <cell r="AK694"/>
          <cell r="AL694"/>
          <cell r="AM694"/>
          <cell r="AN694"/>
          <cell r="AO694"/>
          <cell r="AP694"/>
          <cell r="AQ694"/>
          <cell r="AR694"/>
          <cell r="AS694"/>
          <cell r="AT694"/>
          <cell r="AU694"/>
          <cell r="AV694"/>
          <cell r="AW694"/>
          <cell r="AX694"/>
          <cell r="AY694"/>
          <cell r="AZ694"/>
        </row>
        <row r="695">
          <cell r="A695"/>
          <cell r="B695"/>
          <cell r="C695"/>
          <cell r="D695"/>
          <cell r="E695"/>
          <cell r="F695"/>
          <cell r="G695"/>
          <cell r="H695"/>
          <cell r="I695"/>
          <cell r="J695"/>
          <cell r="K695"/>
          <cell r="L695"/>
          <cell r="M695"/>
          <cell r="N695"/>
          <cell r="O695"/>
          <cell r="P695"/>
          <cell r="Q695"/>
          <cell r="R695"/>
          <cell r="S695"/>
          <cell r="T695"/>
          <cell r="U695"/>
          <cell r="V695"/>
          <cell r="W695"/>
          <cell r="X695"/>
          <cell r="Y695"/>
          <cell r="Z695"/>
          <cell r="AA695"/>
          <cell r="AB695"/>
          <cell r="AC695"/>
          <cell r="AD695"/>
          <cell r="AE695"/>
          <cell r="AF695"/>
          <cell r="AG695"/>
          <cell r="AH695"/>
          <cell r="AI695"/>
          <cell r="AJ695"/>
          <cell r="AK695"/>
          <cell r="AL695"/>
          <cell r="AM695"/>
          <cell r="AN695"/>
          <cell r="AO695"/>
          <cell r="AP695"/>
          <cell r="AQ695"/>
          <cell r="AR695"/>
          <cell r="AS695"/>
          <cell r="AT695"/>
          <cell r="AU695"/>
          <cell r="AV695"/>
          <cell r="AW695"/>
          <cell r="AX695"/>
          <cell r="AY695"/>
          <cell r="AZ695"/>
        </row>
        <row r="696">
          <cell r="A696"/>
          <cell r="B696"/>
          <cell r="C696"/>
          <cell r="D696"/>
          <cell r="E696"/>
          <cell r="F696"/>
          <cell r="G696"/>
          <cell r="H696"/>
          <cell r="I696"/>
          <cell r="J696"/>
          <cell r="K696"/>
          <cell r="L696"/>
          <cell r="M696"/>
          <cell r="N696"/>
          <cell r="O696"/>
          <cell r="P696"/>
          <cell r="Q696"/>
          <cell r="R696"/>
          <cell r="S696"/>
          <cell r="T696"/>
          <cell r="U696"/>
          <cell r="V696"/>
          <cell r="W696"/>
          <cell r="X696"/>
          <cell r="Y696"/>
          <cell r="Z696"/>
          <cell r="AA696"/>
          <cell r="AB696"/>
          <cell r="AC696"/>
          <cell r="AD696"/>
          <cell r="AE696"/>
          <cell r="AF696"/>
          <cell r="AG696"/>
          <cell r="AH696"/>
          <cell r="AI696"/>
          <cell r="AJ696"/>
          <cell r="AK696"/>
          <cell r="AL696"/>
          <cell r="AM696"/>
          <cell r="AN696"/>
          <cell r="AO696"/>
          <cell r="AP696"/>
          <cell r="AQ696"/>
          <cell r="AR696"/>
          <cell r="AS696"/>
          <cell r="AT696"/>
          <cell r="AU696"/>
          <cell r="AV696"/>
          <cell r="AW696"/>
          <cell r="AX696"/>
          <cell r="AY696"/>
          <cell r="AZ696"/>
        </row>
        <row r="697">
          <cell r="A697"/>
          <cell r="B697"/>
          <cell r="C697"/>
          <cell r="D697"/>
          <cell r="E697"/>
          <cell r="F697"/>
          <cell r="G697"/>
          <cell r="H697"/>
          <cell r="I697"/>
          <cell r="J697"/>
          <cell r="K697"/>
          <cell r="L697"/>
          <cell r="M697"/>
          <cell r="N697"/>
          <cell r="O697"/>
          <cell r="P697"/>
          <cell r="Q697"/>
          <cell r="R697"/>
          <cell r="S697"/>
          <cell r="T697"/>
          <cell r="U697"/>
          <cell r="V697"/>
          <cell r="W697"/>
          <cell r="X697"/>
          <cell r="Y697"/>
          <cell r="Z697"/>
          <cell r="AA697"/>
          <cell r="AB697"/>
          <cell r="AC697"/>
          <cell r="AD697"/>
          <cell r="AE697"/>
          <cell r="AF697"/>
          <cell r="AG697"/>
          <cell r="AH697"/>
          <cell r="AI697"/>
          <cell r="AJ697"/>
          <cell r="AK697"/>
          <cell r="AL697"/>
          <cell r="AM697"/>
          <cell r="AN697"/>
          <cell r="AO697"/>
          <cell r="AP697"/>
          <cell r="AQ697"/>
          <cell r="AR697"/>
          <cell r="AS697"/>
          <cell r="AT697"/>
          <cell r="AU697"/>
          <cell r="AV697"/>
          <cell r="AW697"/>
          <cell r="AX697"/>
          <cell r="AY697"/>
          <cell r="AZ697"/>
        </row>
        <row r="698">
          <cell r="A698"/>
          <cell r="B698"/>
          <cell r="C698"/>
          <cell r="D698"/>
          <cell r="E698"/>
          <cell r="F698"/>
          <cell r="G698"/>
          <cell r="H698"/>
          <cell r="I698"/>
          <cell r="J698"/>
          <cell r="K698"/>
          <cell r="L698"/>
          <cell r="M698"/>
          <cell r="N698"/>
          <cell r="O698"/>
          <cell r="P698"/>
          <cell r="Q698"/>
          <cell r="R698"/>
          <cell r="S698"/>
          <cell r="T698"/>
          <cell r="U698"/>
          <cell r="V698"/>
          <cell r="W698"/>
          <cell r="X698"/>
          <cell r="Y698"/>
          <cell r="Z698"/>
          <cell r="AA698"/>
          <cell r="AB698"/>
          <cell r="AC698"/>
          <cell r="AD698"/>
          <cell r="AE698"/>
          <cell r="AF698"/>
          <cell r="AG698"/>
          <cell r="AH698"/>
          <cell r="AI698"/>
          <cell r="AJ698"/>
          <cell r="AK698"/>
          <cell r="AL698"/>
          <cell r="AM698"/>
          <cell r="AN698"/>
          <cell r="AO698"/>
          <cell r="AP698"/>
          <cell r="AQ698"/>
          <cell r="AR698"/>
          <cell r="AS698"/>
          <cell r="AT698"/>
          <cell r="AU698"/>
          <cell r="AV698"/>
          <cell r="AW698"/>
          <cell r="AX698"/>
          <cell r="AY698"/>
          <cell r="AZ698"/>
        </row>
        <row r="699">
          <cell r="A699"/>
          <cell r="B699"/>
          <cell r="C699"/>
          <cell r="D699"/>
          <cell r="E699"/>
          <cell r="F699"/>
          <cell r="G699"/>
          <cell r="H699"/>
          <cell r="I699"/>
          <cell r="J699"/>
          <cell r="K699"/>
          <cell r="L699"/>
          <cell r="M699"/>
          <cell r="N699"/>
          <cell r="O699"/>
          <cell r="P699"/>
          <cell r="Q699"/>
          <cell r="R699"/>
          <cell r="S699"/>
          <cell r="T699"/>
          <cell r="U699"/>
          <cell r="V699"/>
          <cell r="W699"/>
          <cell r="X699"/>
          <cell r="Y699"/>
          <cell r="Z699"/>
          <cell r="AA699"/>
          <cell r="AB699"/>
          <cell r="AC699"/>
          <cell r="AD699"/>
          <cell r="AE699"/>
          <cell r="AF699"/>
          <cell r="AG699"/>
          <cell r="AH699"/>
          <cell r="AI699"/>
          <cell r="AJ699"/>
          <cell r="AK699"/>
          <cell r="AL699"/>
          <cell r="AM699"/>
          <cell r="AN699"/>
          <cell r="AO699"/>
          <cell r="AP699"/>
          <cell r="AQ699"/>
          <cell r="AR699"/>
          <cell r="AS699"/>
          <cell r="AT699"/>
          <cell r="AU699"/>
          <cell r="AV699"/>
          <cell r="AW699"/>
          <cell r="AX699"/>
          <cell r="AY699"/>
          <cell r="AZ699"/>
        </row>
        <row r="700">
          <cell r="A700"/>
          <cell r="B700"/>
          <cell r="C700"/>
          <cell r="D700"/>
          <cell r="E700"/>
          <cell r="F700"/>
          <cell r="G700"/>
          <cell r="H700"/>
          <cell r="I700"/>
          <cell r="J700"/>
          <cell r="K700"/>
          <cell r="L700"/>
          <cell r="M700"/>
          <cell r="N700"/>
          <cell r="O700"/>
          <cell r="P700"/>
          <cell r="Q700"/>
          <cell r="R700"/>
          <cell r="S700"/>
          <cell r="T700"/>
          <cell r="U700"/>
          <cell r="V700"/>
          <cell r="W700"/>
          <cell r="X700"/>
          <cell r="Y700"/>
          <cell r="Z700"/>
          <cell r="AA700"/>
          <cell r="AB700"/>
          <cell r="AC700"/>
          <cell r="AD700"/>
          <cell r="AE700"/>
          <cell r="AF700"/>
          <cell r="AG700"/>
          <cell r="AH700"/>
          <cell r="AI700"/>
          <cell r="AJ700"/>
          <cell r="AK700"/>
          <cell r="AL700"/>
          <cell r="AM700"/>
          <cell r="AN700"/>
          <cell r="AO700"/>
          <cell r="AP700"/>
          <cell r="AQ700"/>
          <cell r="AR700"/>
          <cell r="AS700"/>
          <cell r="AT700"/>
          <cell r="AU700"/>
          <cell r="AV700"/>
          <cell r="AW700"/>
          <cell r="AX700"/>
          <cell r="AY700"/>
          <cell r="AZ700"/>
        </row>
        <row r="701">
          <cell r="A701"/>
          <cell r="B701"/>
          <cell r="C701"/>
          <cell r="D701"/>
          <cell r="E701"/>
          <cell r="F701"/>
          <cell r="G701"/>
          <cell r="H701"/>
          <cell r="I701"/>
          <cell r="J701"/>
          <cell r="K701"/>
          <cell r="L701"/>
          <cell r="M701"/>
          <cell r="N701"/>
          <cell r="O701"/>
          <cell r="P701"/>
          <cell r="Q701"/>
          <cell r="R701"/>
          <cell r="S701"/>
          <cell r="T701"/>
          <cell r="U701"/>
          <cell r="V701"/>
          <cell r="W701"/>
          <cell r="X701"/>
          <cell r="Y701"/>
          <cell r="Z701"/>
          <cell r="AA701"/>
          <cell r="AB701"/>
          <cell r="AC701"/>
          <cell r="AD701"/>
          <cell r="AE701"/>
          <cell r="AF701"/>
          <cell r="AG701"/>
          <cell r="AH701"/>
          <cell r="AI701"/>
          <cell r="AJ701"/>
          <cell r="AK701"/>
          <cell r="AL701"/>
          <cell r="AM701"/>
          <cell r="AN701"/>
          <cell r="AO701"/>
          <cell r="AP701"/>
          <cell r="AQ701"/>
          <cell r="AR701"/>
          <cell r="AS701"/>
          <cell r="AT701"/>
          <cell r="AU701"/>
          <cell r="AV701"/>
          <cell r="AW701"/>
          <cell r="AX701"/>
          <cell r="AY701"/>
          <cell r="AZ701"/>
        </row>
        <row r="702">
          <cell r="A702"/>
          <cell r="B702"/>
          <cell r="C702"/>
          <cell r="D702"/>
          <cell r="E702"/>
          <cell r="F702"/>
          <cell r="G702"/>
          <cell r="H702"/>
          <cell r="I702"/>
          <cell r="J702"/>
          <cell r="K702"/>
          <cell r="L702"/>
          <cell r="M702"/>
          <cell r="N702"/>
          <cell r="O702"/>
          <cell r="P702"/>
          <cell r="Q702"/>
          <cell r="R702"/>
          <cell r="S702"/>
          <cell r="T702"/>
          <cell r="U702"/>
          <cell r="V702"/>
          <cell r="W702"/>
          <cell r="X702"/>
          <cell r="Y702"/>
          <cell r="Z702"/>
          <cell r="AA702"/>
          <cell r="AB702"/>
          <cell r="AC702"/>
          <cell r="AD702"/>
          <cell r="AE702"/>
          <cell r="AF702"/>
          <cell r="AG702"/>
          <cell r="AH702"/>
          <cell r="AI702"/>
          <cell r="AJ702"/>
          <cell r="AK702"/>
          <cell r="AL702"/>
          <cell r="AM702"/>
          <cell r="AN702"/>
          <cell r="AO702"/>
          <cell r="AP702"/>
          <cell r="AQ702"/>
          <cell r="AR702"/>
          <cell r="AS702"/>
          <cell r="AT702"/>
          <cell r="AU702"/>
          <cell r="AV702"/>
          <cell r="AW702"/>
          <cell r="AX702"/>
          <cell r="AY702"/>
          <cell r="AZ702"/>
        </row>
        <row r="703">
          <cell r="A703"/>
          <cell r="B703"/>
          <cell r="C703"/>
          <cell r="D703"/>
          <cell r="E703"/>
          <cell r="F703"/>
          <cell r="G703"/>
          <cell r="H703"/>
          <cell r="I703"/>
          <cell r="J703"/>
          <cell r="K703"/>
          <cell r="L703"/>
          <cell r="M703"/>
          <cell r="N703"/>
          <cell r="O703"/>
          <cell r="P703"/>
          <cell r="Q703"/>
          <cell r="R703"/>
          <cell r="S703"/>
          <cell r="T703"/>
          <cell r="U703"/>
          <cell r="V703"/>
          <cell r="W703"/>
          <cell r="X703"/>
          <cell r="Y703"/>
          <cell r="Z703"/>
          <cell r="AA703"/>
          <cell r="AB703"/>
          <cell r="AC703"/>
          <cell r="AD703"/>
          <cell r="AE703"/>
          <cell r="AF703"/>
          <cell r="AG703"/>
          <cell r="AH703"/>
          <cell r="AI703"/>
          <cell r="AJ703"/>
          <cell r="AK703"/>
          <cell r="AL703"/>
          <cell r="AM703"/>
          <cell r="AN703"/>
          <cell r="AO703"/>
          <cell r="AP703"/>
          <cell r="AQ703"/>
          <cell r="AR703"/>
          <cell r="AS703"/>
          <cell r="AT703"/>
          <cell r="AU703"/>
          <cell r="AV703"/>
          <cell r="AW703"/>
          <cell r="AX703"/>
          <cell r="AY703"/>
          <cell r="AZ703"/>
        </row>
        <row r="704">
          <cell r="A704"/>
          <cell r="B704"/>
          <cell r="C704"/>
          <cell r="D704"/>
          <cell r="E704"/>
          <cell r="F704"/>
          <cell r="G704"/>
          <cell r="H704"/>
          <cell r="I704"/>
          <cell r="J704"/>
          <cell r="K704"/>
          <cell r="L704"/>
          <cell r="M704"/>
          <cell r="N704"/>
          <cell r="O704"/>
          <cell r="P704"/>
          <cell r="Q704"/>
          <cell r="R704"/>
          <cell r="S704"/>
          <cell r="T704"/>
          <cell r="U704"/>
          <cell r="V704"/>
          <cell r="W704"/>
          <cell r="X704"/>
          <cell r="Y704"/>
          <cell r="Z704"/>
          <cell r="AA704"/>
          <cell r="AB704"/>
          <cell r="AC704"/>
          <cell r="AD704"/>
          <cell r="AE704"/>
          <cell r="AF704"/>
          <cell r="AG704"/>
          <cell r="AH704"/>
          <cell r="AI704"/>
          <cell r="AJ704"/>
          <cell r="AK704"/>
          <cell r="AL704"/>
          <cell r="AM704"/>
          <cell r="AN704"/>
          <cell r="AO704"/>
          <cell r="AP704"/>
          <cell r="AQ704"/>
          <cell r="AR704"/>
          <cell r="AS704"/>
          <cell r="AT704"/>
          <cell r="AU704"/>
          <cell r="AV704"/>
          <cell r="AW704"/>
          <cell r="AX704"/>
          <cell r="AY704"/>
          <cell r="AZ704"/>
        </row>
        <row r="705">
          <cell r="A705"/>
          <cell r="B705"/>
          <cell r="C705"/>
          <cell r="D705"/>
          <cell r="E705"/>
          <cell r="F705"/>
          <cell r="G705"/>
          <cell r="H705"/>
          <cell r="I705"/>
          <cell r="J705"/>
          <cell r="K705"/>
          <cell r="L705"/>
          <cell r="M705"/>
          <cell r="N705"/>
          <cell r="O705"/>
          <cell r="P705"/>
          <cell r="Q705"/>
          <cell r="R705"/>
          <cell r="S705"/>
          <cell r="T705"/>
          <cell r="U705"/>
          <cell r="V705"/>
          <cell r="W705"/>
          <cell r="X705"/>
          <cell r="Y705"/>
          <cell r="Z705"/>
          <cell r="AA705"/>
          <cell r="AB705"/>
          <cell r="AC705"/>
          <cell r="AD705"/>
          <cell r="AE705"/>
          <cell r="AF705"/>
          <cell r="AG705"/>
          <cell r="AH705"/>
          <cell r="AI705"/>
          <cell r="AJ705"/>
          <cell r="AK705"/>
          <cell r="AL705"/>
          <cell r="AM705"/>
          <cell r="AN705"/>
          <cell r="AO705"/>
          <cell r="AP705"/>
          <cell r="AQ705"/>
          <cell r="AR705"/>
          <cell r="AS705"/>
          <cell r="AT705"/>
          <cell r="AU705"/>
          <cell r="AV705"/>
          <cell r="AW705"/>
          <cell r="AX705"/>
          <cell r="AY705"/>
          <cell r="AZ705"/>
        </row>
        <row r="706">
          <cell r="A706"/>
          <cell r="B706"/>
          <cell r="C706"/>
          <cell r="D706"/>
          <cell r="E706"/>
          <cell r="F706"/>
          <cell r="G706"/>
          <cell r="H706"/>
          <cell r="I706"/>
          <cell r="J706"/>
          <cell r="K706"/>
          <cell r="L706"/>
          <cell r="M706"/>
          <cell r="N706"/>
          <cell r="O706"/>
          <cell r="P706"/>
          <cell r="Q706"/>
          <cell r="R706"/>
          <cell r="S706"/>
          <cell r="T706"/>
          <cell r="U706"/>
          <cell r="V706"/>
          <cell r="W706"/>
          <cell r="X706"/>
          <cell r="Y706"/>
          <cell r="Z706"/>
          <cell r="AA706"/>
          <cell r="AB706"/>
          <cell r="AC706"/>
          <cell r="AD706"/>
          <cell r="AE706"/>
          <cell r="AF706"/>
          <cell r="AG706"/>
          <cell r="AH706"/>
          <cell r="AI706"/>
          <cell r="AJ706"/>
          <cell r="AK706"/>
          <cell r="AL706"/>
          <cell r="AM706"/>
          <cell r="AN706"/>
          <cell r="AO706"/>
          <cell r="AP706"/>
          <cell r="AQ706"/>
          <cell r="AR706"/>
          <cell r="AS706"/>
          <cell r="AT706"/>
          <cell r="AU706"/>
          <cell r="AV706"/>
          <cell r="AW706"/>
          <cell r="AX706"/>
          <cell r="AY706"/>
          <cell r="AZ706"/>
        </row>
        <row r="707">
          <cell r="A707"/>
          <cell r="B707"/>
          <cell r="C707"/>
          <cell r="D707"/>
          <cell r="E707"/>
          <cell r="F707"/>
          <cell r="G707"/>
          <cell r="H707"/>
          <cell r="I707"/>
          <cell r="J707"/>
          <cell r="K707"/>
          <cell r="L707"/>
          <cell r="M707"/>
          <cell r="N707"/>
          <cell r="O707"/>
          <cell r="P707"/>
          <cell r="Q707"/>
          <cell r="R707"/>
          <cell r="S707"/>
          <cell r="T707"/>
          <cell r="U707"/>
          <cell r="V707"/>
          <cell r="W707"/>
          <cell r="X707"/>
          <cell r="Y707"/>
          <cell r="Z707"/>
          <cell r="AA707"/>
          <cell r="AB707"/>
          <cell r="AC707"/>
          <cell r="AD707"/>
          <cell r="AE707"/>
          <cell r="AF707"/>
          <cell r="AG707"/>
          <cell r="AH707"/>
          <cell r="AI707"/>
          <cell r="AJ707"/>
          <cell r="AK707"/>
          <cell r="AL707"/>
          <cell r="AM707"/>
          <cell r="AN707"/>
          <cell r="AO707"/>
          <cell r="AP707"/>
          <cell r="AQ707"/>
          <cell r="AR707"/>
          <cell r="AS707"/>
          <cell r="AT707"/>
          <cell r="AU707"/>
          <cell r="AV707"/>
          <cell r="AW707"/>
          <cell r="AX707"/>
          <cell r="AY707"/>
          <cell r="AZ707"/>
        </row>
        <row r="708">
          <cell r="A708"/>
          <cell r="B708"/>
          <cell r="C708"/>
          <cell r="D708"/>
          <cell r="E708"/>
          <cell r="F708"/>
          <cell r="G708"/>
          <cell r="H708"/>
          <cell r="I708"/>
          <cell r="J708"/>
          <cell r="K708"/>
          <cell r="L708"/>
          <cell r="M708"/>
          <cell r="N708"/>
          <cell r="O708"/>
          <cell r="P708"/>
          <cell r="Q708"/>
          <cell r="R708"/>
          <cell r="S708"/>
          <cell r="T708"/>
          <cell r="U708"/>
          <cell r="V708"/>
          <cell r="W708"/>
          <cell r="X708"/>
          <cell r="Y708"/>
          <cell r="Z708"/>
          <cell r="AA708"/>
          <cell r="AB708"/>
          <cell r="AC708"/>
          <cell r="AD708"/>
          <cell r="AE708"/>
          <cell r="AF708"/>
          <cell r="AG708"/>
          <cell r="AH708"/>
          <cell r="AI708"/>
          <cell r="AJ708"/>
          <cell r="AK708"/>
          <cell r="AL708"/>
          <cell r="AM708"/>
          <cell r="AN708"/>
          <cell r="AO708"/>
          <cell r="AP708"/>
          <cell r="AQ708"/>
          <cell r="AR708"/>
          <cell r="AS708"/>
          <cell r="AT708"/>
          <cell r="AU708"/>
          <cell r="AV708"/>
          <cell r="AW708"/>
          <cell r="AX708"/>
          <cell r="AY708"/>
          <cell r="AZ708"/>
        </row>
        <row r="709">
          <cell r="A709"/>
          <cell r="B709"/>
          <cell r="C709"/>
          <cell r="D709"/>
          <cell r="E709"/>
          <cell r="F709"/>
          <cell r="G709"/>
          <cell r="H709"/>
          <cell r="I709"/>
          <cell r="J709"/>
          <cell r="K709"/>
          <cell r="L709"/>
          <cell r="M709"/>
          <cell r="N709"/>
          <cell r="O709"/>
          <cell r="P709"/>
          <cell r="Q709"/>
          <cell r="R709"/>
          <cell r="S709"/>
          <cell r="T709"/>
          <cell r="U709"/>
          <cell r="V709"/>
          <cell r="W709"/>
          <cell r="X709"/>
          <cell r="Y709"/>
          <cell r="Z709"/>
          <cell r="AA709"/>
          <cell r="AB709"/>
          <cell r="AC709"/>
          <cell r="AD709"/>
          <cell r="AE709"/>
          <cell r="AF709"/>
          <cell r="AG709"/>
          <cell r="AH709"/>
          <cell r="AI709"/>
          <cell r="AJ709"/>
          <cell r="AK709"/>
          <cell r="AL709"/>
          <cell r="AM709"/>
          <cell r="AN709"/>
          <cell r="AO709"/>
          <cell r="AP709"/>
          <cell r="AQ709"/>
          <cell r="AR709"/>
          <cell r="AS709"/>
          <cell r="AT709"/>
          <cell r="AU709"/>
          <cell r="AV709"/>
          <cell r="AW709"/>
          <cell r="AX709"/>
          <cell r="AY709"/>
          <cell r="AZ709"/>
        </row>
        <row r="710">
          <cell r="A710"/>
          <cell r="B710"/>
          <cell r="C710"/>
          <cell r="D710"/>
          <cell r="E710"/>
          <cell r="F710"/>
          <cell r="G710"/>
          <cell r="H710"/>
          <cell r="I710"/>
          <cell r="J710"/>
          <cell r="K710"/>
          <cell r="L710"/>
          <cell r="M710"/>
          <cell r="N710"/>
          <cell r="O710"/>
          <cell r="P710"/>
          <cell r="Q710"/>
          <cell r="R710"/>
          <cell r="S710"/>
          <cell r="T710"/>
          <cell r="U710"/>
          <cell r="V710"/>
          <cell r="W710"/>
          <cell r="X710"/>
          <cell r="Y710"/>
          <cell r="Z710"/>
          <cell r="AA710"/>
          <cell r="AB710"/>
          <cell r="AC710"/>
          <cell r="AD710"/>
          <cell r="AE710"/>
          <cell r="AF710"/>
          <cell r="AG710"/>
          <cell r="AH710"/>
          <cell r="AI710"/>
          <cell r="AJ710"/>
          <cell r="AK710"/>
          <cell r="AL710"/>
          <cell r="AM710"/>
          <cell r="AN710"/>
          <cell r="AO710"/>
          <cell r="AP710"/>
          <cell r="AQ710"/>
          <cell r="AR710"/>
          <cell r="AS710"/>
          <cell r="AT710"/>
          <cell r="AU710"/>
          <cell r="AV710"/>
          <cell r="AW710"/>
          <cell r="AX710"/>
          <cell r="AY710"/>
          <cell r="AZ710"/>
        </row>
        <row r="711">
          <cell r="A711"/>
          <cell r="B711"/>
          <cell r="C711"/>
          <cell r="D711"/>
          <cell r="E711"/>
          <cell r="F711"/>
          <cell r="G711"/>
          <cell r="H711"/>
          <cell r="I711"/>
          <cell r="J711"/>
          <cell r="K711"/>
          <cell r="L711"/>
          <cell r="M711"/>
          <cell r="N711"/>
          <cell r="O711"/>
          <cell r="P711"/>
          <cell r="Q711"/>
          <cell r="R711"/>
          <cell r="S711"/>
          <cell r="T711"/>
          <cell r="U711"/>
          <cell r="V711"/>
          <cell r="W711"/>
          <cell r="X711"/>
          <cell r="Y711"/>
          <cell r="Z711"/>
          <cell r="AA711"/>
          <cell r="AB711"/>
          <cell r="AC711"/>
          <cell r="AD711"/>
          <cell r="AE711"/>
          <cell r="AF711"/>
          <cell r="AG711"/>
          <cell r="AH711"/>
          <cell r="AI711"/>
          <cell r="AJ711"/>
          <cell r="AK711"/>
          <cell r="AL711"/>
          <cell r="AM711"/>
          <cell r="AN711"/>
          <cell r="AO711"/>
          <cell r="AP711"/>
          <cell r="AQ711"/>
          <cell r="AR711"/>
          <cell r="AS711"/>
          <cell r="AT711"/>
          <cell r="AU711"/>
          <cell r="AV711"/>
          <cell r="AW711"/>
          <cell r="AX711"/>
          <cell r="AY711"/>
          <cell r="AZ711"/>
        </row>
        <row r="712">
          <cell r="A712"/>
          <cell r="B712"/>
          <cell r="C712"/>
          <cell r="D712"/>
          <cell r="E712"/>
          <cell r="F712"/>
          <cell r="G712"/>
          <cell r="H712"/>
          <cell r="I712"/>
          <cell r="J712"/>
          <cell r="K712"/>
          <cell r="L712"/>
          <cell r="M712"/>
          <cell r="N712"/>
          <cell r="O712"/>
          <cell r="P712"/>
          <cell r="Q712"/>
          <cell r="R712"/>
          <cell r="S712"/>
          <cell r="T712"/>
          <cell r="U712"/>
          <cell r="V712"/>
          <cell r="W712"/>
          <cell r="X712"/>
          <cell r="Y712"/>
          <cell r="Z712"/>
          <cell r="AA712"/>
          <cell r="AB712"/>
          <cell r="AC712"/>
          <cell r="AD712"/>
          <cell r="AE712"/>
          <cell r="AF712"/>
          <cell r="AG712"/>
          <cell r="AH712"/>
          <cell r="AI712"/>
          <cell r="AJ712"/>
          <cell r="AK712"/>
          <cell r="AL712"/>
          <cell r="AM712"/>
          <cell r="AN712"/>
          <cell r="AO712"/>
          <cell r="AP712"/>
          <cell r="AQ712"/>
          <cell r="AR712"/>
          <cell r="AS712"/>
          <cell r="AT712"/>
          <cell r="AU712"/>
          <cell r="AV712"/>
          <cell r="AW712"/>
          <cell r="AX712"/>
          <cell r="AY712"/>
          <cell r="AZ712"/>
        </row>
        <row r="713">
          <cell r="A713"/>
          <cell r="B713"/>
          <cell r="C713"/>
          <cell r="D713"/>
          <cell r="E713"/>
          <cell r="F713"/>
          <cell r="G713"/>
          <cell r="H713"/>
          <cell r="I713"/>
          <cell r="J713"/>
          <cell r="K713"/>
          <cell r="L713"/>
          <cell r="M713"/>
          <cell r="N713"/>
          <cell r="O713"/>
          <cell r="P713"/>
          <cell r="Q713"/>
          <cell r="R713"/>
          <cell r="S713"/>
          <cell r="T713"/>
          <cell r="U713"/>
          <cell r="V713"/>
          <cell r="W713"/>
          <cell r="X713"/>
          <cell r="Y713"/>
          <cell r="Z713"/>
          <cell r="AA713"/>
          <cell r="AB713"/>
          <cell r="AC713"/>
          <cell r="AD713"/>
          <cell r="AE713"/>
          <cell r="AF713"/>
          <cell r="AG713"/>
          <cell r="AH713"/>
          <cell r="AI713"/>
          <cell r="AJ713"/>
          <cell r="AK713"/>
          <cell r="AL713"/>
          <cell r="AM713"/>
          <cell r="AN713"/>
          <cell r="AO713"/>
          <cell r="AP713"/>
          <cell r="AQ713"/>
          <cell r="AR713"/>
          <cell r="AS713"/>
          <cell r="AT713"/>
          <cell r="AU713"/>
          <cell r="AV713"/>
          <cell r="AW713"/>
          <cell r="AX713"/>
          <cell r="AY713"/>
          <cell r="AZ713"/>
        </row>
        <row r="714">
          <cell r="A714"/>
          <cell r="B714"/>
          <cell r="C714"/>
          <cell r="D714"/>
          <cell r="E714"/>
          <cell r="F714"/>
          <cell r="G714"/>
          <cell r="H714"/>
          <cell r="I714"/>
          <cell r="J714"/>
          <cell r="K714"/>
          <cell r="L714"/>
          <cell r="M714"/>
          <cell r="N714"/>
          <cell r="O714"/>
          <cell r="P714"/>
          <cell r="Q714"/>
          <cell r="R714"/>
          <cell r="S714"/>
          <cell r="T714"/>
          <cell r="U714"/>
          <cell r="V714"/>
          <cell r="W714"/>
          <cell r="X714"/>
          <cell r="Y714"/>
          <cell r="Z714"/>
          <cell r="AA714"/>
          <cell r="AB714"/>
          <cell r="AC714"/>
          <cell r="AD714"/>
          <cell r="AE714"/>
          <cell r="AF714"/>
          <cell r="AG714"/>
          <cell r="AH714"/>
          <cell r="AI714"/>
          <cell r="AJ714"/>
          <cell r="AK714"/>
          <cell r="AL714"/>
          <cell r="AM714"/>
          <cell r="AN714"/>
          <cell r="AO714"/>
          <cell r="AP714"/>
          <cell r="AQ714"/>
          <cell r="AR714"/>
          <cell r="AS714"/>
          <cell r="AT714"/>
          <cell r="AU714"/>
          <cell r="AV714"/>
          <cell r="AW714"/>
          <cell r="AX714"/>
          <cell r="AY714"/>
          <cell r="AZ714"/>
        </row>
        <row r="715">
          <cell r="A715"/>
          <cell r="B715"/>
          <cell r="C715"/>
          <cell r="D715"/>
          <cell r="E715"/>
          <cell r="F715"/>
          <cell r="G715"/>
          <cell r="H715"/>
          <cell r="I715"/>
          <cell r="J715"/>
          <cell r="K715"/>
          <cell r="L715"/>
          <cell r="M715"/>
          <cell r="N715"/>
          <cell r="O715"/>
          <cell r="P715"/>
          <cell r="Q715"/>
          <cell r="R715"/>
          <cell r="S715"/>
          <cell r="T715"/>
          <cell r="U715"/>
          <cell r="V715"/>
          <cell r="W715"/>
          <cell r="X715"/>
          <cell r="Y715"/>
          <cell r="Z715"/>
          <cell r="AA715"/>
          <cell r="AB715"/>
          <cell r="AC715"/>
          <cell r="AD715"/>
          <cell r="AE715"/>
          <cell r="AF715"/>
          <cell r="AG715"/>
          <cell r="AH715"/>
          <cell r="AI715"/>
          <cell r="AJ715"/>
          <cell r="AK715"/>
          <cell r="AL715"/>
          <cell r="AM715"/>
          <cell r="AN715"/>
          <cell r="AO715"/>
          <cell r="AP715"/>
          <cell r="AQ715"/>
          <cell r="AR715"/>
          <cell r="AS715"/>
          <cell r="AT715"/>
          <cell r="AU715"/>
          <cell r="AV715"/>
          <cell r="AW715"/>
          <cell r="AX715"/>
          <cell r="AY715"/>
          <cell r="AZ715"/>
        </row>
        <row r="716">
          <cell r="A716"/>
          <cell r="B716"/>
          <cell r="C716"/>
          <cell r="D716"/>
          <cell r="E716"/>
          <cell r="F716"/>
          <cell r="G716"/>
          <cell r="H716"/>
          <cell r="I716"/>
          <cell r="J716"/>
          <cell r="K716"/>
          <cell r="L716"/>
          <cell r="M716"/>
          <cell r="N716"/>
          <cell r="O716"/>
          <cell r="P716"/>
          <cell r="Q716"/>
          <cell r="R716"/>
          <cell r="S716"/>
          <cell r="T716"/>
          <cell r="U716"/>
          <cell r="V716"/>
          <cell r="W716"/>
          <cell r="X716"/>
          <cell r="Y716"/>
          <cell r="Z716"/>
          <cell r="AA716"/>
          <cell r="AB716"/>
          <cell r="AC716"/>
          <cell r="AD716"/>
          <cell r="AE716"/>
          <cell r="AF716"/>
          <cell r="AG716"/>
          <cell r="AH716"/>
          <cell r="AI716"/>
          <cell r="AJ716"/>
          <cell r="AK716"/>
          <cell r="AL716"/>
          <cell r="AM716"/>
          <cell r="AN716"/>
          <cell r="AO716"/>
          <cell r="AP716"/>
          <cell r="AQ716"/>
          <cell r="AR716"/>
          <cell r="AS716"/>
          <cell r="AT716"/>
          <cell r="AU716"/>
          <cell r="AV716"/>
          <cell r="AW716"/>
          <cell r="AX716"/>
          <cell r="AY716"/>
          <cell r="AZ716"/>
        </row>
        <row r="717">
          <cell r="A717"/>
          <cell r="B717"/>
          <cell r="C717"/>
          <cell r="D717"/>
          <cell r="E717"/>
          <cell r="F717"/>
          <cell r="G717"/>
          <cell r="H717"/>
          <cell r="I717"/>
          <cell r="J717"/>
          <cell r="K717"/>
          <cell r="L717"/>
          <cell r="M717"/>
          <cell r="N717"/>
          <cell r="O717"/>
          <cell r="P717"/>
          <cell r="Q717"/>
          <cell r="R717"/>
          <cell r="S717"/>
          <cell r="T717"/>
          <cell r="U717"/>
          <cell r="V717"/>
          <cell r="W717"/>
          <cell r="X717"/>
          <cell r="Y717"/>
          <cell r="Z717"/>
          <cell r="AA717"/>
          <cell r="AB717"/>
          <cell r="AC717"/>
          <cell r="AD717"/>
          <cell r="AE717"/>
          <cell r="AF717"/>
          <cell r="AG717"/>
          <cell r="AH717"/>
          <cell r="AI717"/>
          <cell r="AJ717"/>
          <cell r="AK717"/>
          <cell r="AL717"/>
          <cell r="AM717"/>
          <cell r="AN717"/>
          <cell r="AO717"/>
          <cell r="AP717"/>
          <cell r="AQ717"/>
          <cell r="AR717"/>
          <cell r="AS717"/>
          <cell r="AT717"/>
          <cell r="AU717"/>
          <cell r="AV717"/>
          <cell r="AW717"/>
          <cell r="AX717"/>
          <cell r="AY717"/>
          <cell r="AZ717"/>
        </row>
        <row r="718">
          <cell r="A718"/>
          <cell r="B718"/>
          <cell r="C718"/>
          <cell r="D718"/>
          <cell r="E718"/>
          <cell r="F718"/>
          <cell r="G718"/>
          <cell r="H718"/>
          <cell r="I718"/>
          <cell r="J718"/>
          <cell r="K718"/>
          <cell r="L718"/>
          <cell r="M718"/>
          <cell r="N718"/>
          <cell r="O718"/>
          <cell r="P718"/>
          <cell r="Q718"/>
          <cell r="R718"/>
          <cell r="S718"/>
          <cell r="T718"/>
          <cell r="U718"/>
          <cell r="V718"/>
          <cell r="W718"/>
          <cell r="X718"/>
          <cell r="Y718"/>
          <cell r="Z718"/>
          <cell r="AA718"/>
          <cell r="AB718"/>
          <cell r="AC718"/>
          <cell r="AD718"/>
          <cell r="AE718"/>
          <cell r="AF718"/>
          <cell r="AG718"/>
          <cell r="AH718"/>
          <cell r="AI718"/>
          <cell r="AJ718"/>
          <cell r="AK718"/>
          <cell r="AL718"/>
          <cell r="AM718"/>
          <cell r="AN718"/>
          <cell r="AO718"/>
          <cell r="AP718"/>
          <cell r="AQ718"/>
          <cell r="AR718"/>
          <cell r="AS718"/>
          <cell r="AT718"/>
          <cell r="AU718"/>
          <cell r="AV718"/>
          <cell r="AW718"/>
          <cell r="AX718"/>
          <cell r="AY718"/>
          <cell r="AZ718"/>
        </row>
        <row r="719">
          <cell r="A719"/>
          <cell r="B719"/>
          <cell r="C719"/>
          <cell r="D719"/>
          <cell r="E719"/>
          <cell r="F719"/>
          <cell r="G719"/>
          <cell r="H719"/>
          <cell r="I719"/>
          <cell r="J719"/>
          <cell r="K719"/>
          <cell r="L719"/>
          <cell r="M719"/>
          <cell r="N719"/>
          <cell r="O719"/>
          <cell r="P719"/>
          <cell r="Q719"/>
          <cell r="R719"/>
          <cell r="S719"/>
          <cell r="T719"/>
          <cell r="U719"/>
          <cell r="V719"/>
          <cell r="W719"/>
          <cell r="X719"/>
          <cell r="Y719"/>
          <cell r="Z719"/>
          <cell r="AA719"/>
          <cell r="AB719"/>
          <cell r="AC719"/>
          <cell r="AD719"/>
          <cell r="AE719"/>
          <cell r="AF719"/>
          <cell r="AG719"/>
          <cell r="AH719"/>
          <cell r="AI719"/>
          <cell r="AJ719"/>
          <cell r="AK719"/>
          <cell r="AL719"/>
          <cell r="AM719"/>
          <cell r="AN719"/>
          <cell r="AO719"/>
          <cell r="AP719"/>
          <cell r="AQ719"/>
          <cell r="AR719"/>
          <cell r="AS719"/>
          <cell r="AT719"/>
          <cell r="AU719"/>
          <cell r="AV719"/>
          <cell r="AW719"/>
          <cell r="AX719"/>
          <cell r="AY719"/>
          <cell r="AZ719"/>
        </row>
        <row r="720">
          <cell r="A720"/>
          <cell r="B720"/>
          <cell r="C720"/>
          <cell r="D720"/>
          <cell r="E720"/>
          <cell r="F720"/>
          <cell r="G720"/>
          <cell r="H720"/>
          <cell r="I720"/>
          <cell r="J720"/>
          <cell r="K720"/>
          <cell r="L720"/>
          <cell r="M720"/>
          <cell r="N720"/>
          <cell r="O720"/>
          <cell r="P720"/>
          <cell r="Q720"/>
          <cell r="R720"/>
          <cell r="S720"/>
          <cell r="T720"/>
          <cell r="U720"/>
          <cell r="V720"/>
          <cell r="W720"/>
          <cell r="X720"/>
          <cell r="Y720"/>
          <cell r="Z720"/>
          <cell r="AA720"/>
          <cell r="AB720"/>
          <cell r="AC720"/>
          <cell r="AD720"/>
          <cell r="AE720"/>
          <cell r="AF720"/>
          <cell r="AG720"/>
          <cell r="AH720"/>
          <cell r="AI720"/>
          <cell r="AJ720"/>
          <cell r="AK720"/>
          <cell r="AL720"/>
          <cell r="AM720"/>
          <cell r="AN720"/>
          <cell r="AO720"/>
          <cell r="AP720"/>
          <cell r="AQ720"/>
          <cell r="AR720"/>
          <cell r="AS720"/>
          <cell r="AT720"/>
          <cell r="AU720"/>
          <cell r="AV720"/>
          <cell r="AW720"/>
          <cell r="AX720"/>
          <cell r="AY720"/>
          <cell r="AZ720"/>
        </row>
        <row r="721">
          <cell r="A721"/>
          <cell r="B721"/>
          <cell r="C721"/>
          <cell r="D721"/>
          <cell r="E721"/>
          <cell r="F721"/>
          <cell r="G721"/>
          <cell r="H721"/>
          <cell r="I721"/>
          <cell r="J721"/>
          <cell r="K721"/>
          <cell r="L721"/>
          <cell r="M721"/>
          <cell r="N721"/>
          <cell r="O721"/>
          <cell r="P721"/>
          <cell r="Q721"/>
          <cell r="R721"/>
          <cell r="S721"/>
          <cell r="T721"/>
          <cell r="U721"/>
          <cell r="V721"/>
          <cell r="W721"/>
          <cell r="X721"/>
          <cell r="Y721"/>
          <cell r="Z721"/>
          <cell r="AA721"/>
          <cell r="AB721"/>
          <cell r="AC721"/>
          <cell r="AD721"/>
          <cell r="AE721"/>
          <cell r="AF721"/>
          <cell r="AG721"/>
          <cell r="AH721"/>
          <cell r="AI721"/>
          <cell r="AJ721"/>
          <cell r="AK721"/>
          <cell r="AL721"/>
          <cell r="AM721"/>
          <cell r="AN721"/>
          <cell r="AO721"/>
          <cell r="AP721"/>
          <cell r="AQ721"/>
          <cell r="AR721"/>
          <cell r="AS721"/>
          <cell r="AT721"/>
          <cell r="AU721"/>
          <cell r="AV721"/>
          <cell r="AW721"/>
          <cell r="AX721"/>
          <cell r="AY721"/>
          <cell r="AZ721"/>
        </row>
        <row r="722">
          <cell r="A722"/>
          <cell r="B722"/>
          <cell r="C722"/>
          <cell r="D722"/>
          <cell r="E722"/>
          <cell r="F722"/>
          <cell r="G722"/>
          <cell r="H722"/>
          <cell r="I722"/>
          <cell r="J722"/>
          <cell r="K722"/>
          <cell r="L722"/>
          <cell r="M722"/>
          <cell r="N722"/>
          <cell r="O722"/>
          <cell r="P722"/>
          <cell r="Q722"/>
          <cell r="R722"/>
          <cell r="S722"/>
          <cell r="T722"/>
          <cell r="U722"/>
          <cell r="V722"/>
          <cell r="W722"/>
          <cell r="X722"/>
          <cell r="Y722"/>
          <cell r="Z722"/>
          <cell r="AA722"/>
          <cell r="AB722"/>
          <cell r="AC722"/>
          <cell r="AD722"/>
          <cell r="AE722"/>
          <cell r="AF722"/>
          <cell r="AG722"/>
          <cell r="AH722"/>
          <cell r="AI722"/>
          <cell r="AJ722"/>
          <cell r="AK722"/>
          <cell r="AL722"/>
          <cell r="AM722"/>
          <cell r="AN722"/>
          <cell r="AO722"/>
          <cell r="AP722"/>
          <cell r="AQ722"/>
          <cell r="AR722"/>
          <cell r="AS722"/>
          <cell r="AT722"/>
          <cell r="AU722"/>
          <cell r="AV722"/>
          <cell r="AW722"/>
          <cell r="AX722"/>
          <cell r="AY722"/>
          <cell r="AZ722"/>
        </row>
        <row r="723">
          <cell r="A723"/>
          <cell r="B723"/>
          <cell r="C723"/>
          <cell r="D723"/>
          <cell r="E723"/>
          <cell r="F723"/>
          <cell r="G723"/>
          <cell r="H723"/>
          <cell r="I723"/>
          <cell r="J723"/>
          <cell r="K723"/>
          <cell r="L723"/>
          <cell r="M723"/>
          <cell r="N723"/>
          <cell r="O723"/>
          <cell r="P723"/>
          <cell r="Q723"/>
          <cell r="R723"/>
          <cell r="S723"/>
          <cell r="T723"/>
          <cell r="U723"/>
          <cell r="V723"/>
          <cell r="W723"/>
          <cell r="X723"/>
          <cell r="Y723"/>
          <cell r="Z723"/>
          <cell r="AA723"/>
          <cell r="AB723"/>
          <cell r="AC723"/>
          <cell r="AD723"/>
          <cell r="AE723"/>
          <cell r="AF723"/>
          <cell r="AG723"/>
          <cell r="AH723"/>
          <cell r="AI723"/>
          <cell r="AJ723"/>
          <cell r="AK723"/>
          <cell r="AL723"/>
          <cell r="AM723"/>
          <cell r="AN723"/>
          <cell r="AO723"/>
          <cell r="AP723"/>
          <cell r="AQ723"/>
          <cell r="AR723"/>
          <cell r="AS723"/>
          <cell r="AT723"/>
          <cell r="AU723"/>
          <cell r="AV723"/>
          <cell r="AW723"/>
          <cell r="AX723"/>
          <cell r="AY723"/>
          <cell r="AZ723"/>
        </row>
        <row r="724">
          <cell r="A724"/>
          <cell r="B724"/>
          <cell r="C724"/>
          <cell r="D724"/>
          <cell r="E724"/>
          <cell r="F724"/>
          <cell r="G724"/>
          <cell r="H724"/>
          <cell r="I724"/>
          <cell r="J724"/>
          <cell r="K724"/>
          <cell r="L724"/>
          <cell r="M724"/>
          <cell r="N724"/>
          <cell r="O724"/>
          <cell r="P724"/>
          <cell r="Q724"/>
          <cell r="R724"/>
          <cell r="S724"/>
          <cell r="T724"/>
          <cell r="U724"/>
          <cell r="V724"/>
          <cell r="W724"/>
          <cell r="X724"/>
          <cell r="Y724"/>
          <cell r="Z724"/>
          <cell r="AA724"/>
          <cell r="AB724"/>
          <cell r="AC724"/>
          <cell r="AD724"/>
          <cell r="AE724"/>
          <cell r="AF724"/>
          <cell r="AG724"/>
          <cell r="AH724"/>
          <cell r="AI724"/>
          <cell r="AJ724"/>
          <cell r="AK724"/>
          <cell r="AL724"/>
          <cell r="AM724"/>
          <cell r="AN724"/>
          <cell r="AO724"/>
          <cell r="AP724"/>
          <cell r="AQ724"/>
          <cell r="AR724"/>
          <cell r="AS724"/>
          <cell r="AT724"/>
          <cell r="AU724"/>
          <cell r="AV724"/>
          <cell r="AW724"/>
          <cell r="AX724"/>
          <cell r="AY724"/>
          <cell r="AZ724"/>
        </row>
        <row r="725">
          <cell r="A725"/>
          <cell r="B725"/>
          <cell r="C725"/>
          <cell r="D725"/>
          <cell r="E725"/>
          <cell r="F725"/>
          <cell r="G725"/>
          <cell r="H725"/>
          <cell r="I725"/>
          <cell r="J725"/>
          <cell r="K725"/>
          <cell r="L725"/>
          <cell r="M725"/>
          <cell r="N725"/>
          <cell r="O725"/>
          <cell r="P725"/>
          <cell r="Q725"/>
          <cell r="R725"/>
          <cell r="S725"/>
          <cell r="T725"/>
          <cell r="U725"/>
          <cell r="V725"/>
          <cell r="W725"/>
          <cell r="X725"/>
          <cell r="Y725"/>
          <cell r="Z725"/>
          <cell r="AA725"/>
          <cell r="AB725"/>
          <cell r="AC725"/>
          <cell r="AD725"/>
          <cell r="AE725"/>
          <cell r="AF725"/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/>
          <cell r="AS725"/>
          <cell r="AT725"/>
          <cell r="AU725"/>
          <cell r="AV725"/>
          <cell r="AW725"/>
          <cell r="AX725"/>
          <cell r="AY725"/>
          <cell r="AZ725"/>
        </row>
        <row r="726">
          <cell r="A726"/>
          <cell r="B726"/>
          <cell r="C726"/>
          <cell r="D726"/>
          <cell r="E726"/>
          <cell r="F726"/>
          <cell r="G726"/>
          <cell r="H726"/>
          <cell r="I726"/>
          <cell r="J726"/>
          <cell r="K726"/>
          <cell r="L726"/>
          <cell r="M726"/>
          <cell r="N726"/>
          <cell r="O726"/>
          <cell r="P726"/>
          <cell r="Q726"/>
          <cell r="R726"/>
          <cell r="S726"/>
          <cell r="T726"/>
          <cell r="U726"/>
          <cell r="V726"/>
          <cell r="W726"/>
          <cell r="X726"/>
          <cell r="Y726"/>
          <cell r="Z726"/>
          <cell r="AA726"/>
          <cell r="AB726"/>
          <cell r="AC726"/>
          <cell r="AD726"/>
          <cell r="AE726"/>
          <cell r="AF726"/>
          <cell r="AG726"/>
          <cell r="AH726"/>
          <cell r="AI726"/>
          <cell r="AJ726"/>
          <cell r="AK726"/>
          <cell r="AL726"/>
          <cell r="AM726"/>
          <cell r="AN726"/>
          <cell r="AO726"/>
          <cell r="AP726"/>
          <cell r="AQ726"/>
          <cell r="AR726"/>
          <cell r="AS726"/>
          <cell r="AT726"/>
          <cell r="AU726"/>
          <cell r="AV726"/>
          <cell r="AW726"/>
          <cell r="AX726"/>
          <cell r="AY726"/>
          <cell r="AZ726"/>
        </row>
        <row r="727">
          <cell r="A727"/>
          <cell r="B727"/>
          <cell r="C727"/>
          <cell r="D727"/>
          <cell r="E727"/>
          <cell r="F727"/>
          <cell r="G727"/>
          <cell r="H727"/>
          <cell r="I727"/>
          <cell r="J727"/>
          <cell r="K727"/>
          <cell r="L727"/>
          <cell r="M727"/>
          <cell r="N727"/>
          <cell r="O727"/>
          <cell r="P727"/>
          <cell r="Q727"/>
          <cell r="R727"/>
          <cell r="S727"/>
          <cell r="T727"/>
          <cell r="U727"/>
          <cell r="V727"/>
          <cell r="W727"/>
          <cell r="X727"/>
          <cell r="Y727"/>
          <cell r="Z727"/>
          <cell r="AA727"/>
          <cell r="AB727"/>
          <cell r="AC727"/>
          <cell r="AD727"/>
          <cell r="AE727"/>
          <cell r="AF727"/>
          <cell r="AG727"/>
          <cell r="AH727"/>
          <cell r="AI727"/>
          <cell r="AJ727"/>
          <cell r="AK727"/>
          <cell r="AL727"/>
          <cell r="AM727"/>
          <cell r="AN727"/>
          <cell r="AO727"/>
          <cell r="AP727"/>
          <cell r="AQ727"/>
          <cell r="AR727"/>
          <cell r="AS727"/>
          <cell r="AT727"/>
          <cell r="AU727"/>
          <cell r="AV727"/>
          <cell r="AW727"/>
          <cell r="AX727"/>
          <cell r="AY727"/>
          <cell r="AZ727"/>
        </row>
        <row r="728">
          <cell r="A728"/>
          <cell r="B728"/>
          <cell r="C728"/>
          <cell r="D728"/>
          <cell r="E728"/>
          <cell r="F728"/>
          <cell r="G728"/>
          <cell r="H728"/>
          <cell r="I728"/>
          <cell r="J728"/>
          <cell r="K728"/>
          <cell r="L728"/>
          <cell r="M728"/>
          <cell r="N728"/>
          <cell r="O728"/>
          <cell r="P728"/>
          <cell r="Q728"/>
          <cell r="R728"/>
          <cell r="S728"/>
          <cell r="T728"/>
          <cell r="U728"/>
          <cell r="V728"/>
          <cell r="W728"/>
          <cell r="X728"/>
          <cell r="Y728"/>
          <cell r="Z728"/>
          <cell r="AA728"/>
          <cell r="AB728"/>
          <cell r="AC728"/>
          <cell r="AD728"/>
          <cell r="AE728"/>
          <cell r="AF728"/>
          <cell r="AG728"/>
          <cell r="AH728"/>
          <cell r="AI728"/>
          <cell r="AJ728"/>
          <cell r="AK728"/>
          <cell r="AL728"/>
          <cell r="AM728"/>
          <cell r="AN728"/>
          <cell r="AO728"/>
          <cell r="AP728"/>
          <cell r="AQ728"/>
          <cell r="AR728"/>
          <cell r="AS728"/>
          <cell r="AT728"/>
          <cell r="AU728"/>
          <cell r="AV728"/>
          <cell r="AW728"/>
          <cell r="AX728"/>
          <cell r="AY728"/>
          <cell r="AZ728"/>
        </row>
        <row r="729">
          <cell r="A729"/>
          <cell r="B729"/>
          <cell r="C729"/>
          <cell r="D729"/>
          <cell r="E729"/>
          <cell r="F729"/>
          <cell r="G729"/>
          <cell r="H729"/>
          <cell r="I729"/>
          <cell r="J729"/>
          <cell r="K729"/>
          <cell r="L729"/>
          <cell r="M729"/>
          <cell r="N729"/>
          <cell r="O729"/>
          <cell r="P729"/>
          <cell r="Q729"/>
          <cell r="R729"/>
          <cell r="S729"/>
          <cell r="T729"/>
          <cell r="U729"/>
          <cell r="V729"/>
          <cell r="W729"/>
          <cell r="X729"/>
          <cell r="Y729"/>
          <cell r="Z729"/>
          <cell r="AA729"/>
          <cell r="AB729"/>
          <cell r="AC729"/>
          <cell r="AD729"/>
          <cell r="AE729"/>
          <cell r="AF729"/>
          <cell r="AG729"/>
          <cell r="AH729"/>
          <cell r="AI729"/>
          <cell r="AJ729"/>
          <cell r="AK729"/>
          <cell r="AL729"/>
          <cell r="AM729"/>
          <cell r="AN729"/>
          <cell r="AO729"/>
          <cell r="AP729"/>
          <cell r="AQ729"/>
          <cell r="AR729"/>
          <cell r="AS729"/>
          <cell r="AT729"/>
          <cell r="AU729"/>
          <cell r="AV729"/>
          <cell r="AW729"/>
          <cell r="AX729"/>
          <cell r="AY729"/>
          <cell r="AZ729"/>
        </row>
        <row r="730">
          <cell r="A730"/>
          <cell r="B730"/>
          <cell r="C730"/>
          <cell r="D730"/>
          <cell r="E730"/>
          <cell r="F730"/>
          <cell r="G730"/>
          <cell r="H730"/>
          <cell r="I730"/>
          <cell r="J730"/>
          <cell r="K730"/>
          <cell r="L730"/>
          <cell r="M730"/>
          <cell r="N730"/>
          <cell r="O730"/>
          <cell r="P730"/>
          <cell r="Q730"/>
          <cell r="R730"/>
          <cell r="S730"/>
          <cell r="T730"/>
          <cell r="U730"/>
          <cell r="V730"/>
          <cell r="W730"/>
          <cell r="X730"/>
          <cell r="Y730"/>
          <cell r="Z730"/>
          <cell r="AA730"/>
          <cell r="AB730"/>
          <cell r="AC730"/>
          <cell r="AD730"/>
          <cell r="AE730"/>
          <cell r="AF730"/>
          <cell r="AG730"/>
          <cell r="AH730"/>
          <cell r="AI730"/>
          <cell r="AJ730"/>
          <cell r="AK730"/>
          <cell r="AL730"/>
          <cell r="AM730"/>
          <cell r="AN730"/>
          <cell r="AO730"/>
          <cell r="AP730"/>
          <cell r="AQ730"/>
          <cell r="AR730"/>
          <cell r="AS730"/>
          <cell r="AT730"/>
          <cell r="AU730"/>
          <cell r="AV730"/>
          <cell r="AW730"/>
          <cell r="AX730"/>
          <cell r="AY730"/>
          <cell r="AZ730"/>
        </row>
        <row r="731">
          <cell r="A731"/>
          <cell r="B731"/>
          <cell r="C731"/>
          <cell r="D731"/>
          <cell r="E731"/>
          <cell r="F731"/>
          <cell r="G731"/>
          <cell r="H731"/>
          <cell r="I731"/>
          <cell r="J731"/>
          <cell r="K731"/>
          <cell r="L731"/>
          <cell r="M731"/>
          <cell r="N731"/>
          <cell r="O731"/>
          <cell r="P731"/>
          <cell r="Q731"/>
          <cell r="R731"/>
          <cell r="S731"/>
          <cell r="T731"/>
          <cell r="U731"/>
          <cell r="V731"/>
          <cell r="W731"/>
          <cell r="X731"/>
          <cell r="Y731"/>
          <cell r="Z731"/>
          <cell r="AA731"/>
          <cell r="AB731"/>
          <cell r="AC731"/>
          <cell r="AD731"/>
          <cell r="AE731"/>
          <cell r="AF731"/>
          <cell r="AG731"/>
          <cell r="AH731"/>
          <cell r="AI731"/>
          <cell r="AJ731"/>
          <cell r="AK731"/>
          <cell r="AL731"/>
          <cell r="AM731"/>
          <cell r="AN731"/>
          <cell r="AO731"/>
          <cell r="AP731"/>
          <cell r="AQ731"/>
          <cell r="AR731"/>
          <cell r="AS731"/>
          <cell r="AT731"/>
          <cell r="AU731"/>
          <cell r="AV731"/>
          <cell r="AW731"/>
          <cell r="AX731"/>
          <cell r="AY731"/>
          <cell r="AZ731"/>
        </row>
        <row r="732">
          <cell r="A732"/>
          <cell r="B732"/>
          <cell r="C732"/>
          <cell r="D732"/>
          <cell r="E732"/>
          <cell r="F732"/>
          <cell r="G732"/>
          <cell r="H732"/>
          <cell r="I732"/>
          <cell r="J732"/>
          <cell r="K732"/>
          <cell r="L732"/>
          <cell r="M732"/>
          <cell r="N732"/>
          <cell r="O732"/>
          <cell r="P732"/>
          <cell r="Q732"/>
          <cell r="R732"/>
          <cell r="S732"/>
          <cell r="T732"/>
          <cell r="U732"/>
          <cell r="V732"/>
          <cell r="W732"/>
          <cell r="X732"/>
          <cell r="Y732"/>
          <cell r="Z732"/>
          <cell r="AA732"/>
          <cell r="AB732"/>
          <cell r="AC732"/>
          <cell r="AD732"/>
          <cell r="AE732"/>
          <cell r="AF732"/>
          <cell r="AG732"/>
          <cell r="AH732"/>
          <cell r="AI732"/>
          <cell r="AJ732"/>
          <cell r="AK732"/>
          <cell r="AL732"/>
          <cell r="AM732"/>
          <cell r="AN732"/>
          <cell r="AO732"/>
          <cell r="AP732"/>
          <cell r="AQ732"/>
          <cell r="AR732"/>
          <cell r="AS732"/>
          <cell r="AT732"/>
          <cell r="AU732"/>
          <cell r="AV732"/>
          <cell r="AW732"/>
          <cell r="AX732"/>
          <cell r="AY732"/>
          <cell r="AZ732"/>
        </row>
        <row r="733">
          <cell r="A733"/>
          <cell r="B733"/>
          <cell r="C733"/>
          <cell r="D733"/>
          <cell r="E733"/>
          <cell r="F733"/>
          <cell r="G733"/>
          <cell r="H733"/>
          <cell r="I733"/>
          <cell r="J733"/>
          <cell r="K733"/>
          <cell r="L733"/>
          <cell r="M733"/>
          <cell r="N733"/>
          <cell r="O733"/>
          <cell r="P733"/>
          <cell r="Q733"/>
          <cell r="R733"/>
          <cell r="S733"/>
          <cell r="T733"/>
          <cell r="U733"/>
          <cell r="V733"/>
          <cell r="W733"/>
          <cell r="X733"/>
          <cell r="Y733"/>
          <cell r="Z733"/>
          <cell r="AA733"/>
          <cell r="AB733"/>
          <cell r="AC733"/>
          <cell r="AD733"/>
          <cell r="AE733"/>
          <cell r="AF733"/>
          <cell r="AG733"/>
          <cell r="AH733"/>
          <cell r="AI733"/>
          <cell r="AJ733"/>
          <cell r="AK733"/>
          <cell r="AL733"/>
          <cell r="AM733"/>
          <cell r="AN733"/>
          <cell r="AO733"/>
          <cell r="AP733"/>
          <cell r="AQ733"/>
          <cell r="AR733"/>
          <cell r="AS733"/>
          <cell r="AT733"/>
          <cell r="AU733"/>
          <cell r="AV733"/>
          <cell r="AW733"/>
          <cell r="AX733"/>
          <cell r="AY733"/>
          <cell r="AZ733"/>
        </row>
        <row r="734">
          <cell r="A734"/>
          <cell r="B734"/>
          <cell r="C734"/>
          <cell r="D734"/>
          <cell r="E734"/>
          <cell r="F734"/>
          <cell r="G734"/>
          <cell r="H734"/>
          <cell r="I734"/>
          <cell r="J734"/>
          <cell r="K734"/>
          <cell r="L734"/>
          <cell r="M734"/>
          <cell r="N734"/>
          <cell r="O734"/>
          <cell r="P734"/>
          <cell r="Q734"/>
          <cell r="R734"/>
          <cell r="S734"/>
          <cell r="T734"/>
          <cell r="U734"/>
          <cell r="V734"/>
          <cell r="W734"/>
          <cell r="X734"/>
          <cell r="Y734"/>
          <cell r="Z734"/>
          <cell r="AA734"/>
          <cell r="AB734"/>
          <cell r="AC734"/>
          <cell r="AD734"/>
          <cell r="AE734"/>
          <cell r="AF734"/>
          <cell r="AG734"/>
          <cell r="AH734"/>
          <cell r="AI734"/>
          <cell r="AJ734"/>
          <cell r="AK734"/>
          <cell r="AL734"/>
          <cell r="AM734"/>
          <cell r="AN734"/>
          <cell r="AO734"/>
          <cell r="AP734"/>
          <cell r="AQ734"/>
          <cell r="AR734"/>
          <cell r="AS734"/>
          <cell r="AT734"/>
          <cell r="AU734"/>
          <cell r="AV734"/>
          <cell r="AW734"/>
          <cell r="AX734"/>
          <cell r="AY734"/>
          <cell r="AZ734"/>
        </row>
        <row r="735">
          <cell r="A735"/>
          <cell r="B735"/>
          <cell r="C735"/>
          <cell r="D735"/>
          <cell r="E735"/>
          <cell r="F735"/>
          <cell r="G735"/>
          <cell r="H735"/>
          <cell r="I735"/>
          <cell r="J735"/>
          <cell r="K735"/>
          <cell r="L735"/>
          <cell r="M735"/>
          <cell r="N735"/>
          <cell r="O735"/>
          <cell r="P735"/>
          <cell r="Q735"/>
          <cell r="R735"/>
          <cell r="S735"/>
          <cell r="T735"/>
          <cell r="U735"/>
          <cell r="V735"/>
          <cell r="W735"/>
          <cell r="X735"/>
          <cell r="Y735"/>
          <cell r="Z735"/>
          <cell r="AA735"/>
          <cell r="AB735"/>
          <cell r="AC735"/>
          <cell r="AD735"/>
          <cell r="AE735"/>
          <cell r="AF735"/>
          <cell r="AG735"/>
          <cell r="AH735"/>
          <cell r="AI735"/>
          <cell r="AJ735"/>
          <cell r="AK735"/>
          <cell r="AL735"/>
          <cell r="AM735"/>
          <cell r="AN735"/>
          <cell r="AO735"/>
          <cell r="AP735"/>
          <cell r="AQ735"/>
          <cell r="AR735"/>
          <cell r="AS735"/>
          <cell r="AT735"/>
          <cell r="AU735"/>
          <cell r="AV735"/>
          <cell r="AW735"/>
          <cell r="AX735"/>
          <cell r="AY735"/>
          <cell r="AZ735"/>
        </row>
        <row r="736">
          <cell r="A736"/>
          <cell r="B736"/>
          <cell r="C736"/>
          <cell r="D736"/>
          <cell r="E736"/>
          <cell r="F736"/>
          <cell r="G736"/>
          <cell r="H736"/>
          <cell r="I736"/>
          <cell r="J736"/>
          <cell r="K736"/>
          <cell r="L736"/>
          <cell r="M736"/>
          <cell r="N736"/>
          <cell r="O736"/>
          <cell r="P736"/>
          <cell r="Q736"/>
          <cell r="R736"/>
          <cell r="S736"/>
          <cell r="T736"/>
          <cell r="U736"/>
          <cell r="V736"/>
          <cell r="W736"/>
          <cell r="X736"/>
          <cell r="Y736"/>
          <cell r="Z736"/>
          <cell r="AA736"/>
          <cell r="AB736"/>
          <cell r="AC736"/>
          <cell r="AD736"/>
          <cell r="AE736"/>
          <cell r="AF736"/>
          <cell r="AG736"/>
          <cell r="AH736"/>
          <cell r="AI736"/>
          <cell r="AJ736"/>
          <cell r="AK736"/>
          <cell r="AL736"/>
          <cell r="AM736"/>
          <cell r="AN736"/>
          <cell r="AO736"/>
          <cell r="AP736"/>
          <cell r="AQ736"/>
          <cell r="AR736"/>
          <cell r="AS736"/>
          <cell r="AT736"/>
          <cell r="AU736"/>
          <cell r="AV736"/>
          <cell r="AW736"/>
          <cell r="AX736"/>
          <cell r="AY736"/>
          <cell r="AZ736"/>
        </row>
        <row r="737">
          <cell r="A737"/>
          <cell r="B737"/>
          <cell r="C737"/>
          <cell r="D737"/>
          <cell r="E737"/>
          <cell r="F737"/>
          <cell r="G737"/>
          <cell r="H737"/>
          <cell r="I737"/>
          <cell r="J737"/>
          <cell r="K737"/>
          <cell r="L737"/>
          <cell r="M737"/>
          <cell r="N737"/>
          <cell r="O737"/>
          <cell r="P737"/>
          <cell r="Q737"/>
          <cell r="R737"/>
          <cell r="S737"/>
          <cell r="T737"/>
          <cell r="U737"/>
          <cell r="V737"/>
          <cell r="W737"/>
          <cell r="X737"/>
          <cell r="Y737"/>
          <cell r="Z737"/>
          <cell r="AA737"/>
          <cell r="AB737"/>
          <cell r="AC737"/>
          <cell r="AD737"/>
          <cell r="AE737"/>
          <cell r="AF737"/>
          <cell r="AG737"/>
          <cell r="AH737"/>
          <cell r="AI737"/>
          <cell r="AJ737"/>
          <cell r="AK737"/>
          <cell r="AL737"/>
          <cell r="AM737"/>
          <cell r="AN737"/>
          <cell r="AO737"/>
          <cell r="AP737"/>
          <cell r="AQ737"/>
          <cell r="AR737"/>
          <cell r="AS737"/>
          <cell r="AT737"/>
          <cell r="AU737"/>
          <cell r="AV737"/>
          <cell r="AW737"/>
          <cell r="AX737"/>
          <cell r="AY737"/>
          <cell r="AZ737"/>
        </row>
        <row r="738">
          <cell r="A738"/>
          <cell r="B738"/>
          <cell r="C738"/>
          <cell r="D738"/>
          <cell r="E738"/>
          <cell r="F738"/>
          <cell r="G738"/>
          <cell r="H738"/>
          <cell r="I738"/>
          <cell r="J738"/>
          <cell r="K738"/>
          <cell r="L738"/>
          <cell r="M738"/>
          <cell r="N738"/>
          <cell r="O738"/>
          <cell r="P738"/>
          <cell r="Q738"/>
          <cell r="R738"/>
          <cell r="S738"/>
          <cell r="T738"/>
          <cell r="U738"/>
          <cell r="V738"/>
          <cell r="W738"/>
          <cell r="X738"/>
          <cell r="Y738"/>
          <cell r="Z738"/>
          <cell r="AA738"/>
          <cell r="AB738"/>
          <cell r="AC738"/>
          <cell r="AD738"/>
          <cell r="AE738"/>
          <cell r="AF738"/>
          <cell r="AG738"/>
          <cell r="AH738"/>
          <cell r="AI738"/>
          <cell r="AJ738"/>
          <cell r="AK738"/>
          <cell r="AL738"/>
          <cell r="AM738"/>
          <cell r="AN738"/>
          <cell r="AO738"/>
          <cell r="AP738"/>
          <cell r="AQ738"/>
          <cell r="AR738"/>
          <cell r="AS738"/>
          <cell r="AT738"/>
          <cell r="AU738"/>
          <cell r="AV738"/>
          <cell r="AW738"/>
          <cell r="AX738"/>
          <cell r="AY738"/>
          <cell r="AZ738"/>
        </row>
        <row r="739">
          <cell r="A739"/>
          <cell r="B739"/>
          <cell r="C739"/>
          <cell r="D739"/>
          <cell r="E739"/>
          <cell r="F739"/>
          <cell r="G739"/>
          <cell r="H739"/>
          <cell r="I739"/>
          <cell r="J739"/>
          <cell r="K739"/>
          <cell r="L739"/>
          <cell r="M739"/>
          <cell r="N739"/>
          <cell r="O739"/>
          <cell r="P739"/>
          <cell r="Q739"/>
          <cell r="R739"/>
          <cell r="S739"/>
          <cell r="T739"/>
          <cell r="U739"/>
          <cell r="V739"/>
          <cell r="W739"/>
          <cell r="X739"/>
          <cell r="Y739"/>
          <cell r="Z739"/>
          <cell r="AA739"/>
          <cell r="AB739"/>
          <cell r="AC739"/>
          <cell r="AD739"/>
          <cell r="AE739"/>
          <cell r="AF739"/>
          <cell r="AG739"/>
          <cell r="AH739"/>
          <cell r="AI739"/>
          <cell r="AJ739"/>
          <cell r="AK739"/>
          <cell r="AL739"/>
          <cell r="AM739"/>
          <cell r="AN739"/>
          <cell r="AO739"/>
          <cell r="AP739"/>
          <cell r="AQ739"/>
          <cell r="AR739"/>
          <cell r="AS739"/>
          <cell r="AT739"/>
          <cell r="AU739"/>
          <cell r="AV739"/>
          <cell r="AW739"/>
          <cell r="AX739"/>
          <cell r="AY739"/>
          <cell r="AZ739"/>
        </row>
        <row r="740">
          <cell r="A740"/>
          <cell r="B740"/>
          <cell r="C740"/>
          <cell r="D740"/>
          <cell r="E740"/>
          <cell r="F740"/>
          <cell r="G740"/>
          <cell r="H740"/>
          <cell r="I740"/>
          <cell r="J740"/>
          <cell r="K740"/>
          <cell r="L740"/>
          <cell r="M740"/>
          <cell r="N740"/>
          <cell r="O740"/>
          <cell r="P740"/>
          <cell r="Q740"/>
          <cell r="R740"/>
          <cell r="S740"/>
          <cell r="T740"/>
          <cell r="U740"/>
          <cell r="V740"/>
          <cell r="W740"/>
          <cell r="X740"/>
          <cell r="Y740"/>
          <cell r="Z740"/>
          <cell r="AA740"/>
          <cell r="AB740"/>
          <cell r="AC740"/>
          <cell r="AD740"/>
          <cell r="AE740"/>
          <cell r="AF740"/>
          <cell r="AG740"/>
          <cell r="AH740"/>
          <cell r="AI740"/>
          <cell r="AJ740"/>
          <cell r="AK740"/>
          <cell r="AL740"/>
          <cell r="AM740"/>
          <cell r="AN740"/>
          <cell r="AO740"/>
          <cell r="AP740"/>
          <cell r="AQ740"/>
          <cell r="AR740"/>
          <cell r="AS740"/>
          <cell r="AT740"/>
          <cell r="AU740"/>
          <cell r="AV740"/>
          <cell r="AW740"/>
          <cell r="AX740"/>
          <cell r="AY740"/>
          <cell r="AZ740"/>
        </row>
        <row r="741">
          <cell r="A741"/>
          <cell r="B741"/>
          <cell r="C741"/>
          <cell r="D741"/>
          <cell r="E741"/>
          <cell r="F741"/>
          <cell r="G741"/>
          <cell r="H741"/>
          <cell r="I741"/>
          <cell r="J741"/>
          <cell r="K741"/>
          <cell r="L741"/>
          <cell r="M741"/>
          <cell r="N741"/>
          <cell r="O741"/>
          <cell r="P741"/>
          <cell r="Q741"/>
          <cell r="R741"/>
          <cell r="S741"/>
          <cell r="T741"/>
          <cell r="U741"/>
          <cell r="V741"/>
          <cell r="W741"/>
          <cell r="X741"/>
          <cell r="Y741"/>
          <cell r="Z741"/>
          <cell r="AA741"/>
          <cell r="AB741"/>
          <cell r="AC741"/>
          <cell r="AD741"/>
          <cell r="AE741"/>
          <cell r="AF741"/>
          <cell r="AG741"/>
          <cell r="AH741"/>
          <cell r="AI741"/>
          <cell r="AJ741"/>
          <cell r="AK741"/>
          <cell r="AL741"/>
          <cell r="AM741"/>
          <cell r="AN741"/>
          <cell r="AO741"/>
          <cell r="AP741"/>
          <cell r="AQ741"/>
          <cell r="AR741"/>
          <cell r="AS741"/>
          <cell r="AT741"/>
          <cell r="AU741"/>
          <cell r="AV741"/>
          <cell r="AW741"/>
          <cell r="AX741"/>
          <cell r="AY741"/>
          <cell r="AZ741"/>
        </row>
        <row r="742">
          <cell r="A742"/>
          <cell r="B742"/>
          <cell r="C742"/>
          <cell r="D742"/>
          <cell r="E742"/>
          <cell r="F742"/>
          <cell r="G742"/>
          <cell r="H742"/>
          <cell r="I742"/>
          <cell r="J742"/>
          <cell r="K742"/>
          <cell r="L742"/>
          <cell r="M742"/>
          <cell r="N742"/>
          <cell r="O742"/>
          <cell r="P742"/>
          <cell r="Q742"/>
          <cell r="R742"/>
          <cell r="S742"/>
          <cell r="T742"/>
          <cell r="U742"/>
          <cell r="V742"/>
          <cell r="W742"/>
          <cell r="X742"/>
          <cell r="Y742"/>
          <cell r="Z742"/>
          <cell r="AA742"/>
          <cell r="AB742"/>
          <cell r="AC742"/>
          <cell r="AD742"/>
          <cell r="AE742"/>
          <cell r="AF742"/>
          <cell r="AG742"/>
          <cell r="AH742"/>
          <cell r="AI742"/>
          <cell r="AJ742"/>
          <cell r="AK742"/>
          <cell r="AL742"/>
          <cell r="AM742"/>
          <cell r="AN742"/>
          <cell r="AO742"/>
          <cell r="AP742"/>
          <cell r="AQ742"/>
          <cell r="AR742"/>
          <cell r="AS742"/>
          <cell r="AT742"/>
          <cell r="AU742"/>
          <cell r="AV742"/>
          <cell r="AW742"/>
          <cell r="AX742"/>
          <cell r="AY742"/>
          <cell r="AZ742"/>
        </row>
        <row r="743">
          <cell r="A743"/>
          <cell r="B743"/>
          <cell r="C743"/>
          <cell r="D743"/>
          <cell r="E743"/>
          <cell r="F743"/>
          <cell r="G743"/>
          <cell r="H743"/>
          <cell r="I743"/>
          <cell r="J743"/>
          <cell r="K743"/>
          <cell r="L743"/>
          <cell r="M743"/>
          <cell r="N743"/>
          <cell r="O743"/>
          <cell r="P743"/>
          <cell r="Q743"/>
          <cell r="R743"/>
          <cell r="S743"/>
          <cell r="T743"/>
          <cell r="U743"/>
          <cell r="V743"/>
          <cell r="W743"/>
          <cell r="X743"/>
          <cell r="Y743"/>
          <cell r="Z743"/>
          <cell r="AA743"/>
          <cell r="AB743"/>
          <cell r="AC743"/>
          <cell r="AD743"/>
          <cell r="AE743"/>
          <cell r="AF743"/>
          <cell r="AG743"/>
          <cell r="AH743"/>
          <cell r="AI743"/>
          <cell r="AJ743"/>
          <cell r="AK743"/>
          <cell r="AL743"/>
          <cell r="AM743"/>
          <cell r="AN743"/>
          <cell r="AO743"/>
          <cell r="AP743"/>
          <cell r="AQ743"/>
          <cell r="AR743"/>
          <cell r="AS743"/>
          <cell r="AT743"/>
          <cell r="AU743"/>
          <cell r="AV743"/>
          <cell r="AW743"/>
          <cell r="AX743"/>
          <cell r="AY743"/>
          <cell r="AZ743"/>
        </row>
        <row r="744">
          <cell r="A744"/>
          <cell r="B744"/>
          <cell r="C744"/>
          <cell r="D744"/>
          <cell r="E744"/>
          <cell r="F744"/>
          <cell r="G744"/>
          <cell r="H744"/>
          <cell r="I744"/>
          <cell r="J744"/>
          <cell r="K744"/>
          <cell r="L744"/>
          <cell r="M744"/>
          <cell r="N744"/>
          <cell r="O744"/>
          <cell r="P744"/>
          <cell r="Q744"/>
          <cell r="R744"/>
          <cell r="S744"/>
          <cell r="T744"/>
          <cell r="U744"/>
          <cell r="V744"/>
          <cell r="W744"/>
          <cell r="X744"/>
          <cell r="Y744"/>
          <cell r="Z744"/>
          <cell r="AA744"/>
          <cell r="AB744"/>
          <cell r="AC744"/>
          <cell r="AD744"/>
          <cell r="AE744"/>
          <cell r="AF744"/>
          <cell r="AG744"/>
          <cell r="AH744"/>
          <cell r="AI744"/>
          <cell r="AJ744"/>
          <cell r="AK744"/>
          <cell r="AL744"/>
          <cell r="AM744"/>
          <cell r="AN744"/>
          <cell r="AO744"/>
          <cell r="AP744"/>
          <cell r="AQ744"/>
          <cell r="AR744"/>
          <cell r="AS744"/>
          <cell r="AT744"/>
          <cell r="AU744"/>
          <cell r="AV744"/>
          <cell r="AW744"/>
          <cell r="AX744"/>
          <cell r="AY744"/>
          <cell r="AZ744"/>
        </row>
        <row r="745">
          <cell r="A745"/>
          <cell r="B745"/>
          <cell r="C745"/>
          <cell r="D745"/>
          <cell r="E745"/>
          <cell r="F745"/>
          <cell r="G745"/>
          <cell r="H745"/>
          <cell r="I745"/>
          <cell r="J745"/>
          <cell r="K745"/>
          <cell r="L745"/>
          <cell r="M745"/>
          <cell r="N745"/>
          <cell r="O745"/>
          <cell r="P745"/>
          <cell r="Q745"/>
          <cell r="R745"/>
          <cell r="S745"/>
          <cell r="T745"/>
          <cell r="U745"/>
          <cell r="V745"/>
          <cell r="W745"/>
          <cell r="X745"/>
          <cell r="Y745"/>
          <cell r="Z745"/>
          <cell r="AA745"/>
          <cell r="AB745"/>
          <cell r="AC745"/>
          <cell r="AD745"/>
          <cell r="AE745"/>
          <cell r="AF745"/>
          <cell r="AG745"/>
          <cell r="AH745"/>
          <cell r="AI745"/>
          <cell r="AJ745"/>
          <cell r="AK745"/>
          <cell r="AL745"/>
          <cell r="AM745"/>
          <cell r="AN745"/>
          <cell r="AO745"/>
          <cell r="AP745"/>
          <cell r="AQ745"/>
          <cell r="AR745"/>
          <cell r="AS745"/>
          <cell r="AT745"/>
          <cell r="AU745"/>
          <cell r="AV745"/>
          <cell r="AW745"/>
          <cell r="AX745"/>
          <cell r="AY745"/>
          <cell r="AZ745"/>
        </row>
        <row r="746">
          <cell r="A746"/>
          <cell r="B746"/>
          <cell r="C746"/>
          <cell r="D746"/>
          <cell r="E746"/>
          <cell r="F746"/>
          <cell r="G746"/>
          <cell r="H746"/>
          <cell r="I746"/>
          <cell r="J746"/>
          <cell r="K746"/>
          <cell r="L746"/>
          <cell r="M746"/>
          <cell r="N746"/>
          <cell r="O746"/>
          <cell r="P746"/>
          <cell r="Q746"/>
          <cell r="R746"/>
          <cell r="S746"/>
          <cell r="T746"/>
          <cell r="U746"/>
          <cell r="V746"/>
          <cell r="W746"/>
          <cell r="X746"/>
          <cell r="Y746"/>
          <cell r="Z746"/>
          <cell r="AA746"/>
          <cell r="AB746"/>
          <cell r="AC746"/>
          <cell r="AD746"/>
          <cell r="AE746"/>
          <cell r="AF746"/>
          <cell r="AG746"/>
          <cell r="AH746"/>
          <cell r="AI746"/>
          <cell r="AJ746"/>
          <cell r="AK746"/>
          <cell r="AL746"/>
          <cell r="AM746"/>
          <cell r="AN746"/>
          <cell r="AO746"/>
          <cell r="AP746"/>
          <cell r="AQ746"/>
          <cell r="AR746"/>
          <cell r="AS746"/>
          <cell r="AT746"/>
          <cell r="AU746"/>
          <cell r="AV746"/>
          <cell r="AW746"/>
          <cell r="AX746"/>
          <cell r="AY746"/>
          <cell r="AZ746"/>
        </row>
        <row r="747">
          <cell r="A747"/>
          <cell r="B747"/>
          <cell r="C747"/>
          <cell r="D747"/>
          <cell r="E747"/>
          <cell r="F747"/>
          <cell r="G747"/>
          <cell r="H747"/>
          <cell r="I747"/>
          <cell r="J747"/>
          <cell r="K747"/>
          <cell r="L747"/>
          <cell r="M747"/>
          <cell r="N747"/>
          <cell r="O747"/>
          <cell r="P747"/>
          <cell r="Q747"/>
          <cell r="R747"/>
          <cell r="S747"/>
          <cell r="T747"/>
          <cell r="U747"/>
          <cell r="V747"/>
          <cell r="W747"/>
          <cell r="X747"/>
          <cell r="Y747"/>
          <cell r="Z747"/>
          <cell r="AA747"/>
          <cell r="AB747"/>
          <cell r="AC747"/>
          <cell r="AD747"/>
          <cell r="AE747"/>
          <cell r="AF747"/>
          <cell r="AG747"/>
          <cell r="AH747"/>
          <cell r="AI747"/>
          <cell r="AJ747"/>
          <cell r="AK747"/>
          <cell r="AL747"/>
          <cell r="AM747"/>
          <cell r="AN747"/>
          <cell r="AO747"/>
          <cell r="AP747"/>
          <cell r="AQ747"/>
          <cell r="AR747"/>
          <cell r="AS747"/>
          <cell r="AT747"/>
          <cell r="AU747"/>
          <cell r="AV747"/>
          <cell r="AW747"/>
          <cell r="AX747"/>
          <cell r="AY747"/>
          <cell r="AZ747"/>
        </row>
        <row r="748">
          <cell r="A748"/>
          <cell r="B748"/>
          <cell r="C748"/>
          <cell r="D748"/>
          <cell r="E748"/>
          <cell r="F748"/>
          <cell r="G748"/>
          <cell r="H748"/>
          <cell r="I748"/>
          <cell r="J748"/>
          <cell r="K748"/>
          <cell r="L748"/>
          <cell r="M748"/>
          <cell r="N748"/>
          <cell r="O748"/>
          <cell r="P748"/>
          <cell r="Q748"/>
          <cell r="R748"/>
          <cell r="S748"/>
          <cell r="T748"/>
          <cell r="U748"/>
          <cell r="V748"/>
          <cell r="W748"/>
          <cell r="X748"/>
          <cell r="Y748"/>
          <cell r="Z748"/>
          <cell r="AA748"/>
          <cell r="AB748"/>
          <cell r="AC748"/>
          <cell r="AD748"/>
          <cell r="AE748"/>
          <cell r="AF748"/>
          <cell r="AG748"/>
          <cell r="AH748"/>
          <cell r="AI748"/>
          <cell r="AJ748"/>
          <cell r="AK748"/>
          <cell r="AL748"/>
          <cell r="AM748"/>
          <cell r="AN748"/>
          <cell r="AO748"/>
          <cell r="AP748"/>
          <cell r="AQ748"/>
          <cell r="AR748"/>
          <cell r="AS748"/>
          <cell r="AT748"/>
          <cell r="AU748"/>
          <cell r="AV748"/>
          <cell r="AW748"/>
          <cell r="AX748"/>
          <cell r="AY748"/>
          <cell r="AZ748"/>
        </row>
        <row r="749">
          <cell r="A749"/>
          <cell r="B749"/>
          <cell r="C749"/>
          <cell r="D749"/>
          <cell r="E749"/>
          <cell r="F749"/>
          <cell r="G749"/>
          <cell r="H749"/>
          <cell r="I749"/>
          <cell r="J749"/>
          <cell r="K749"/>
          <cell r="L749"/>
          <cell r="M749"/>
          <cell r="N749"/>
          <cell r="O749"/>
          <cell r="P749"/>
          <cell r="Q749"/>
          <cell r="R749"/>
          <cell r="S749"/>
          <cell r="T749"/>
          <cell r="U749"/>
          <cell r="V749"/>
          <cell r="W749"/>
          <cell r="X749"/>
          <cell r="Y749"/>
          <cell r="Z749"/>
          <cell r="AA749"/>
          <cell r="AB749"/>
          <cell r="AC749"/>
          <cell r="AD749"/>
          <cell r="AE749"/>
          <cell r="AF749"/>
          <cell r="AG749"/>
          <cell r="AH749"/>
          <cell r="AI749"/>
          <cell r="AJ749"/>
          <cell r="AK749"/>
          <cell r="AL749"/>
          <cell r="AM749"/>
          <cell r="AN749"/>
          <cell r="AO749"/>
          <cell r="AP749"/>
          <cell r="AQ749"/>
          <cell r="AR749"/>
          <cell r="AS749"/>
          <cell r="AT749"/>
          <cell r="AU749"/>
          <cell r="AV749"/>
          <cell r="AW749"/>
          <cell r="AX749"/>
          <cell r="AY749"/>
          <cell r="AZ749"/>
        </row>
        <row r="750">
          <cell r="A750"/>
          <cell r="B750"/>
          <cell r="C750"/>
          <cell r="D750"/>
          <cell r="E750"/>
          <cell r="F750"/>
          <cell r="G750"/>
          <cell r="H750"/>
          <cell r="I750"/>
          <cell r="J750"/>
          <cell r="K750"/>
          <cell r="L750"/>
          <cell r="M750"/>
          <cell r="N750"/>
          <cell r="O750"/>
          <cell r="P750"/>
          <cell r="Q750"/>
          <cell r="R750"/>
          <cell r="S750"/>
          <cell r="T750"/>
          <cell r="U750"/>
          <cell r="V750"/>
          <cell r="W750"/>
          <cell r="X750"/>
          <cell r="Y750"/>
          <cell r="Z750"/>
          <cell r="AA750"/>
          <cell r="AB750"/>
          <cell r="AC750"/>
          <cell r="AD750"/>
          <cell r="AE750"/>
          <cell r="AF750"/>
          <cell r="AG750"/>
          <cell r="AH750"/>
          <cell r="AI750"/>
          <cell r="AJ750"/>
          <cell r="AK750"/>
          <cell r="AL750"/>
          <cell r="AM750"/>
          <cell r="AN750"/>
          <cell r="AO750"/>
          <cell r="AP750"/>
          <cell r="AQ750"/>
          <cell r="AR750"/>
          <cell r="AS750"/>
          <cell r="AT750"/>
          <cell r="AU750"/>
          <cell r="AV750"/>
          <cell r="AW750"/>
          <cell r="AX750"/>
          <cell r="AY750"/>
          <cell r="AZ750"/>
        </row>
        <row r="751">
          <cell r="A751"/>
          <cell r="B751"/>
          <cell r="C751"/>
          <cell r="D751"/>
          <cell r="E751"/>
          <cell r="F751"/>
          <cell r="G751"/>
          <cell r="H751"/>
          <cell r="I751"/>
          <cell r="J751"/>
          <cell r="K751"/>
          <cell r="L751"/>
          <cell r="M751"/>
          <cell r="N751"/>
          <cell r="O751"/>
          <cell r="P751"/>
          <cell r="Q751"/>
          <cell r="R751"/>
          <cell r="S751"/>
          <cell r="T751"/>
          <cell r="U751"/>
          <cell r="V751"/>
          <cell r="W751"/>
          <cell r="X751"/>
          <cell r="Y751"/>
          <cell r="Z751"/>
          <cell r="AA751"/>
          <cell r="AB751"/>
          <cell r="AC751"/>
          <cell r="AD751"/>
          <cell r="AE751"/>
          <cell r="AF751"/>
          <cell r="AG751"/>
          <cell r="AH751"/>
          <cell r="AI751"/>
          <cell r="AJ751"/>
          <cell r="AK751"/>
          <cell r="AL751"/>
          <cell r="AM751"/>
          <cell r="AN751"/>
          <cell r="AO751"/>
          <cell r="AP751"/>
          <cell r="AQ751"/>
          <cell r="AR751"/>
          <cell r="AS751"/>
          <cell r="AT751"/>
          <cell r="AU751"/>
          <cell r="AV751"/>
          <cell r="AW751"/>
          <cell r="AX751"/>
          <cell r="AY751"/>
          <cell r="AZ751"/>
        </row>
        <row r="752">
          <cell r="A752"/>
          <cell r="B752"/>
          <cell r="C752"/>
          <cell r="D752"/>
          <cell r="E752"/>
          <cell r="F752"/>
          <cell r="G752"/>
          <cell r="H752"/>
          <cell r="I752"/>
          <cell r="J752"/>
          <cell r="K752"/>
          <cell r="L752"/>
          <cell r="M752"/>
          <cell r="N752"/>
          <cell r="O752"/>
          <cell r="P752"/>
          <cell r="Q752"/>
          <cell r="R752"/>
          <cell r="S752"/>
          <cell r="T752"/>
          <cell r="U752"/>
          <cell r="V752"/>
          <cell r="W752"/>
          <cell r="X752"/>
          <cell r="Y752"/>
          <cell r="Z752"/>
          <cell r="AA752"/>
          <cell r="AB752"/>
          <cell r="AC752"/>
          <cell r="AD752"/>
          <cell r="AE752"/>
          <cell r="AF752"/>
          <cell r="AG752"/>
          <cell r="AH752"/>
          <cell r="AI752"/>
          <cell r="AJ752"/>
          <cell r="AK752"/>
          <cell r="AL752"/>
          <cell r="AM752"/>
          <cell r="AN752"/>
          <cell r="AO752"/>
          <cell r="AP752"/>
          <cell r="AQ752"/>
          <cell r="AR752"/>
          <cell r="AS752"/>
          <cell r="AT752"/>
          <cell r="AU752"/>
          <cell r="AV752"/>
          <cell r="AW752"/>
          <cell r="AX752"/>
          <cell r="AY752"/>
          <cell r="AZ752"/>
        </row>
        <row r="753">
          <cell r="A753"/>
          <cell r="B753"/>
          <cell r="C753"/>
          <cell r="D753"/>
          <cell r="E753"/>
          <cell r="F753"/>
          <cell r="G753"/>
          <cell r="H753"/>
          <cell r="I753"/>
          <cell r="J753"/>
          <cell r="K753"/>
          <cell r="L753"/>
          <cell r="M753"/>
          <cell r="N753"/>
          <cell r="O753"/>
          <cell r="P753"/>
          <cell r="Q753"/>
          <cell r="R753"/>
          <cell r="S753"/>
          <cell r="T753"/>
          <cell r="U753"/>
          <cell r="V753"/>
          <cell r="W753"/>
          <cell r="X753"/>
          <cell r="Y753"/>
          <cell r="Z753"/>
          <cell r="AA753"/>
          <cell r="AB753"/>
          <cell r="AC753"/>
          <cell r="AD753"/>
          <cell r="AE753"/>
          <cell r="AF753"/>
          <cell r="AG753"/>
          <cell r="AH753"/>
          <cell r="AI753"/>
          <cell r="AJ753"/>
          <cell r="AK753"/>
          <cell r="AL753"/>
          <cell r="AM753"/>
          <cell r="AN753"/>
          <cell r="AO753"/>
          <cell r="AP753"/>
          <cell r="AQ753"/>
          <cell r="AR753"/>
          <cell r="AS753"/>
          <cell r="AT753"/>
          <cell r="AU753"/>
          <cell r="AV753"/>
          <cell r="AW753"/>
          <cell r="AX753"/>
          <cell r="AY753"/>
          <cell r="AZ753"/>
        </row>
        <row r="754">
          <cell r="A754"/>
          <cell r="B754"/>
          <cell r="C754"/>
          <cell r="D754"/>
          <cell r="E754"/>
          <cell r="F754"/>
          <cell r="G754"/>
          <cell r="H754"/>
          <cell r="I754"/>
          <cell r="J754"/>
          <cell r="K754"/>
          <cell r="L754"/>
          <cell r="M754"/>
          <cell r="N754"/>
          <cell r="O754"/>
          <cell r="P754"/>
          <cell r="Q754"/>
          <cell r="R754"/>
          <cell r="S754"/>
          <cell r="T754"/>
          <cell r="U754"/>
          <cell r="V754"/>
          <cell r="W754"/>
          <cell r="X754"/>
          <cell r="Y754"/>
          <cell r="Z754"/>
          <cell r="AA754"/>
          <cell r="AB754"/>
          <cell r="AC754"/>
          <cell r="AD754"/>
          <cell r="AE754"/>
          <cell r="AF754"/>
          <cell r="AG754"/>
          <cell r="AH754"/>
          <cell r="AI754"/>
          <cell r="AJ754"/>
          <cell r="AK754"/>
          <cell r="AL754"/>
          <cell r="AM754"/>
          <cell r="AN754"/>
          <cell r="AO754"/>
          <cell r="AP754"/>
          <cell r="AQ754"/>
          <cell r="AR754"/>
          <cell r="AS754"/>
          <cell r="AT754"/>
          <cell r="AU754"/>
          <cell r="AV754"/>
          <cell r="AW754"/>
          <cell r="AX754"/>
          <cell r="AY754"/>
          <cell r="AZ754"/>
        </row>
        <row r="755">
          <cell r="A755"/>
          <cell r="B755"/>
          <cell r="C755"/>
          <cell r="D755"/>
          <cell r="E755"/>
          <cell r="F755"/>
          <cell r="G755"/>
          <cell r="H755"/>
          <cell r="I755"/>
          <cell r="J755"/>
          <cell r="K755"/>
          <cell r="L755"/>
          <cell r="M755"/>
          <cell r="N755"/>
          <cell r="O755"/>
          <cell r="P755"/>
          <cell r="Q755"/>
          <cell r="R755"/>
          <cell r="S755"/>
          <cell r="T755"/>
          <cell r="U755"/>
          <cell r="V755"/>
          <cell r="W755"/>
          <cell r="X755"/>
          <cell r="Y755"/>
          <cell r="Z755"/>
          <cell r="AA755"/>
          <cell r="AB755"/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/>
          <cell r="AS755"/>
          <cell r="AT755"/>
          <cell r="AU755"/>
          <cell r="AV755"/>
          <cell r="AW755"/>
          <cell r="AX755"/>
          <cell r="AY755"/>
          <cell r="AZ755"/>
        </row>
        <row r="756">
          <cell r="A756"/>
          <cell r="B756"/>
          <cell r="C756"/>
          <cell r="D756"/>
          <cell r="E756"/>
          <cell r="F756"/>
          <cell r="G756"/>
          <cell r="H756"/>
          <cell r="I756"/>
          <cell r="J756"/>
          <cell r="K756"/>
          <cell r="L756"/>
          <cell r="M756"/>
          <cell r="N756"/>
          <cell r="O756"/>
          <cell r="P756"/>
          <cell r="Q756"/>
          <cell r="R756"/>
          <cell r="S756"/>
          <cell r="T756"/>
          <cell r="U756"/>
          <cell r="V756"/>
          <cell r="W756"/>
          <cell r="X756"/>
          <cell r="Y756"/>
          <cell r="Z756"/>
          <cell r="AA756"/>
          <cell r="AB756"/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/>
          <cell r="AS756"/>
          <cell r="AT756"/>
          <cell r="AU756"/>
          <cell r="AV756"/>
          <cell r="AW756"/>
          <cell r="AX756"/>
          <cell r="AY756"/>
          <cell r="AZ756"/>
        </row>
        <row r="757">
          <cell r="A757"/>
          <cell r="B757"/>
          <cell r="C757"/>
          <cell r="D757"/>
          <cell r="E757"/>
          <cell r="F757"/>
          <cell r="G757"/>
          <cell r="H757"/>
          <cell r="I757"/>
          <cell r="J757"/>
          <cell r="K757"/>
          <cell r="L757"/>
          <cell r="M757"/>
          <cell r="N757"/>
          <cell r="O757"/>
          <cell r="P757"/>
          <cell r="Q757"/>
          <cell r="R757"/>
          <cell r="S757"/>
          <cell r="T757"/>
          <cell r="U757"/>
          <cell r="V757"/>
          <cell r="W757"/>
          <cell r="X757"/>
          <cell r="Y757"/>
          <cell r="Z757"/>
          <cell r="AA757"/>
          <cell r="AB757"/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/>
          <cell r="AS757"/>
          <cell r="AT757"/>
          <cell r="AU757"/>
          <cell r="AV757"/>
          <cell r="AW757"/>
          <cell r="AX757"/>
          <cell r="AY757"/>
          <cell r="AZ757"/>
        </row>
        <row r="758">
          <cell r="A758"/>
          <cell r="B758"/>
          <cell r="C758"/>
          <cell r="D758"/>
          <cell r="E758"/>
          <cell r="F758"/>
          <cell r="G758"/>
          <cell r="H758"/>
          <cell r="I758"/>
          <cell r="J758"/>
          <cell r="K758"/>
          <cell r="L758"/>
          <cell r="M758"/>
          <cell r="N758"/>
          <cell r="O758"/>
          <cell r="P758"/>
          <cell r="Q758"/>
          <cell r="R758"/>
          <cell r="S758"/>
          <cell r="T758"/>
          <cell r="U758"/>
          <cell r="V758"/>
          <cell r="W758"/>
          <cell r="X758"/>
          <cell r="Y758"/>
          <cell r="Z758"/>
          <cell r="AA758"/>
          <cell r="AB758"/>
          <cell r="AC758"/>
          <cell r="AD758"/>
          <cell r="AE758"/>
          <cell r="AF758"/>
          <cell r="AG758"/>
          <cell r="AH758"/>
          <cell r="AI758"/>
          <cell r="AJ758"/>
          <cell r="AK758"/>
          <cell r="AL758"/>
          <cell r="AM758"/>
          <cell r="AN758"/>
          <cell r="AO758"/>
          <cell r="AP758"/>
          <cell r="AQ758"/>
          <cell r="AR758"/>
          <cell r="AS758"/>
          <cell r="AT758"/>
          <cell r="AU758"/>
          <cell r="AV758"/>
          <cell r="AW758"/>
          <cell r="AX758"/>
          <cell r="AY758"/>
          <cell r="AZ758"/>
        </row>
        <row r="759">
          <cell r="A759"/>
          <cell r="B759"/>
          <cell r="C759"/>
          <cell r="D759"/>
          <cell r="E759"/>
          <cell r="F759"/>
          <cell r="G759"/>
          <cell r="H759"/>
          <cell r="I759"/>
          <cell r="J759"/>
          <cell r="K759"/>
          <cell r="L759"/>
          <cell r="M759"/>
          <cell r="N759"/>
          <cell r="O759"/>
          <cell r="P759"/>
          <cell r="Q759"/>
          <cell r="R759"/>
          <cell r="S759"/>
          <cell r="T759"/>
          <cell r="U759"/>
          <cell r="V759"/>
          <cell r="W759"/>
          <cell r="X759"/>
          <cell r="Y759"/>
          <cell r="Z759"/>
          <cell r="AA759"/>
          <cell r="AB759"/>
          <cell r="AC759"/>
          <cell r="AD759"/>
          <cell r="AE759"/>
          <cell r="AF759"/>
          <cell r="AG759"/>
          <cell r="AH759"/>
          <cell r="AI759"/>
          <cell r="AJ759"/>
          <cell r="AK759"/>
          <cell r="AL759"/>
          <cell r="AM759"/>
          <cell r="AN759"/>
          <cell r="AO759"/>
          <cell r="AP759"/>
          <cell r="AQ759"/>
          <cell r="AR759"/>
          <cell r="AS759"/>
          <cell r="AT759"/>
          <cell r="AU759"/>
          <cell r="AV759"/>
          <cell r="AW759"/>
          <cell r="AX759"/>
          <cell r="AY759"/>
          <cell r="AZ759"/>
        </row>
        <row r="760">
          <cell r="A760"/>
          <cell r="B760"/>
          <cell r="C760"/>
          <cell r="D760"/>
          <cell r="E760"/>
          <cell r="F760"/>
          <cell r="G760"/>
          <cell r="H760"/>
          <cell r="I760"/>
          <cell r="J760"/>
          <cell r="K760"/>
          <cell r="L760"/>
          <cell r="M760"/>
          <cell r="N760"/>
          <cell r="O760"/>
          <cell r="P760"/>
          <cell r="Q760"/>
          <cell r="R760"/>
          <cell r="S760"/>
          <cell r="T760"/>
          <cell r="U760"/>
          <cell r="V760"/>
          <cell r="W760"/>
          <cell r="X760"/>
          <cell r="Y760"/>
          <cell r="Z760"/>
          <cell r="AA760"/>
          <cell r="AB760"/>
          <cell r="AC760"/>
          <cell r="AD760"/>
          <cell r="AE760"/>
          <cell r="AF760"/>
          <cell r="AG760"/>
          <cell r="AH760"/>
          <cell r="AI760"/>
          <cell r="AJ760"/>
          <cell r="AK760"/>
          <cell r="AL760"/>
          <cell r="AM760"/>
          <cell r="AN760"/>
          <cell r="AO760"/>
          <cell r="AP760"/>
          <cell r="AQ760"/>
          <cell r="AR760"/>
          <cell r="AS760"/>
          <cell r="AT760"/>
          <cell r="AU760"/>
          <cell r="AV760"/>
          <cell r="AW760"/>
          <cell r="AX760"/>
          <cell r="AY760"/>
          <cell r="AZ760"/>
        </row>
        <row r="761">
          <cell r="A761"/>
          <cell r="B761"/>
          <cell r="C761"/>
          <cell r="D761"/>
          <cell r="E761"/>
          <cell r="F761"/>
          <cell r="G761"/>
          <cell r="H761"/>
          <cell r="I761"/>
          <cell r="J761"/>
          <cell r="K761"/>
          <cell r="L761"/>
          <cell r="M761"/>
          <cell r="N761"/>
          <cell r="O761"/>
          <cell r="P761"/>
          <cell r="Q761"/>
          <cell r="R761"/>
          <cell r="S761"/>
          <cell r="T761"/>
          <cell r="U761"/>
          <cell r="V761"/>
          <cell r="W761"/>
          <cell r="X761"/>
          <cell r="Y761"/>
          <cell r="Z761"/>
          <cell r="AA761"/>
          <cell r="AB761"/>
          <cell r="AC761"/>
          <cell r="AD761"/>
          <cell r="AE761"/>
          <cell r="AF761"/>
          <cell r="AG761"/>
          <cell r="AH761"/>
          <cell r="AI761"/>
          <cell r="AJ761"/>
          <cell r="AK761"/>
          <cell r="AL761"/>
          <cell r="AM761"/>
          <cell r="AN761"/>
          <cell r="AO761"/>
          <cell r="AP761"/>
          <cell r="AQ761"/>
          <cell r="AR761"/>
          <cell r="AS761"/>
          <cell r="AT761"/>
          <cell r="AU761"/>
          <cell r="AV761"/>
          <cell r="AW761"/>
          <cell r="AX761"/>
          <cell r="AY761"/>
          <cell r="AZ761"/>
        </row>
        <row r="762">
          <cell r="A762"/>
          <cell r="B762"/>
          <cell r="C762"/>
          <cell r="D762"/>
          <cell r="E762"/>
          <cell r="F762"/>
          <cell r="G762"/>
          <cell r="H762"/>
          <cell r="I762"/>
          <cell r="J762"/>
          <cell r="K762"/>
          <cell r="L762"/>
          <cell r="M762"/>
          <cell r="N762"/>
          <cell r="O762"/>
          <cell r="P762"/>
          <cell r="Q762"/>
          <cell r="R762"/>
          <cell r="S762"/>
          <cell r="T762"/>
          <cell r="U762"/>
          <cell r="V762"/>
          <cell r="W762"/>
          <cell r="X762"/>
          <cell r="Y762"/>
          <cell r="Z762"/>
          <cell r="AA762"/>
          <cell r="AB762"/>
          <cell r="AC762"/>
          <cell r="AD762"/>
          <cell r="AE762"/>
          <cell r="AF762"/>
          <cell r="AG762"/>
          <cell r="AH762"/>
          <cell r="AI762"/>
          <cell r="AJ762"/>
          <cell r="AK762"/>
          <cell r="AL762"/>
          <cell r="AM762"/>
          <cell r="AN762"/>
          <cell r="AO762"/>
          <cell r="AP762"/>
          <cell r="AQ762"/>
          <cell r="AR762"/>
          <cell r="AS762"/>
          <cell r="AT762"/>
          <cell r="AU762"/>
          <cell r="AV762"/>
          <cell r="AW762"/>
          <cell r="AX762"/>
          <cell r="AY762"/>
          <cell r="AZ762"/>
        </row>
        <row r="763">
          <cell r="A763"/>
          <cell r="B763"/>
          <cell r="C763"/>
          <cell r="D763"/>
          <cell r="E763"/>
          <cell r="F763"/>
          <cell r="G763"/>
          <cell r="H763"/>
          <cell r="I763"/>
          <cell r="J763"/>
          <cell r="K763"/>
          <cell r="L763"/>
          <cell r="M763"/>
          <cell r="N763"/>
          <cell r="O763"/>
          <cell r="P763"/>
          <cell r="Q763"/>
          <cell r="R763"/>
          <cell r="S763"/>
          <cell r="T763"/>
          <cell r="U763"/>
          <cell r="V763"/>
          <cell r="W763"/>
          <cell r="X763"/>
          <cell r="Y763"/>
          <cell r="Z763"/>
          <cell r="AA763"/>
          <cell r="AB763"/>
          <cell r="AC763"/>
          <cell r="AD763"/>
          <cell r="AE763"/>
          <cell r="AF763"/>
          <cell r="AG763"/>
          <cell r="AH763"/>
          <cell r="AI763"/>
          <cell r="AJ763"/>
          <cell r="AK763"/>
          <cell r="AL763"/>
          <cell r="AM763"/>
          <cell r="AN763"/>
          <cell r="AO763"/>
          <cell r="AP763"/>
          <cell r="AQ763"/>
          <cell r="AR763"/>
          <cell r="AS763"/>
          <cell r="AT763"/>
          <cell r="AU763"/>
          <cell r="AV763"/>
          <cell r="AW763"/>
          <cell r="AX763"/>
          <cell r="AY763"/>
          <cell r="AZ763"/>
        </row>
        <row r="764">
          <cell r="A764"/>
          <cell r="B764"/>
          <cell r="C764"/>
          <cell r="D764"/>
          <cell r="E764"/>
          <cell r="F764"/>
          <cell r="G764"/>
          <cell r="H764"/>
          <cell r="I764"/>
          <cell r="J764"/>
          <cell r="K764"/>
          <cell r="L764"/>
          <cell r="M764"/>
          <cell r="N764"/>
          <cell r="O764"/>
          <cell r="P764"/>
          <cell r="Q764"/>
          <cell r="R764"/>
          <cell r="S764"/>
          <cell r="T764"/>
          <cell r="U764"/>
          <cell r="V764"/>
          <cell r="W764"/>
          <cell r="X764"/>
          <cell r="Y764"/>
          <cell r="Z764"/>
          <cell r="AA764"/>
          <cell r="AB764"/>
          <cell r="AC764"/>
          <cell r="AD764"/>
          <cell r="AE764"/>
          <cell r="AF764"/>
          <cell r="AG764"/>
          <cell r="AH764"/>
          <cell r="AI764"/>
          <cell r="AJ764"/>
          <cell r="AK764"/>
          <cell r="AL764"/>
          <cell r="AM764"/>
          <cell r="AN764"/>
          <cell r="AO764"/>
          <cell r="AP764"/>
          <cell r="AQ764"/>
          <cell r="AR764"/>
          <cell r="AS764"/>
          <cell r="AT764"/>
          <cell r="AU764"/>
          <cell r="AV764"/>
          <cell r="AW764"/>
          <cell r="AX764"/>
          <cell r="AY764"/>
          <cell r="AZ764"/>
        </row>
        <row r="765">
          <cell r="A765"/>
          <cell r="B765"/>
          <cell r="C765"/>
          <cell r="D765"/>
          <cell r="E765"/>
          <cell r="F765"/>
          <cell r="G765"/>
          <cell r="H765"/>
          <cell r="I765"/>
          <cell r="J765"/>
          <cell r="K765"/>
          <cell r="L765"/>
          <cell r="M765"/>
          <cell r="N765"/>
          <cell r="O765"/>
          <cell r="P765"/>
          <cell r="Q765"/>
          <cell r="R765"/>
          <cell r="S765"/>
          <cell r="T765"/>
          <cell r="U765"/>
          <cell r="V765"/>
          <cell r="W765"/>
          <cell r="X765"/>
          <cell r="Y765"/>
          <cell r="Z765"/>
          <cell r="AA765"/>
          <cell r="AB765"/>
          <cell r="AC765"/>
          <cell r="AD765"/>
          <cell r="AE765"/>
          <cell r="AF765"/>
          <cell r="AG765"/>
          <cell r="AH765"/>
          <cell r="AI765"/>
          <cell r="AJ765"/>
          <cell r="AK765"/>
          <cell r="AL765"/>
          <cell r="AM765"/>
          <cell r="AN765"/>
          <cell r="AO765"/>
          <cell r="AP765"/>
          <cell r="AQ765"/>
          <cell r="AR765"/>
          <cell r="AS765"/>
          <cell r="AT765"/>
          <cell r="AU765"/>
          <cell r="AV765"/>
          <cell r="AW765"/>
          <cell r="AX765"/>
          <cell r="AY765"/>
          <cell r="AZ765"/>
        </row>
        <row r="766">
          <cell r="A766"/>
          <cell r="B766"/>
          <cell r="C766"/>
          <cell r="D766"/>
          <cell r="E766"/>
          <cell r="F766"/>
          <cell r="G766"/>
          <cell r="H766"/>
          <cell r="I766"/>
          <cell r="J766"/>
          <cell r="K766"/>
          <cell r="L766"/>
          <cell r="M766"/>
          <cell r="N766"/>
          <cell r="O766"/>
          <cell r="P766"/>
          <cell r="Q766"/>
          <cell r="R766"/>
          <cell r="S766"/>
          <cell r="T766"/>
          <cell r="U766"/>
          <cell r="V766"/>
          <cell r="W766"/>
          <cell r="X766"/>
          <cell r="Y766"/>
          <cell r="Z766"/>
          <cell r="AA766"/>
          <cell r="AB766"/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/>
          <cell r="AS766"/>
          <cell r="AT766"/>
          <cell r="AU766"/>
          <cell r="AV766"/>
          <cell r="AW766"/>
          <cell r="AX766"/>
          <cell r="AY766"/>
          <cell r="AZ766"/>
        </row>
        <row r="767">
          <cell r="A767"/>
          <cell r="B767"/>
          <cell r="C767"/>
          <cell r="D767"/>
          <cell r="E767"/>
          <cell r="F767"/>
          <cell r="G767"/>
          <cell r="H767"/>
          <cell r="I767"/>
          <cell r="J767"/>
          <cell r="K767"/>
          <cell r="L767"/>
          <cell r="M767"/>
          <cell r="N767"/>
          <cell r="O767"/>
          <cell r="P767"/>
          <cell r="Q767"/>
          <cell r="R767"/>
          <cell r="S767"/>
          <cell r="T767"/>
          <cell r="U767"/>
          <cell r="V767"/>
          <cell r="W767"/>
          <cell r="X767"/>
          <cell r="Y767"/>
          <cell r="Z767"/>
          <cell r="AA767"/>
          <cell r="AB767"/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/>
          <cell r="AS767"/>
          <cell r="AT767"/>
          <cell r="AU767"/>
          <cell r="AV767"/>
          <cell r="AW767"/>
          <cell r="AX767"/>
          <cell r="AY767"/>
          <cell r="AZ767"/>
        </row>
        <row r="768">
          <cell r="A768"/>
          <cell r="B768"/>
          <cell r="C768"/>
          <cell r="D768"/>
          <cell r="E768"/>
          <cell r="F768"/>
          <cell r="G768"/>
          <cell r="H768"/>
          <cell r="I768"/>
          <cell r="J768"/>
          <cell r="K768"/>
          <cell r="L768"/>
          <cell r="M768"/>
          <cell r="N768"/>
          <cell r="O768"/>
          <cell r="P768"/>
          <cell r="Q768"/>
          <cell r="R768"/>
          <cell r="S768"/>
          <cell r="T768"/>
          <cell r="U768"/>
          <cell r="V768"/>
          <cell r="W768"/>
          <cell r="X768"/>
          <cell r="Y768"/>
          <cell r="Z768"/>
          <cell r="AA768"/>
          <cell r="AB768"/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/>
          <cell r="AS768"/>
          <cell r="AT768"/>
          <cell r="AU768"/>
          <cell r="AV768"/>
          <cell r="AW768"/>
          <cell r="AX768"/>
          <cell r="AY768"/>
          <cell r="AZ768"/>
        </row>
        <row r="769">
          <cell r="A769"/>
          <cell r="B769"/>
          <cell r="C769"/>
          <cell r="D769"/>
          <cell r="E769"/>
          <cell r="F769"/>
          <cell r="G769"/>
          <cell r="H769"/>
          <cell r="I769"/>
          <cell r="J769"/>
          <cell r="K769"/>
          <cell r="L769"/>
          <cell r="M769"/>
          <cell r="N769"/>
          <cell r="O769"/>
          <cell r="P769"/>
          <cell r="Q769"/>
          <cell r="R769"/>
          <cell r="S769"/>
          <cell r="T769"/>
          <cell r="U769"/>
          <cell r="V769"/>
          <cell r="W769"/>
          <cell r="X769"/>
          <cell r="Y769"/>
          <cell r="Z769"/>
          <cell r="AA769"/>
          <cell r="AB769"/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/>
          <cell r="AS769"/>
          <cell r="AT769"/>
          <cell r="AU769"/>
          <cell r="AV769"/>
          <cell r="AW769"/>
          <cell r="AX769"/>
          <cell r="AY769"/>
          <cell r="AZ769"/>
        </row>
        <row r="770">
          <cell r="A770"/>
          <cell r="B770"/>
          <cell r="C770"/>
          <cell r="D770"/>
          <cell r="E770"/>
          <cell r="F770"/>
          <cell r="G770"/>
          <cell r="H770"/>
          <cell r="I770"/>
          <cell r="J770"/>
          <cell r="K770"/>
          <cell r="L770"/>
          <cell r="M770"/>
          <cell r="N770"/>
          <cell r="O770"/>
          <cell r="P770"/>
          <cell r="Q770"/>
          <cell r="R770"/>
          <cell r="S770"/>
          <cell r="T770"/>
          <cell r="U770"/>
          <cell r="V770"/>
          <cell r="W770"/>
          <cell r="X770"/>
          <cell r="Y770"/>
          <cell r="Z770"/>
          <cell r="AA770"/>
          <cell r="AB770"/>
          <cell r="AC770"/>
          <cell r="AD770"/>
          <cell r="AE770"/>
          <cell r="AF770"/>
          <cell r="AG770"/>
          <cell r="AH770"/>
          <cell r="AI770"/>
          <cell r="AJ770"/>
          <cell r="AK770"/>
          <cell r="AL770"/>
          <cell r="AM770"/>
          <cell r="AN770"/>
          <cell r="AO770"/>
          <cell r="AP770"/>
          <cell r="AQ770"/>
          <cell r="AR770"/>
          <cell r="AS770"/>
          <cell r="AT770"/>
          <cell r="AU770"/>
          <cell r="AV770"/>
          <cell r="AW770"/>
          <cell r="AX770"/>
          <cell r="AY770"/>
          <cell r="AZ770"/>
        </row>
        <row r="771">
          <cell r="A771"/>
          <cell r="B771"/>
          <cell r="C771"/>
          <cell r="D771"/>
          <cell r="E771"/>
          <cell r="F771"/>
          <cell r="G771"/>
          <cell r="H771"/>
          <cell r="I771"/>
          <cell r="J771"/>
          <cell r="K771"/>
          <cell r="L771"/>
          <cell r="M771"/>
          <cell r="N771"/>
          <cell r="O771"/>
          <cell r="P771"/>
          <cell r="Q771"/>
          <cell r="R771"/>
          <cell r="S771"/>
          <cell r="T771"/>
          <cell r="U771"/>
          <cell r="V771"/>
          <cell r="W771"/>
          <cell r="X771"/>
          <cell r="Y771"/>
          <cell r="Z771"/>
          <cell r="AA771"/>
          <cell r="AB771"/>
          <cell r="AC771"/>
          <cell r="AD771"/>
          <cell r="AE771"/>
          <cell r="AF771"/>
          <cell r="AG771"/>
          <cell r="AH771"/>
          <cell r="AI771"/>
          <cell r="AJ771"/>
          <cell r="AK771"/>
          <cell r="AL771"/>
          <cell r="AM771"/>
          <cell r="AN771"/>
          <cell r="AO771"/>
          <cell r="AP771"/>
          <cell r="AQ771"/>
          <cell r="AR771"/>
          <cell r="AS771"/>
          <cell r="AT771"/>
          <cell r="AU771"/>
          <cell r="AV771"/>
          <cell r="AW771"/>
          <cell r="AX771"/>
          <cell r="AY771"/>
          <cell r="AZ771"/>
        </row>
        <row r="772">
          <cell r="A772"/>
          <cell r="B772"/>
          <cell r="C772"/>
          <cell r="D772"/>
          <cell r="E772"/>
          <cell r="F772"/>
          <cell r="G772"/>
          <cell r="H772"/>
          <cell r="I772"/>
          <cell r="J772"/>
          <cell r="K772"/>
          <cell r="L772"/>
          <cell r="M772"/>
          <cell r="N772"/>
          <cell r="O772"/>
          <cell r="P772"/>
          <cell r="Q772"/>
          <cell r="R772"/>
          <cell r="S772"/>
          <cell r="T772"/>
          <cell r="U772"/>
          <cell r="V772"/>
          <cell r="W772"/>
          <cell r="X772"/>
          <cell r="Y772"/>
          <cell r="Z772"/>
          <cell r="AA772"/>
          <cell r="AB772"/>
          <cell r="AC772"/>
          <cell r="AD772"/>
          <cell r="AE772"/>
          <cell r="AF772"/>
          <cell r="AG772"/>
          <cell r="AH772"/>
          <cell r="AI772"/>
          <cell r="AJ772"/>
          <cell r="AK772"/>
          <cell r="AL772"/>
          <cell r="AM772"/>
          <cell r="AN772"/>
          <cell r="AO772"/>
          <cell r="AP772"/>
          <cell r="AQ772"/>
          <cell r="AR772"/>
          <cell r="AS772"/>
          <cell r="AT772"/>
          <cell r="AU772"/>
          <cell r="AV772"/>
          <cell r="AW772"/>
          <cell r="AX772"/>
          <cell r="AY772"/>
          <cell r="AZ772"/>
        </row>
        <row r="773">
          <cell r="A773"/>
          <cell r="B773"/>
          <cell r="C773"/>
          <cell r="D773"/>
          <cell r="E773"/>
          <cell r="F773"/>
          <cell r="G773"/>
          <cell r="H773"/>
          <cell r="I773"/>
          <cell r="J773"/>
          <cell r="K773"/>
          <cell r="L773"/>
          <cell r="M773"/>
          <cell r="N773"/>
          <cell r="O773"/>
          <cell r="P773"/>
          <cell r="Q773"/>
          <cell r="R773"/>
          <cell r="S773"/>
          <cell r="T773"/>
          <cell r="U773"/>
          <cell r="V773"/>
          <cell r="W773"/>
          <cell r="X773"/>
          <cell r="Y773"/>
          <cell r="Z773"/>
          <cell r="AA773"/>
          <cell r="AB773"/>
          <cell r="AC773"/>
          <cell r="AD773"/>
          <cell r="AE773"/>
          <cell r="AF773"/>
          <cell r="AG773"/>
          <cell r="AH773"/>
          <cell r="AI773"/>
          <cell r="AJ773"/>
          <cell r="AK773"/>
          <cell r="AL773"/>
          <cell r="AM773"/>
          <cell r="AN773"/>
          <cell r="AO773"/>
          <cell r="AP773"/>
          <cell r="AQ773"/>
          <cell r="AR773"/>
          <cell r="AS773"/>
          <cell r="AT773"/>
          <cell r="AU773"/>
          <cell r="AV773"/>
          <cell r="AW773"/>
          <cell r="AX773"/>
          <cell r="AY773"/>
          <cell r="AZ773"/>
        </row>
        <row r="774">
          <cell r="A774"/>
          <cell r="B774"/>
          <cell r="C774"/>
          <cell r="D774"/>
          <cell r="E774"/>
          <cell r="F774"/>
          <cell r="G774"/>
          <cell r="H774"/>
          <cell r="I774"/>
          <cell r="J774"/>
          <cell r="K774"/>
          <cell r="L774"/>
          <cell r="M774"/>
          <cell r="N774"/>
          <cell r="O774"/>
          <cell r="P774"/>
          <cell r="Q774"/>
          <cell r="R774"/>
          <cell r="S774"/>
          <cell r="T774"/>
          <cell r="U774"/>
          <cell r="V774"/>
          <cell r="W774"/>
          <cell r="X774"/>
          <cell r="Y774"/>
          <cell r="Z774"/>
          <cell r="AA774"/>
          <cell r="AB774"/>
          <cell r="AC774"/>
          <cell r="AD774"/>
          <cell r="AE774"/>
          <cell r="AF774"/>
          <cell r="AG774"/>
          <cell r="AH774"/>
          <cell r="AI774"/>
          <cell r="AJ774"/>
          <cell r="AK774"/>
          <cell r="AL774"/>
          <cell r="AM774"/>
          <cell r="AN774"/>
          <cell r="AO774"/>
          <cell r="AP774"/>
          <cell r="AQ774"/>
          <cell r="AR774"/>
          <cell r="AS774"/>
          <cell r="AT774"/>
          <cell r="AU774"/>
          <cell r="AV774"/>
          <cell r="AW774"/>
          <cell r="AX774"/>
          <cell r="AY774"/>
          <cell r="AZ774"/>
        </row>
        <row r="775">
          <cell r="A775"/>
          <cell r="B775"/>
          <cell r="C775"/>
          <cell r="D775"/>
          <cell r="E775"/>
          <cell r="F775"/>
          <cell r="G775"/>
          <cell r="H775"/>
          <cell r="I775"/>
          <cell r="J775"/>
          <cell r="K775"/>
          <cell r="L775"/>
          <cell r="M775"/>
          <cell r="N775"/>
          <cell r="O775"/>
          <cell r="P775"/>
          <cell r="Q775"/>
          <cell r="R775"/>
          <cell r="S775"/>
          <cell r="T775"/>
          <cell r="U775"/>
          <cell r="V775"/>
          <cell r="W775"/>
          <cell r="X775"/>
          <cell r="Y775"/>
          <cell r="Z775"/>
          <cell r="AA775"/>
          <cell r="AB775"/>
          <cell r="AC775"/>
          <cell r="AD775"/>
          <cell r="AE775"/>
          <cell r="AF775"/>
          <cell r="AG775"/>
          <cell r="AH775"/>
          <cell r="AI775"/>
          <cell r="AJ775"/>
          <cell r="AK775"/>
          <cell r="AL775"/>
          <cell r="AM775"/>
          <cell r="AN775"/>
          <cell r="AO775"/>
          <cell r="AP775"/>
          <cell r="AQ775"/>
          <cell r="AR775"/>
          <cell r="AS775"/>
          <cell r="AT775"/>
          <cell r="AU775"/>
          <cell r="AV775"/>
          <cell r="AW775"/>
          <cell r="AX775"/>
          <cell r="AY775"/>
          <cell r="AZ775"/>
        </row>
        <row r="776">
          <cell r="A776"/>
          <cell r="B776"/>
          <cell r="C776"/>
          <cell r="D776"/>
          <cell r="E776"/>
          <cell r="F776"/>
          <cell r="G776"/>
          <cell r="H776"/>
          <cell r="I776"/>
          <cell r="J776"/>
          <cell r="K776"/>
          <cell r="L776"/>
          <cell r="M776"/>
          <cell r="N776"/>
          <cell r="O776"/>
          <cell r="P776"/>
          <cell r="Q776"/>
          <cell r="R776"/>
          <cell r="S776"/>
          <cell r="T776"/>
          <cell r="U776"/>
          <cell r="V776"/>
          <cell r="W776"/>
          <cell r="X776"/>
          <cell r="Y776"/>
          <cell r="Z776"/>
          <cell r="AA776"/>
          <cell r="AB776"/>
          <cell r="AC776"/>
          <cell r="AD776"/>
          <cell r="AE776"/>
          <cell r="AF776"/>
          <cell r="AG776"/>
          <cell r="AH776"/>
          <cell r="AI776"/>
          <cell r="AJ776"/>
          <cell r="AK776"/>
          <cell r="AL776"/>
          <cell r="AM776"/>
          <cell r="AN776"/>
          <cell r="AO776"/>
          <cell r="AP776"/>
          <cell r="AQ776"/>
          <cell r="AR776"/>
          <cell r="AS776"/>
          <cell r="AT776"/>
          <cell r="AU776"/>
          <cell r="AV776"/>
          <cell r="AW776"/>
          <cell r="AX776"/>
          <cell r="AY776"/>
          <cell r="AZ776"/>
        </row>
        <row r="777">
          <cell r="A777"/>
          <cell r="B777"/>
          <cell r="C777"/>
          <cell r="D777"/>
          <cell r="E777"/>
          <cell r="F777"/>
          <cell r="G777"/>
          <cell r="H777"/>
          <cell r="I777"/>
          <cell r="J777"/>
          <cell r="K777"/>
          <cell r="L777"/>
          <cell r="M777"/>
          <cell r="N777"/>
          <cell r="O777"/>
          <cell r="P777"/>
          <cell r="Q777"/>
          <cell r="R777"/>
          <cell r="S777"/>
          <cell r="T777"/>
          <cell r="U777"/>
          <cell r="V777"/>
          <cell r="W777"/>
          <cell r="X777"/>
          <cell r="Y777"/>
          <cell r="Z777"/>
          <cell r="AA777"/>
          <cell r="AB777"/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/>
          <cell r="AS777"/>
          <cell r="AT777"/>
          <cell r="AU777"/>
          <cell r="AV777"/>
          <cell r="AW777"/>
          <cell r="AX777"/>
          <cell r="AY777"/>
          <cell r="AZ777"/>
        </row>
        <row r="778">
          <cell r="A778"/>
          <cell r="B778"/>
          <cell r="C778"/>
          <cell r="D778"/>
          <cell r="E778"/>
          <cell r="F778"/>
          <cell r="G778"/>
          <cell r="H778"/>
          <cell r="I778"/>
          <cell r="J778"/>
          <cell r="K778"/>
          <cell r="L778"/>
          <cell r="M778"/>
          <cell r="N778"/>
          <cell r="O778"/>
          <cell r="P778"/>
          <cell r="Q778"/>
          <cell r="R778"/>
          <cell r="S778"/>
          <cell r="T778"/>
          <cell r="U778"/>
          <cell r="V778"/>
          <cell r="W778"/>
          <cell r="X778"/>
          <cell r="Y778"/>
          <cell r="Z778"/>
          <cell r="AA778"/>
          <cell r="AB778"/>
          <cell r="AC778"/>
          <cell r="AD778"/>
          <cell r="AE778"/>
          <cell r="AF778"/>
          <cell r="AG778"/>
          <cell r="AH778"/>
          <cell r="AI778"/>
          <cell r="AJ778"/>
          <cell r="AK778"/>
          <cell r="AL778"/>
          <cell r="AM778"/>
          <cell r="AN778"/>
          <cell r="AO778"/>
          <cell r="AP778"/>
          <cell r="AQ778"/>
          <cell r="AR778"/>
          <cell r="AS778"/>
          <cell r="AT778"/>
          <cell r="AU778"/>
          <cell r="AV778"/>
          <cell r="AW778"/>
          <cell r="AX778"/>
          <cell r="AY778"/>
          <cell r="AZ778"/>
        </row>
        <row r="779">
          <cell r="A779"/>
          <cell r="B779"/>
          <cell r="C779"/>
          <cell r="D779"/>
          <cell r="E779"/>
          <cell r="F779"/>
          <cell r="G779"/>
          <cell r="H779"/>
          <cell r="I779"/>
          <cell r="J779"/>
          <cell r="K779"/>
          <cell r="L779"/>
          <cell r="M779"/>
          <cell r="N779"/>
          <cell r="O779"/>
          <cell r="P779"/>
          <cell r="Q779"/>
          <cell r="R779"/>
          <cell r="S779"/>
          <cell r="T779"/>
          <cell r="U779"/>
          <cell r="V779"/>
          <cell r="W779"/>
          <cell r="X779"/>
          <cell r="Y779"/>
          <cell r="Z779"/>
          <cell r="AA779"/>
          <cell r="AB779"/>
          <cell r="AC779"/>
          <cell r="AD779"/>
          <cell r="AE779"/>
          <cell r="AF779"/>
          <cell r="AG779"/>
          <cell r="AH779"/>
          <cell r="AI779"/>
          <cell r="AJ779"/>
          <cell r="AK779"/>
          <cell r="AL779"/>
          <cell r="AM779"/>
          <cell r="AN779"/>
          <cell r="AO779"/>
          <cell r="AP779"/>
          <cell r="AQ779"/>
          <cell r="AR779"/>
          <cell r="AS779"/>
          <cell r="AT779"/>
          <cell r="AU779"/>
          <cell r="AV779"/>
          <cell r="AW779"/>
          <cell r="AX779"/>
          <cell r="AY779"/>
          <cell r="AZ779"/>
        </row>
        <row r="780">
          <cell r="A780"/>
          <cell r="B780"/>
          <cell r="C780"/>
          <cell r="D780"/>
          <cell r="E780"/>
          <cell r="F780"/>
          <cell r="G780"/>
          <cell r="H780"/>
          <cell r="I780"/>
          <cell r="J780"/>
          <cell r="K780"/>
          <cell r="L780"/>
          <cell r="M780"/>
          <cell r="N780"/>
          <cell r="O780"/>
          <cell r="P780"/>
          <cell r="Q780"/>
          <cell r="R780"/>
          <cell r="S780"/>
          <cell r="T780"/>
          <cell r="U780"/>
          <cell r="V780"/>
          <cell r="W780"/>
          <cell r="X780"/>
          <cell r="Y780"/>
          <cell r="Z780"/>
          <cell r="AA780"/>
          <cell r="AB780"/>
          <cell r="AC780"/>
          <cell r="AD780"/>
          <cell r="AE780"/>
          <cell r="AF780"/>
          <cell r="AG780"/>
          <cell r="AH780"/>
          <cell r="AI780"/>
          <cell r="AJ780"/>
          <cell r="AK780"/>
          <cell r="AL780"/>
          <cell r="AM780"/>
          <cell r="AN780"/>
          <cell r="AO780"/>
          <cell r="AP780"/>
          <cell r="AQ780"/>
          <cell r="AR780"/>
          <cell r="AS780"/>
          <cell r="AT780"/>
          <cell r="AU780"/>
          <cell r="AV780"/>
          <cell r="AW780"/>
          <cell r="AX780"/>
          <cell r="AY780"/>
          <cell r="AZ780"/>
        </row>
        <row r="781">
          <cell r="A781"/>
          <cell r="B781"/>
          <cell r="C781"/>
          <cell r="D781"/>
          <cell r="E781"/>
          <cell r="F781"/>
          <cell r="G781"/>
          <cell r="H781"/>
          <cell r="I781"/>
          <cell r="J781"/>
          <cell r="K781"/>
          <cell r="L781"/>
          <cell r="M781"/>
          <cell r="N781"/>
          <cell r="O781"/>
          <cell r="P781"/>
          <cell r="Q781"/>
          <cell r="R781"/>
          <cell r="S781"/>
          <cell r="T781"/>
          <cell r="U781"/>
          <cell r="V781"/>
          <cell r="W781"/>
          <cell r="X781"/>
          <cell r="Y781"/>
          <cell r="Z781"/>
          <cell r="AA781"/>
          <cell r="AB781"/>
          <cell r="AC781"/>
          <cell r="AD781"/>
          <cell r="AE781"/>
          <cell r="AF781"/>
          <cell r="AG781"/>
          <cell r="AH781"/>
          <cell r="AI781"/>
          <cell r="AJ781"/>
          <cell r="AK781"/>
          <cell r="AL781"/>
          <cell r="AM781"/>
          <cell r="AN781"/>
          <cell r="AO781"/>
          <cell r="AP781"/>
          <cell r="AQ781"/>
          <cell r="AR781"/>
          <cell r="AS781"/>
          <cell r="AT781"/>
          <cell r="AU781"/>
          <cell r="AV781"/>
          <cell r="AW781"/>
          <cell r="AX781"/>
          <cell r="AY781"/>
          <cell r="AZ781"/>
        </row>
        <row r="782">
          <cell r="A782"/>
          <cell r="B782"/>
          <cell r="C782"/>
          <cell r="D782"/>
          <cell r="E782"/>
          <cell r="F782"/>
          <cell r="G782"/>
          <cell r="H782"/>
          <cell r="I782"/>
          <cell r="J782"/>
          <cell r="K782"/>
          <cell r="L782"/>
          <cell r="M782"/>
          <cell r="N782"/>
          <cell r="O782"/>
          <cell r="P782"/>
          <cell r="Q782"/>
          <cell r="R782"/>
          <cell r="S782"/>
          <cell r="T782"/>
          <cell r="U782"/>
          <cell r="V782"/>
          <cell r="W782"/>
          <cell r="X782"/>
          <cell r="Y782"/>
          <cell r="Z782"/>
          <cell r="AA782"/>
          <cell r="AB782"/>
          <cell r="AC782"/>
          <cell r="AD782"/>
          <cell r="AE782"/>
          <cell r="AF782"/>
          <cell r="AG782"/>
          <cell r="AH782"/>
          <cell r="AI782"/>
          <cell r="AJ782"/>
          <cell r="AK782"/>
          <cell r="AL782"/>
          <cell r="AM782"/>
          <cell r="AN782"/>
          <cell r="AO782"/>
          <cell r="AP782"/>
          <cell r="AQ782"/>
          <cell r="AR782"/>
          <cell r="AS782"/>
          <cell r="AT782"/>
          <cell r="AU782"/>
          <cell r="AV782"/>
          <cell r="AW782"/>
          <cell r="AX782"/>
          <cell r="AY782"/>
          <cell r="AZ782"/>
        </row>
        <row r="783">
          <cell r="A783"/>
          <cell r="B783"/>
          <cell r="C783"/>
          <cell r="D783"/>
          <cell r="E783"/>
          <cell r="F783"/>
          <cell r="G783"/>
          <cell r="H783"/>
          <cell r="I783"/>
          <cell r="J783"/>
          <cell r="K783"/>
          <cell r="L783"/>
          <cell r="M783"/>
          <cell r="N783"/>
          <cell r="O783"/>
          <cell r="P783"/>
          <cell r="Q783"/>
          <cell r="R783"/>
          <cell r="S783"/>
          <cell r="T783"/>
          <cell r="U783"/>
          <cell r="V783"/>
          <cell r="W783"/>
          <cell r="X783"/>
          <cell r="Y783"/>
          <cell r="Z783"/>
          <cell r="AA783"/>
          <cell r="AB783"/>
          <cell r="AC783"/>
          <cell r="AD783"/>
          <cell r="AE783"/>
          <cell r="AF783"/>
          <cell r="AG783"/>
          <cell r="AH783"/>
          <cell r="AI783"/>
          <cell r="AJ783"/>
          <cell r="AK783"/>
          <cell r="AL783"/>
          <cell r="AM783"/>
          <cell r="AN783"/>
          <cell r="AO783"/>
          <cell r="AP783"/>
          <cell r="AQ783"/>
          <cell r="AR783"/>
          <cell r="AS783"/>
          <cell r="AT783"/>
          <cell r="AU783"/>
          <cell r="AV783"/>
          <cell r="AW783"/>
          <cell r="AX783"/>
          <cell r="AY783"/>
          <cell r="AZ783"/>
        </row>
        <row r="784">
          <cell r="A784"/>
          <cell r="B784"/>
          <cell r="C784"/>
          <cell r="D784"/>
          <cell r="E784"/>
          <cell r="F784"/>
          <cell r="G784"/>
          <cell r="H784"/>
          <cell r="I784"/>
          <cell r="J784"/>
          <cell r="K784"/>
          <cell r="L784"/>
          <cell r="M784"/>
          <cell r="N784"/>
          <cell r="O784"/>
          <cell r="P784"/>
          <cell r="Q784"/>
          <cell r="R784"/>
          <cell r="S784"/>
          <cell r="T784"/>
          <cell r="U784"/>
          <cell r="V784"/>
          <cell r="W784"/>
          <cell r="X784"/>
          <cell r="Y784"/>
          <cell r="Z784"/>
          <cell r="AA784"/>
          <cell r="AB784"/>
          <cell r="AC784"/>
          <cell r="AD784"/>
          <cell r="AE784"/>
          <cell r="AF784"/>
          <cell r="AG784"/>
          <cell r="AH784"/>
          <cell r="AI784"/>
          <cell r="AJ784"/>
          <cell r="AK784"/>
          <cell r="AL784"/>
          <cell r="AM784"/>
          <cell r="AN784"/>
          <cell r="AO784"/>
          <cell r="AP784"/>
          <cell r="AQ784"/>
          <cell r="AR784"/>
          <cell r="AS784"/>
          <cell r="AT784"/>
          <cell r="AU784"/>
          <cell r="AV784"/>
          <cell r="AW784"/>
          <cell r="AX784"/>
          <cell r="AY784"/>
          <cell r="AZ784"/>
        </row>
        <row r="785">
          <cell r="A785"/>
          <cell r="B785"/>
          <cell r="C785"/>
          <cell r="D785"/>
          <cell r="E785"/>
          <cell r="F785"/>
          <cell r="G785"/>
          <cell r="H785"/>
          <cell r="I785"/>
          <cell r="J785"/>
          <cell r="K785"/>
          <cell r="L785"/>
          <cell r="M785"/>
          <cell r="N785"/>
          <cell r="O785"/>
          <cell r="P785"/>
          <cell r="Q785"/>
          <cell r="R785"/>
          <cell r="S785"/>
          <cell r="T785"/>
          <cell r="U785"/>
          <cell r="V785"/>
          <cell r="W785"/>
          <cell r="X785"/>
          <cell r="Y785"/>
          <cell r="Z785"/>
          <cell r="AA785"/>
          <cell r="AB785"/>
          <cell r="AC785"/>
          <cell r="AD785"/>
          <cell r="AE785"/>
          <cell r="AF785"/>
          <cell r="AG785"/>
          <cell r="AH785"/>
          <cell r="AI785"/>
          <cell r="AJ785"/>
          <cell r="AK785"/>
          <cell r="AL785"/>
          <cell r="AM785"/>
          <cell r="AN785"/>
          <cell r="AO785"/>
          <cell r="AP785"/>
          <cell r="AQ785"/>
          <cell r="AR785"/>
          <cell r="AS785"/>
          <cell r="AT785"/>
          <cell r="AU785"/>
          <cell r="AV785"/>
          <cell r="AW785"/>
          <cell r="AX785"/>
          <cell r="AY785"/>
          <cell r="AZ785"/>
        </row>
        <row r="786">
          <cell r="A786"/>
          <cell r="B786"/>
          <cell r="C786"/>
          <cell r="D786"/>
          <cell r="E786"/>
          <cell r="F786"/>
          <cell r="G786"/>
          <cell r="H786"/>
          <cell r="I786"/>
          <cell r="J786"/>
          <cell r="K786"/>
          <cell r="L786"/>
          <cell r="M786"/>
          <cell r="N786"/>
          <cell r="O786"/>
          <cell r="P786"/>
          <cell r="Q786"/>
          <cell r="R786"/>
          <cell r="S786"/>
          <cell r="T786"/>
          <cell r="U786"/>
          <cell r="V786"/>
          <cell r="W786"/>
          <cell r="X786"/>
          <cell r="Y786"/>
          <cell r="Z786"/>
          <cell r="AA786"/>
          <cell r="AB786"/>
          <cell r="AC786"/>
          <cell r="AD786"/>
          <cell r="AE786"/>
          <cell r="AF786"/>
          <cell r="AG786"/>
          <cell r="AH786"/>
          <cell r="AI786"/>
          <cell r="AJ786"/>
          <cell r="AK786"/>
          <cell r="AL786"/>
          <cell r="AM786"/>
          <cell r="AN786"/>
          <cell r="AO786"/>
          <cell r="AP786"/>
          <cell r="AQ786"/>
          <cell r="AR786"/>
          <cell r="AS786"/>
          <cell r="AT786"/>
          <cell r="AU786"/>
          <cell r="AV786"/>
          <cell r="AW786"/>
          <cell r="AX786"/>
          <cell r="AY786"/>
          <cell r="AZ786"/>
        </row>
        <row r="787">
          <cell r="A787"/>
          <cell r="B787"/>
          <cell r="C787"/>
          <cell r="D787"/>
          <cell r="E787"/>
          <cell r="F787"/>
          <cell r="G787"/>
          <cell r="H787"/>
          <cell r="I787"/>
          <cell r="J787"/>
          <cell r="K787"/>
          <cell r="L787"/>
          <cell r="M787"/>
          <cell r="N787"/>
          <cell r="O787"/>
          <cell r="P787"/>
          <cell r="Q787"/>
          <cell r="R787"/>
          <cell r="S787"/>
          <cell r="T787"/>
          <cell r="U787"/>
          <cell r="V787"/>
          <cell r="W787"/>
          <cell r="X787"/>
          <cell r="Y787"/>
          <cell r="Z787"/>
          <cell r="AA787"/>
          <cell r="AB787"/>
          <cell r="AC787"/>
          <cell r="AD787"/>
          <cell r="AE787"/>
          <cell r="AF787"/>
          <cell r="AG787"/>
          <cell r="AH787"/>
          <cell r="AI787"/>
          <cell r="AJ787"/>
          <cell r="AK787"/>
          <cell r="AL787"/>
          <cell r="AM787"/>
          <cell r="AN787"/>
          <cell r="AO787"/>
          <cell r="AP787"/>
          <cell r="AQ787"/>
          <cell r="AR787"/>
          <cell r="AS787"/>
          <cell r="AT787"/>
          <cell r="AU787"/>
          <cell r="AV787"/>
          <cell r="AW787"/>
          <cell r="AX787"/>
          <cell r="AY787"/>
          <cell r="AZ787"/>
        </row>
        <row r="788">
          <cell r="A788"/>
          <cell r="B788"/>
          <cell r="C788"/>
          <cell r="D788"/>
          <cell r="E788"/>
          <cell r="F788"/>
          <cell r="G788"/>
          <cell r="H788"/>
          <cell r="I788"/>
          <cell r="J788"/>
          <cell r="K788"/>
          <cell r="L788"/>
          <cell r="M788"/>
          <cell r="N788"/>
          <cell r="O788"/>
          <cell r="P788"/>
          <cell r="Q788"/>
          <cell r="R788"/>
          <cell r="S788"/>
          <cell r="T788"/>
          <cell r="U788"/>
          <cell r="V788"/>
          <cell r="W788"/>
          <cell r="X788"/>
          <cell r="Y788"/>
          <cell r="Z788"/>
          <cell r="AA788"/>
          <cell r="AB788"/>
          <cell r="AC788"/>
          <cell r="AD788"/>
          <cell r="AE788"/>
          <cell r="AF788"/>
          <cell r="AG788"/>
          <cell r="AH788"/>
          <cell r="AI788"/>
          <cell r="AJ788"/>
          <cell r="AK788"/>
          <cell r="AL788"/>
          <cell r="AM788"/>
          <cell r="AN788"/>
          <cell r="AO788"/>
          <cell r="AP788"/>
          <cell r="AQ788"/>
          <cell r="AR788"/>
          <cell r="AS788"/>
          <cell r="AT788"/>
          <cell r="AU788"/>
          <cell r="AV788"/>
          <cell r="AW788"/>
          <cell r="AX788"/>
          <cell r="AY788"/>
          <cell r="AZ788"/>
        </row>
        <row r="789">
          <cell r="A789"/>
          <cell r="B789"/>
          <cell r="C789"/>
          <cell r="D789"/>
          <cell r="E789"/>
          <cell r="F789"/>
          <cell r="G789"/>
          <cell r="H789"/>
          <cell r="I789"/>
          <cell r="J789"/>
          <cell r="K789"/>
          <cell r="L789"/>
          <cell r="M789"/>
          <cell r="N789"/>
          <cell r="O789"/>
          <cell r="P789"/>
          <cell r="Q789"/>
          <cell r="R789"/>
          <cell r="S789"/>
          <cell r="T789"/>
          <cell r="U789"/>
          <cell r="V789"/>
          <cell r="W789"/>
          <cell r="X789"/>
          <cell r="Y789"/>
          <cell r="Z789"/>
          <cell r="AA789"/>
          <cell r="AB789"/>
          <cell r="AC789"/>
          <cell r="AD789"/>
          <cell r="AE789"/>
          <cell r="AF789"/>
          <cell r="AG789"/>
          <cell r="AH789"/>
          <cell r="AI789"/>
          <cell r="AJ789"/>
          <cell r="AK789"/>
          <cell r="AL789"/>
          <cell r="AM789"/>
          <cell r="AN789"/>
          <cell r="AO789"/>
          <cell r="AP789"/>
          <cell r="AQ789"/>
          <cell r="AR789"/>
          <cell r="AS789"/>
          <cell r="AT789"/>
          <cell r="AU789"/>
          <cell r="AV789"/>
          <cell r="AW789"/>
          <cell r="AX789"/>
          <cell r="AY789"/>
          <cell r="AZ789"/>
        </row>
        <row r="790">
          <cell r="A790"/>
          <cell r="B790"/>
          <cell r="C790"/>
          <cell r="D790"/>
          <cell r="E790"/>
          <cell r="F790"/>
          <cell r="G790"/>
          <cell r="H790"/>
          <cell r="I790"/>
          <cell r="J790"/>
          <cell r="K790"/>
          <cell r="L790"/>
          <cell r="M790"/>
          <cell r="N790"/>
          <cell r="O790"/>
          <cell r="P790"/>
          <cell r="Q790"/>
          <cell r="R790"/>
          <cell r="S790"/>
          <cell r="T790"/>
          <cell r="U790"/>
          <cell r="V790"/>
          <cell r="W790"/>
          <cell r="X790"/>
          <cell r="Y790"/>
          <cell r="Z790"/>
          <cell r="AA790"/>
          <cell r="AB790"/>
          <cell r="AC790"/>
          <cell r="AD790"/>
          <cell r="AE790"/>
          <cell r="AF790"/>
          <cell r="AG790"/>
          <cell r="AH790"/>
          <cell r="AI790"/>
          <cell r="AJ790"/>
          <cell r="AK790"/>
          <cell r="AL790"/>
          <cell r="AM790"/>
          <cell r="AN790"/>
          <cell r="AO790"/>
          <cell r="AP790"/>
          <cell r="AQ790"/>
          <cell r="AR790"/>
          <cell r="AS790"/>
          <cell r="AT790"/>
          <cell r="AU790"/>
          <cell r="AV790"/>
          <cell r="AW790"/>
          <cell r="AX790"/>
          <cell r="AY790"/>
          <cell r="AZ790"/>
        </row>
        <row r="791">
          <cell r="A791"/>
          <cell r="B791"/>
          <cell r="C791"/>
          <cell r="D791"/>
          <cell r="E791"/>
          <cell r="F791"/>
          <cell r="G791"/>
          <cell r="H791"/>
          <cell r="I791"/>
          <cell r="J791"/>
          <cell r="K791"/>
          <cell r="L791"/>
          <cell r="M791"/>
          <cell r="N791"/>
          <cell r="O791"/>
          <cell r="P791"/>
          <cell r="Q791"/>
          <cell r="R791"/>
          <cell r="S791"/>
          <cell r="T791"/>
          <cell r="U791"/>
          <cell r="V791"/>
          <cell r="W791"/>
          <cell r="X791"/>
          <cell r="Y791"/>
          <cell r="Z791"/>
          <cell r="AA791"/>
          <cell r="AB791"/>
          <cell r="AC791"/>
          <cell r="AD791"/>
          <cell r="AE791"/>
          <cell r="AF791"/>
          <cell r="AG791"/>
          <cell r="AH791"/>
          <cell r="AI791"/>
          <cell r="AJ791"/>
          <cell r="AK791"/>
          <cell r="AL791"/>
          <cell r="AM791"/>
          <cell r="AN791"/>
          <cell r="AO791"/>
          <cell r="AP791"/>
          <cell r="AQ791"/>
          <cell r="AR791"/>
          <cell r="AS791"/>
          <cell r="AT791"/>
          <cell r="AU791"/>
          <cell r="AV791"/>
          <cell r="AW791"/>
          <cell r="AX791"/>
          <cell r="AY791"/>
          <cell r="AZ791"/>
        </row>
        <row r="792">
          <cell r="A792"/>
          <cell r="B792"/>
          <cell r="C792"/>
          <cell r="D792"/>
          <cell r="E792"/>
          <cell r="F792"/>
          <cell r="G792"/>
          <cell r="H792"/>
          <cell r="I792"/>
          <cell r="J792"/>
          <cell r="K792"/>
          <cell r="L792"/>
          <cell r="M792"/>
          <cell r="N792"/>
          <cell r="O792"/>
          <cell r="P792"/>
          <cell r="Q792"/>
          <cell r="R792"/>
          <cell r="S792"/>
          <cell r="T792"/>
          <cell r="U792"/>
          <cell r="V792"/>
          <cell r="W792"/>
          <cell r="X792"/>
          <cell r="Y792"/>
          <cell r="Z792"/>
          <cell r="AA792"/>
          <cell r="AB792"/>
          <cell r="AC792"/>
          <cell r="AD792"/>
          <cell r="AE792"/>
          <cell r="AF792"/>
          <cell r="AG792"/>
          <cell r="AH792"/>
          <cell r="AI792"/>
          <cell r="AJ792"/>
          <cell r="AK792"/>
          <cell r="AL792"/>
          <cell r="AM792"/>
          <cell r="AN792"/>
          <cell r="AO792"/>
          <cell r="AP792"/>
          <cell r="AQ792"/>
          <cell r="AR792"/>
          <cell r="AS792"/>
          <cell r="AT792"/>
          <cell r="AU792"/>
          <cell r="AV792"/>
          <cell r="AW792"/>
          <cell r="AX792"/>
          <cell r="AY792"/>
          <cell r="AZ792"/>
        </row>
        <row r="793">
          <cell r="A793"/>
          <cell r="B793"/>
          <cell r="C793"/>
          <cell r="D793"/>
          <cell r="E793"/>
          <cell r="F793"/>
          <cell r="G793"/>
          <cell r="H793"/>
          <cell r="I793"/>
          <cell r="J793"/>
          <cell r="K793"/>
          <cell r="L793"/>
          <cell r="M793"/>
          <cell r="N793"/>
          <cell r="O793"/>
          <cell r="P793"/>
          <cell r="Q793"/>
          <cell r="R793"/>
          <cell r="S793"/>
          <cell r="T793"/>
          <cell r="U793"/>
          <cell r="V793"/>
          <cell r="W793"/>
          <cell r="X793"/>
          <cell r="Y793"/>
          <cell r="Z793"/>
          <cell r="AA793"/>
          <cell r="AB793"/>
          <cell r="AC793"/>
          <cell r="AD793"/>
          <cell r="AE793"/>
          <cell r="AF793"/>
          <cell r="AG793"/>
          <cell r="AH793"/>
          <cell r="AI793"/>
          <cell r="AJ793"/>
          <cell r="AK793"/>
          <cell r="AL793"/>
          <cell r="AM793"/>
          <cell r="AN793"/>
          <cell r="AO793"/>
          <cell r="AP793"/>
          <cell r="AQ793"/>
          <cell r="AR793"/>
          <cell r="AS793"/>
          <cell r="AT793"/>
          <cell r="AU793"/>
          <cell r="AV793"/>
          <cell r="AW793"/>
          <cell r="AX793"/>
          <cell r="AY793"/>
          <cell r="AZ793"/>
        </row>
        <row r="794">
          <cell r="A794"/>
          <cell r="B794"/>
          <cell r="C794"/>
          <cell r="D794"/>
          <cell r="E794"/>
          <cell r="F794"/>
          <cell r="G794"/>
          <cell r="H794"/>
          <cell r="I794"/>
          <cell r="J794"/>
          <cell r="K794"/>
          <cell r="L794"/>
          <cell r="M794"/>
          <cell r="N794"/>
          <cell r="O794"/>
          <cell r="P794"/>
          <cell r="Q794"/>
          <cell r="R794"/>
          <cell r="S794"/>
          <cell r="T794"/>
          <cell r="U794"/>
          <cell r="V794"/>
          <cell r="W794"/>
          <cell r="X794"/>
          <cell r="Y794"/>
          <cell r="Z794"/>
          <cell r="AA794"/>
          <cell r="AB794"/>
          <cell r="AC794"/>
          <cell r="AD794"/>
          <cell r="AE794"/>
          <cell r="AF794"/>
          <cell r="AG794"/>
          <cell r="AH794"/>
          <cell r="AI794"/>
          <cell r="AJ794"/>
          <cell r="AK794"/>
          <cell r="AL794"/>
          <cell r="AM794"/>
          <cell r="AN794"/>
          <cell r="AO794"/>
          <cell r="AP794"/>
          <cell r="AQ794"/>
          <cell r="AR794"/>
          <cell r="AS794"/>
          <cell r="AT794"/>
          <cell r="AU794"/>
          <cell r="AV794"/>
          <cell r="AW794"/>
          <cell r="AX794"/>
          <cell r="AY794"/>
          <cell r="AZ794"/>
        </row>
        <row r="795">
          <cell r="A795"/>
          <cell r="B795"/>
          <cell r="C795"/>
          <cell r="D795"/>
          <cell r="E795"/>
          <cell r="F795"/>
          <cell r="G795"/>
          <cell r="H795"/>
          <cell r="I795"/>
          <cell r="J795"/>
          <cell r="K795"/>
          <cell r="L795"/>
          <cell r="M795"/>
          <cell r="N795"/>
          <cell r="O795"/>
          <cell r="P795"/>
          <cell r="Q795"/>
          <cell r="R795"/>
          <cell r="S795"/>
          <cell r="T795"/>
          <cell r="U795"/>
          <cell r="V795"/>
          <cell r="W795"/>
          <cell r="X795"/>
          <cell r="Y795"/>
          <cell r="Z795"/>
          <cell r="AA795"/>
          <cell r="AB795"/>
          <cell r="AC795"/>
          <cell r="AD795"/>
          <cell r="AE795"/>
          <cell r="AF795"/>
          <cell r="AG795"/>
          <cell r="AH795"/>
          <cell r="AI795"/>
          <cell r="AJ795"/>
          <cell r="AK795"/>
          <cell r="AL795"/>
          <cell r="AM795"/>
          <cell r="AN795"/>
          <cell r="AO795"/>
          <cell r="AP795"/>
          <cell r="AQ795"/>
          <cell r="AR795"/>
          <cell r="AS795"/>
          <cell r="AT795"/>
          <cell r="AU795"/>
          <cell r="AV795"/>
          <cell r="AW795"/>
          <cell r="AX795"/>
          <cell r="AY795"/>
          <cell r="AZ795"/>
        </row>
        <row r="796">
          <cell r="A796"/>
          <cell r="B796"/>
          <cell r="C796"/>
          <cell r="D796"/>
          <cell r="E796"/>
          <cell r="F796"/>
          <cell r="G796"/>
          <cell r="H796"/>
          <cell r="I796"/>
          <cell r="J796"/>
          <cell r="K796"/>
          <cell r="L796"/>
          <cell r="M796"/>
          <cell r="N796"/>
          <cell r="O796"/>
          <cell r="P796"/>
          <cell r="Q796"/>
          <cell r="R796"/>
          <cell r="S796"/>
          <cell r="T796"/>
          <cell r="U796"/>
          <cell r="V796"/>
          <cell r="W796"/>
          <cell r="X796"/>
          <cell r="Y796"/>
          <cell r="Z796"/>
          <cell r="AA796"/>
          <cell r="AB796"/>
          <cell r="AC796"/>
          <cell r="AD796"/>
          <cell r="AE796"/>
          <cell r="AF796"/>
          <cell r="AG796"/>
          <cell r="AH796"/>
          <cell r="AI796"/>
          <cell r="AJ796"/>
          <cell r="AK796"/>
          <cell r="AL796"/>
          <cell r="AM796"/>
          <cell r="AN796"/>
          <cell r="AO796"/>
          <cell r="AP796"/>
          <cell r="AQ796"/>
          <cell r="AR796"/>
          <cell r="AS796"/>
          <cell r="AT796"/>
          <cell r="AU796"/>
          <cell r="AV796"/>
          <cell r="AW796"/>
          <cell r="AX796"/>
          <cell r="AY796"/>
          <cell r="AZ796"/>
        </row>
        <row r="797">
          <cell r="A797"/>
          <cell r="B797"/>
          <cell r="C797"/>
          <cell r="D797"/>
          <cell r="E797"/>
          <cell r="F797"/>
          <cell r="G797"/>
          <cell r="H797"/>
          <cell r="I797"/>
          <cell r="J797"/>
          <cell r="K797"/>
          <cell r="L797"/>
          <cell r="M797"/>
          <cell r="N797"/>
          <cell r="O797"/>
          <cell r="P797"/>
          <cell r="Q797"/>
          <cell r="R797"/>
          <cell r="S797"/>
          <cell r="T797"/>
          <cell r="U797"/>
          <cell r="V797"/>
          <cell r="W797"/>
          <cell r="X797"/>
          <cell r="Y797"/>
          <cell r="Z797"/>
          <cell r="AA797"/>
          <cell r="AB797"/>
          <cell r="AC797"/>
          <cell r="AD797"/>
          <cell r="AE797"/>
          <cell r="AF797"/>
          <cell r="AG797"/>
          <cell r="AH797"/>
          <cell r="AI797"/>
          <cell r="AJ797"/>
          <cell r="AK797"/>
          <cell r="AL797"/>
          <cell r="AM797"/>
          <cell r="AN797"/>
          <cell r="AO797"/>
          <cell r="AP797"/>
          <cell r="AQ797"/>
          <cell r="AR797"/>
          <cell r="AS797"/>
          <cell r="AT797"/>
          <cell r="AU797"/>
          <cell r="AV797"/>
          <cell r="AW797"/>
          <cell r="AX797"/>
          <cell r="AY797"/>
          <cell r="AZ797"/>
        </row>
        <row r="798">
          <cell r="A798"/>
          <cell r="B798"/>
          <cell r="C798"/>
          <cell r="D798"/>
          <cell r="E798"/>
          <cell r="F798"/>
          <cell r="G798"/>
          <cell r="H798"/>
          <cell r="I798"/>
          <cell r="J798"/>
          <cell r="K798"/>
          <cell r="L798"/>
          <cell r="M798"/>
          <cell r="N798"/>
          <cell r="O798"/>
          <cell r="P798"/>
          <cell r="Q798"/>
          <cell r="R798"/>
          <cell r="S798"/>
          <cell r="T798"/>
          <cell r="U798"/>
          <cell r="V798"/>
          <cell r="W798"/>
          <cell r="X798"/>
          <cell r="Y798"/>
          <cell r="Z798"/>
          <cell r="AA798"/>
          <cell r="AB798"/>
          <cell r="AC798"/>
          <cell r="AD798"/>
          <cell r="AE798"/>
          <cell r="AF798"/>
          <cell r="AG798"/>
          <cell r="AH798"/>
          <cell r="AI798"/>
          <cell r="AJ798"/>
          <cell r="AK798"/>
          <cell r="AL798"/>
          <cell r="AM798"/>
          <cell r="AN798"/>
          <cell r="AO798"/>
          <cell r="AP798"/>
          <cell r="AQ798"/>
          <cell r="AR798"/>
          <cell r="AS798"/>
          <cell r="AT798"/>
          <cell r="AU798"/>
          <cell r="AV798"/>
          <cell r="AW798"/>
          <cell r="AX798"/>
          <cell r="AY798"/>
          <cell r="AZ798"/>
        </row>
        <row r="799">
          <cell r="A799"/>
          <cell r="B799"/>
          <cell r="C799"/>
          <cell r="D799"/>
          <cell r="E799"/>
          <cell r="F799"/>
          <cell r="G799"/>
          <cell r="H799"/>
          <cell r="I799"/>
          <cell r="J799"/>
          <cell r="K799"/>
          <cell r="L799"/>
          <cell r="M799"/>
          <cell r="N799"/>
          <cell r="O799"/>
          <cell r="P799"/>
          <cell r="Q799"/>
          <cell r="R799"/>
          <cell r="S799"/>
          <cell r="T799"/>
          <cell r="U799"/>
          <cell r="V799"/>
          <cell r="W799"/>
          <cell r="X799"/>
          <cell r="Y799"/>
          <cell r="Z799"/>
          <cell r="AA799"/>
          <cell r="AB799"/>
          <cell r="AC799"/>
          <cell r="AD799"/>
          <cell r="AE799"/>
          <cell r="AF799"/>
          <cell r="AG799"/>
          <cell r="AH799"/>
          <cell r="AI799"/>
          <cell r="AJ799"/>
          <cell r="AK799"/>
          <cell r="AL799"/>
          <cell r="AM799"/>
          <cell r="AN799"/>
          <cell r="AO799"/>
          <cell r="AP799"/>
          <cell r="AQ799"/>
          <cell r="AR799"/>
          <cell r="AS799"/>
          <cell r="AT799"/>
          <cell r="AU799"/>
          <cell r="AV799"/>
          <cell r="AW799"/>
          <cell r="AX799"/>
          <cell r="AY799"/>
          <cell r="AZ799"/>
        </row>
        <row r="800">
          <cell r="A800"/>
          <cell r="B800"/>
          <cell r="C800"/>
          <cell r="D800"/>
          <cell r="E800"/>
          <cell r="F800"/>
          <cell r="G800"/>
          <cell r="H800"/>
          <cell r="I800"/>
          <cell r="J800"/>
          <cell r="K800"/>
          <cell r="L800"/>
          <cell r="M800"/>
          <cell r="N800"/>
          <cell r="O800"/>
          <cell r="P800"/>
          <cell r="Q800"/>
          <cell r="R800"/>
          <cell r="S800"/>
          <cell r="T800"/>
          <cell r="U800"/>
          <cell r="V800"/>
          <cell r="W800"/>
          <cell r="X800"/>
          <cell r="Y800"/>
          <cell r="Z800"/>
          <cell r="AA800"/>
          <cell r="AB800"/>
          <cell r="AC800"/>
          <cell r="AD800"/>
          <cell r="AE800"/>
          <cell r="AF800"/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/>
          <cell r="AS800"/>
          <cell r="AT800"/>
          <cell r="AU800"/>
          <cell r="AV800"/>
          <cell r="AW800"/>
          <cell r="AX800"/>
          <cell r="AY800"/>
          <cell r="AZ800"/>
        </row>
        <row r="801">
          <cell r="A801"/>
          <cell r="B801"/>
          <cell r="C801"/>
          <cell r="D801"/>
          <cell r="E801"/>
          <cell r="F801"/>
          <cell r="G801"/>
          <cell r="H801"/>
          <cell r="I801"/>
          <cell r="J801"/>
          <cell r="K801"/>
          <cell r="L801"/>
          <cell r="M801"/>
          <cell r="N801"/>
          <cell r="O801"/>
          <cell r="P801"/>
          <cell r="Q801"/>
          <cell r="R801"/>
          <cell r="S801"/>
          <cell r="T801"/>
          <cell r="U801"/>
          <cell r="V801"/>
          <cell r="W801"/>
          <cell r="X801"/>
          <cell r="Y801"/>
          <cell r="Z801"/>
          <cell r="AA801"/>
          <cell r="AB801"/>
          <cell r="AC801"/>
          <cell r="AD801"/>
          <cell r="AE801"/>
          <cell r="AF801"/>
          <cell r="AG801"/>
          <cell r="AH801"/>
          <cell r="AI801"/>
          <cell r="AJ801"/>
          <cell r="AK801"/>
          <cell r="AL801"/>
          <cell r="AM801"/>
          <cell r="AN801"/>
          <cell r="AO801"/>
          <cell r="AP801"/>
          <cell r="AQ801"/>
          <cell r="AR801"/>
          <cell r="AS801"/>
          <cell r="AT801"/>
          <cell r="AU801"/>
          <cell r="AV801"/>
          <cell r="AW801"/>
          <cell r="AX801"/>
          <cell r="AY801"/>
          <cell r="AZ801"/>
        </row>
        <row r="802">
          <cell r="A802"/>
          <cell r="B802"/>
          <cell r="C802"/>
          <cell r="D802"/>
          <cell r="E802"/>
          <cell r="F802"/>
          <cell r="G802"/>
          <cell r="H802"/>
          <cell r="I802"/>
          <cell r="J802"/>
          <cell r="K802"/>
          <cell r="L802"/>
          <cell r="M802"/>
          <cell r="N802"/>
          <cell r="O802"/>
          <cell r="P802"/>
          <cell r="Q802"/>
          <cell r="R802"/>
          <cell r="S802"/>
          <cell r="T802"/>
          <cell r="U802"/>
          <cell r="V802"/>
          <cell r="W802"/>
          <cell r="X802"/>
          <cell r="Y802"/>
          <cell r="Z802"/>
          <cell r="AA802"/>
          <cell r="AB802"/>
          <cell r="AC802"/>
          <cell r="AD802"/>
          <cell r="AE802"/>
          <cell r="AF802"/>
          <cell r="AG802"/>
          <cell r="AH802"/>
          <cell r="AI802"/>
          <cell r="AJ802"/>
          <cell r="AK802"/>
          <cell r="AL802"/>
          <cell r="AM802"/>
          <cell r="AN802"/>
          <cell r="AO802"/>
          <cell r="AP802"/>
          <cell r="AQ802"/>
          <cell r="AR802"/>
          <cell r="AS802"/>
          <cell r="AT802"/>
          <cell r="AU802"/>
          <cell r="AV802"/>
          <cell r="AW802"/>
          <cell r="AX802"/>
          <cell r="AY802"/>
          <cell r="AZ802"/>
        </row>
        <row r="803">
          <cell r="A803"/>
          <cell r="B803"/>
          <cell r="C803"/>
          <cell r="D803"/>
          <cell r="E803"/>
          <cell r="F803"/>
          <cell r="G803"/>
          <cell r="H803"/>
          <cell r="I803"/>
          <cell r="J803"/>
          <cell r="K803"/>
          <cell r="L803"/>
          <cell r="M803"/>
          <cell r="N803"/>
          <cell r="O803"/>
          <cell r="P803"/>
          <cell r="Q803"/>
          <cell r="R803"/>
          <cell r="S803"/>
          <cell r="T803"/>
          <cell r="U803"/>
          <cell r="V803"/>
          <cell r="W803"/>
          <cell r="X803"/>
          <cell r="Y803"/>
          <cell r="Z803"/>
          <cell r="AA803"/>
          <cell r="AB803"/>
          <cell r="AC803"/>
          <cell r="AD803"/>
          <cell r="AE803"/>
          <cell r="AF803"/>
          <cell r="AG803"/>
          <cell r="AH803"/>
          <cell r="AI803"/>
          <cell r="AJ803"/>
          <cell r="AK803"/>
          <cell r="AL803"/>
          <cell r="AM803"/>
          <cell r="AN803"/>
          <cell r="AO803"/>
          <cell r="AP803"/>
          <cell r="AQ803"/>
          <cell r="AR803"/>
          <cell r="AS803"/>
          <cell r="AT803"/>
          <cell r="AU803"/>
          <cell r="AV803"/>
          <cell r="AW803"/>
          <cell r="AX803"/>
          <cell r="AY803"/>
          <cell r="AZ803"/>
        </row>
        <row r="804">
          <cell r="A804"/>
          <cell r="B804"/>
          <cell r="C804"/>
          <cell r="D804"/>
          <cell r="E804"/>
          <cell r="F804"/>
          <cell r="G804"/>
          <cell r="H804"/>
          <cell r="I804"/>
          <cell r="J804"/>
          <cell r="K804"/>
          <cell r="L804"/>
          <cell r="M804"/>
          <cell r="N804"/>
          <cell r="O804"/>
          <cell r="P804"/>
          <cell r="Q804"/>
          <cell r="R804"/>
          <cell r="S804"/>
          <cell r="T804"/>
          <cell r="U804"/>
          <cell r="V804"/>
          <cell r="W804"/>
          <cell r="X804"/>
          <cell r="Y804"/>
          <cell r="Z804"/>
          <cell r="AA804"/>
          <cell r="AB804"/>
          <cell r="AC804"/>
          <cell r="AD804"/>
          <cell r="AE804"/>
          <cell r="AF804"/>
          <cell r="AG804"/>
          <cell r="AH804"/>
          <cell r="AI804"/>
          <cell r="AJ804"/>
          <cell r="AK804"/>
          <cell r="AL804"/>
          <cell r="AM804"/>
          <cell r="AN804"/>
          <cell r="AO804"/>
          <cell r="AP804"/>
          <cell r="AQ804"/>
          <cell r="AR804"/>
          <cell r="AS804"/>
          <cell r="AT804"/>
          <cell r="AU804"/>
          <cell r="AV804"/>
          <cell r="AW804"/>
          <cell r="AX804"/>
          <cell r="AY804"/>
          <cell r="AZ804"/>
        </row>
        <row r="805">
          <cell r="A805"/>
          <cell r="B805"/>
          <cell r="C805"/>
          <cell r="D805"/>
          <cell r="E805"/>
          <cell r="F805"/>
          <cell r="G805"/>
          <cell r="H805"/>
          <cell r="I805"/>
          <cell r="J805"/>
          <cell r="K805"/>
          <cell r="L805"/>
          <cell r="M805"/>
          <cell r="N805"/>
          <cell r="O805"/>
          <cell r="P805"/>
          <cell r="Q805"/>
          <cell r="R805"/>
          <cell r="S805"/>
          <cell r="T805"/>
          <cell r="U805"/>
          <cell r="V805"/>
          <cell r="W805"/>
          <cell r="X805"/>
          <cell r="Y805"/>
          <cell r="Z805"/>
          <cell r="AA805"/>
          <cell r="AB805"/>
          <cell r="AC805"/>
          <cell r="AD805"/>
          <cell r="AE805"/>
          <cell r="AF805"/>
          <cell r="AG805"/>
          <cell r="AH805"/>
          <cell r="AI805"/>
          <cell r="AJ805"/>
          <cell r="AK805"/>
          <cell r="AL805"/>
          <cell r="AM805"/>
          <cell r="AN805"/>
          <cell r="AO805"/>
          <cell r="AP805"/>
          <cell r="AQ805"/>
          <cell r="AR805"/>
          <cell r="AS805"/>
          <cell r="AT805"/>
          <cell r="AU805"/>
          <cell r="AV805"/>
          <cell r="AW805"/>
          <cell r="AX805"/>
          <cell r="AY805"/>
          <cell r="AZ805"/>
        </row>
        <row r="806">
          <cell r="A806"/>
          <cell r="B806"/>
          <cell r="C806"/>
          <cell r="D806"/>
          <cell r="E806"/>
          <cell r="F806"/>
          <cell r="G806"/>
          <cell r="H806"/>
          <cell r="I806"/>
          <cell r="J806"/>
          <cell r="K806"/>
          <cell r="L806"/>
          <cell r="M806"/>
          <cell r="N806"/>
          <cell r="O806"/>
          <cell r="P806"/>
          <cell r="Q806"/>
          <cell r="R806"/>
          <cell r="S806"/>
          <cell r="T806"/>
          <cell r="U806"/>
          <cell r="V806"/>
          <cell r="W806"/>
          <cell r="X806"/>
          <cell r="Y806"/>
          <cell r="Z806"/>
          <cell r="AA806"/>
          <cell r="AB806"/>
          <cell r="AC806"/>
          <cell r="AD806"/>
          <cell r="AE806"/>
          <cell r="AF806"/>
          <cell r="AG806"/>
          <cell r="AH806"/>
          <cell r="AI806"/>
          <cell r="AJ806"/>
          <cell r="AK806"/>
          <cell r="AL806"/>
          <cell r="AM806"/>
          <cell r="AN806"/>
          <cell r="AO806"/>
          <cell r="AP806"/>
          <cell r="AQ806"/>
          <cell r="AR806"/>
          <cell r="AS806"/>
          <cell r="AT806"/>
          <cell r="AU806"/>
          <cell r="AV806"/>
          <cell r="AW806"/>
          <cell r="AX806"/>
          <cell r="AY806"/>
          <cell r="AZ806"/>
        </row>
        <row r="807">
          <cell r="A807"/>
          <cell r="B807"/>
          <cell r="C807"/>
          <cell r="D807"/>
          <cell r="E807"/>
          <cell r="F807"/>
          <cell r="G807"/>
          <cell r="H807"/>
          <cell r="I807"/>
          <cell r="J807"/>
          <cell r="K807"/>
          <cell r="L807"/>
          <cell r="M807"/>
          <cell r="N807"/>
          <cell r="O807"/>
          <cell r="P807"/>
          <cell r="Q807"/>
          <cell r="R807"/>
          <cell r="S807"/>
          <cell r="T807"/>
          <cell r="U807"/>
          <cell r="V807"/>
          <cell r="W807"/>
          <cell r="X807"/>
          <cell r="Y807"/>
          <cell r="Z807"/>
          <cell r="AA807"/>
          <cell r="AB807"/>
          <cell r="AC807"/>
          <cell r="AD807"/>
          <cell r="AE807"/>
          <cell r="AF807"/>
          <cell r="AG807"/>
          <cell r="AH807"/>
          <cell r="AI807"/>
          <cell r="AJ807"/>
          <cell r="AK807"/>
          <cell r="AL807"/>
          <cell r="AM807"/>
          <cell r="AN807"/>
          <cell r="AO807"/>
          <cell r="AP807"/>
          <cell r="AQ807"/>
          <cell r="AR807"/>
          <cell r="AS807"/>
          <cell r="AT807"/>
          <cell r="AU807"/>
          <cell r="AV807"/>
          <cell r="AW807"/>
          <cell r="AX807"/>
          <cell r="AY807"/>
          <cell r="AZ807"/>
        </row>
        <row r="808">
          <cell r="A808"/>
          <cell r="B808"/>
          <cell r="C808"/>
          <cell r="D808"/>
          <cell r="E808"/>
          <cell r="F808"/>
          <cell r="G808"/>
          <cell r="H808"/>
          <cell r="I808"/>
          <cell r="J808"/>
          <cell r="K808"/>
          <cell r="L808"/>
          <cell r="M808"/>
          <cell r="N808"/>
          <cell r="O808"/>
          <cell r="P808"/>
          <cell r="Q808"/>
          <cell r="R808"/>
          <cell r="S808"/>
          <cell r="T808"/>
          <cell r="U808"/>
          <cell r="V808"/>
          <cell r="W808"/>
          <cell r="X808"/>
          <cell r="Y808"/>
          <cell r="Z808"/>
          <cell r="AA808"/>
          <cell r="AB808"/>
          <cell r="AC808"/>
          <cell r="AD808"/>
          <cell r="AE808"/>
          <cell r="AF808"/>
          <cell r="AG808"/>
          <cell r="AH808"/>
          <cell r="AI808"/>
          <cell r="AJ808"/>
          <cell r="AK808"/>
          <cell r="AL808"/>
          <cell r="AM808"/>
          <cell r="AN808"/>
          <cell r="AO808"/>
          <cell r="AP808"/>
          <cell r="AQ808"/>
          <cell r="AR808"/>
          <cell r="AS808"/>
          <cell r="AT808"/>
          <cell r="AU808"/>
          <cell r="AV808"/>
          <cell r="AW808"/>
          <cell r="AX808"/>
          <cell r="AY808"/>
          <cell r="AZ808"/>
        </row>
        <row r="809">
          <cell r="A809"/>
          <cell r="B809"/>
          <cell r="C809"/>
          <cell r="D809"/>
          <cell r="E809"/>
          <cell r="F809"/>
          <cell r="G809"/>
          <cell r="H809"/>
          <cell r="I809"/>
          <cell r="J809"/>
          <cell r="K809"/>
          <cell r="L809"/>
          <cell r="M809"/>
          <cell r="N809"/>
          <cell r="O809"/>
          <cell r="P809"/>
          <cell r="Q809"/>
          <cell r="R809"/>
          <cell r="S809"/>
          <cell r="T809"/>
          <cell r="U809"/>
          <cell r="V809"/>
          <cell r="W809"/>
          <cell r="X809"/>
          <cell r="Y809"/>
          <cell r="Z809"/>
          <cell r="AA809"/>
          <cell r="AB809"/>
          <cell r="AC809"/>
          <cell r="AD809"/>
          <cell r="AE809"/>
          <cell r="AF809"/>
          <cell r="AG809"/>
          <cell r="AH809"/>
          <cell r="AI809"/>
          <cell r="AJ809"/>
          <cell r="AK809"/>
          <cell r="AL809"/>
          <cell r="AM809"/>
          <cell r="AN809"/>
          <cell r="AO809"/>
          <cell r="AP809"/>
          <cell r="AQ809"/>
          <cell r="AR809"/>
          <cell r="AS809"/>
          <cell r="AT809"/>
          <cell r="AU809"/>
          <cell r="AV809"/>
          <cell r="AW809"/>
          <cell r="AX809"/>
          <cell r="AY809"/>
          <cell r="AZ809"/>
        </row>
        <row r="810">
          <cell r="A810"/>
          <cell r="B810"/>
          <cell r="C810"/>
          <cell r="D810"/>
          <cell r="E810"/>
          <cell r="F810"/>
          <cell r="G810"/>
          <cell r="H810"/>
          <cell r="I810"/>
          <cell r="J810"/>
          <cell r="K810"/>
          <cell r="L810"/>
          <cell r="M810"/>
          <cell r="N810"/>
          <cell r="O810"/>
          <cell r="P810"/>
          <cell r="Q810"/>
          <cell r="R810"/>
          <cell r="S810"/>
          <cell r="T810"/>
          <cell r="U810"/>
          <cell r="V810"/>
          <cell r="W810"/>
          <cell r="X810"/>
          <cell r="Y810"/>
          <cell r="Z810"/>
          <cell r="AA810"/>
          <cell r="AB810"/>
          <cell r="AC810"/>
          <cell r="AD810"/>
          <cell r="AE810"/>
          <cell r="AF810"/>
          <cell r="AG810"/>
          <cell r="AH810"/>
          <cell r="AI810"/>
          <cell r="AJ810"/>
          <cell r="AK810"/>
          <cell r="AL810"/>
          <cell r="AM810"/>
          <cell r="AN810"/>
          <cell r="AO810"/>
          <cell r="AP810"/>
          <cell r="AQ810"/>
          <cell r="AR810"/>
          <cell r="AS810"/>
          <cell r="AT810"/>
          <cell r="AU810"/>
          <cell r="AV810"/>
          <cell r="AW810"/>
          <cell r="AX810"/>
          <cell r="AY810"/>
          <cell r="AZ810"/>
        </row>
        <row r="811">
          <cell r="A811"/>
          <cell r="B811"/>
          <cell r="C811"/>
          <cell r="D811"/>
          <cell r="E811"/>
          <cell r="F811"/>
          <cell r="G811"/>
          <cell r="H811"/>
          <cell r="I811"/>
          <cell r="J811"/>
          <cell r="K811"/>
          <cell r="L811"/>
          <cell r="M811"/>
          <cell r="N811"/>
          <cell r="O811"/>
          <cell r="P811"/>
          <cell r="Q811"/>
          <cell r="R811"/>
          <cell r="S811"/>
          <cell r="T811"/>
          <cell r="U811"/>
          <cell r="V811"/>
          <cell r="W811"/>
          <cell r="X811"/>
          <cell r="Y811"/>
          <cell r="Z811"/>
          <cell r="AA811"/>
          <cell r="AB811"/>
          <cell r="AC811"/>
          <cell r="AD811"/>
          <cell r="AE811"/>
          <cell r="AF811"/>
          <cell r="AG811"/>
          <cell r="AH811"/>
          <cell r="AI811"/>
          <cell r="AJ811"/>
          <cell r="AK811"/>
          <cell r="AL811"/>
          <cell r="AM811"/>
          <cell r="AN811"/>
          <cell r="AO811"/>
          <cell r="AP811"/>
          <cell r="AQ811"/>
          <cell r="AR811"/>
          <cell r="AS811"/>
          <cell r="AT811"/>
          <cell r="AU811"/>
          <cell r="AV811"/>
          <cell r="AW811"/>
          <cell r="AX811"/>
          <cell r="AY811"/>
          <cell r="AZ811"/>
        </row>
        <row r="812">
          <cell r="A812"/>
          <cell r="B812"/>
          <cell r="C812"/>
          <cell r="D812"/>
          <cell r="E812"/>
          <cell r="F812"/>
          <cell r="G812"/>
          <cell r="H812"/>
          <cell r="I812"/>
          <cell r="J812"/>
          <cell r="K812"/>
          <cell r="L812"/>
          <cell r="M812"/>
          <cell r="N812"/>
          <cell r="O812"/>
          <cell r="P812"/>
          <cell r="Q812"/>
          <cell r="R812"/>
          <cell r="S812"/>
          <cell r="T812"/>
          <cell r="U812"/>
          <cell r="V812"/>
          <cell r="W812"/>
          <cell r="X812"/>
          <cell r="Y812"/>
          <cell r="Z812"/>
          <cell r="AA812"/>
          <cell r="AB812"/>
          <cell r="AC812"/>
          <cell r="AD812"/>
          <cell r="AE812"/>
          <cell r="AF812"/>
          <cell r="AG812"/>
          <cell r="AH812"/>
          <cell r="AI812"/>
          <cell r="AJ812"/>
          <cell r="AK812"/>
          <cell r="AL812"/>
          <cell r="AM812"/>
          <cell r="AN812"/>
          <cell r="AO812"/>
          <cell r="AP812"/>
          <cell r="AQ812"/>
          <cell r="AR812"/>
          <cell r="AS812"/>
          <cell r="AT812"/>
          <cell r="AU812"/>
          <cell r="AV812"/>
          <cell r="AW812"/>
          <cell r="AX812"/>
          <cell r="AY812"/>
          <cell r="AZ812"/>
        </row>
        <row r="813">
          <cell r="A813"/>
          <cell r="B813"/>
          <cell r="C813"/>
          <cell r="D813"/>
          <cell r="E813"/>
          <cell r="F813"/>
          <cell r="G813"/>
          <cell r="H813"/>
          <cell r="I813"/>
          <cell r="J813"/>
          <cell r="K813"/>
          <cell r="L813"/>
          <cell r="M813"/>
          <cell r="N813"/>
          <cell r="O813"/>
          <cell r="P813"/>
          <cell r="Q813"/>
          <cell r="R813"/>
          <cell r="S813"/>
          <cell r="T813"/>
          <cell r="U813"/>
          <cell r="V813"/>
          <cell r="W813"/>
          <cell r="X813"/>
          <cell r="Y813"/>
          <cell r="Z813"/>
          <cell r="AA813"/>
          <cell r="AB813"/>
          <cell r="AC813"/>
          <cell r="AD813"/>
          <cell r="AE813"/>
          <cell r="AF813"/>
          <cell r="AG813"/>
          <cell r="AH813"/>
          <cell r="AI813"/>
          <cell r="AJ813"/>
          <cell r="AK813"/>
          <cell r="AL813"/>
          <cell r="AM813"/>
          <cell r="AN813"/>
          <cell r="AO813"/>
          <cell r="AP813"/>
          <cell r="AQ813"/>
          <cell r="AR813"/>
          <cell r="AS813"/>
          <cell r="AT813"/>
          <cell r="AU813"/>
          <cell r="AV813"/>
          <cell r="AW813"/>
          <cell r="AX813"/>
          <cell r="AY813"/>
          <cell r="AZ813"/>
        </row>
        <row r="814">
          <cell r="A814"/>
          <cell r="B814"/>
          <cell r="C814"/>
          <cell r="D814"/>
          <cell r="E814"/>
          <cell r="F814"/>
          <cell r="G814"/>
          <cell r="H814"/>
          <cell r="I814"/>
          <cell r="J814"/>
          <cell r="K814"/>
          <cell r="L814"/>
          <cell r="M814"/>
          <cell r="N814"/>
          <cell r="O814"/>
          <cell r="P814"/>
          <cell r="Q814"/>
          <cell r="R814"/>
          <cell r="S814"/>
          <cell r="T814"/>
          <cell r="U814"/>
          <cell r="V814"/>
          <cell r="W814"/>
          <cell r="X814"/>
          <cell r="Y814"/>
          <cell r="Z814"/>
          <cell r="AA814"/>
          <cell r="AB814"/>
          <cell r="AC814"/>
          <cell r="AD814"/>
          <cell r="AE814"/>
          <cell r="AF814"/>
          <cell r="AG814"/>
          <cell r="AH814"/>
          <cell r="AI814"/>
          <cell r="AJ814"/>
          <cell r="AK814"/>
          <cell r="AL814"/>
          <cell r="AM814"/>
          <cell r="AN814"/>
          <cell r="AO814"/>
          <cell r="AP814"/>
          <cell r="AQ814"/>
          <cell r="AR814"/>
          <cell r="AS814"/>
          <cell r="AT814"/>
          <cell r="AU814"/>
          <cell r="AV814"/>
          <cell r="AW814"/>
          <cell r="AX814"/>
          <cell r="AY814"/>
          <cell r="AZ814"/>
        </row>
        <row r="815">
          <cell r="A815"/>
          <cell r="B815"/>
          <cell r="C815"/>
          <cell r="D815"/>
          <cell r="E815"/>
          <cell r="F815"/>
          <cell r="G815"/>
          <cell r="H815"/>
          <cell r="I815"/>
          <cell r="J815"/>
          <cell r="K815"/>
          <cell r="L815"/>
          <cell r="M815"/>
          <cell r="N815"/>
          <cell r="O815"/>
          <cell r="P815"/>
          <cell r="Q815"/>
          <cell r="R815"/>
          <cell r="S815"/>
          <cell r="T815"/>
          <cell r="U815"/>
          <cell r="V815"/>
          <cell r="W815"/>
          <cell r="X815"/>
          <cell r="Y815"/>
          <cell r="Z815"/>
          <cell r="AA815"/>
          <cell r="AB815"/>
          <cell r="AC815"/>
          <cell r="AD815"/>
          <cell r="AE815"/>
          <cell r="AF815"/>
          <cell r="AG815"/>
          <cell r="AH815"/>
          <cell r="AI815"/>
          <cell r="AJ815"/>
          <cell r="AK815"/>
          <cell r="AL815"/>
          <cell r="AM815"/>
          <cell r="AN815"/>
          <cell r="AO815"/>
          <cell r="AP815"/>
          <cell r="AQ815"/>
          <cell r="AR815"/>
          <cell r="AS815"/>
          <cell r="AT815"/>
          <cell r="AU815"/>
          <cell r="AV815"/>
          <cell r="AW815"/>
          <cell r="AX815"/>
          <cell r="AY815"/>
          <cell r="AZ815"/>
        </row>
        <row r="816">
          <cell r="A816"/>
          <cell r="B816"/>
          <cell r="C816"/>
          <cell r="D816"/>
          <cell r="E816"/>
          <cell r="F816"/>
          <cell r="G816"/>
          <cell r="H816"/>
          <cell r="I816"/>
          <cell r="J816"/>
          <cell r="K816"/>
          <cell r="L816"/>
          <cell r="M816"/>
          <cell r="N816"/>
          <cell r="O816"/>
          <cell r="P816"/>
          <cell r="Q816"/>
          <cell r="R816"/>
          <cell r="S816"/>
          <cell r="T816"/>
          <cell r="U816"/>
          <cell r="V816"/>
          <cell r="W816"/>
          <cell r="X816"/>
          <cell r="Y816"/>
          <cell r="Z816"/>
          <cell r="AA816"/>
          <cell r="AB816"/>
          <cell r="AC816"/>
          <cell r="AD816"/>
          <cell r="AE816"/>
          <cell r="AF816"/>
          <cell r="AG816"/>
          <cell r="AH816"/>
          <cell r="AI816"/>
          <cell r="AJ816"/>
          <cell r="AK816"/>
          <cell r="AL816"/>
          <cell r="AM816"/>
          <cell r="AN816"/>
          <cell r="AO816"/>
          <cell r="AP816"/>
          <cell r="AQ816"/>
          <cell r="AR816"/>
          <cell r="AS816"/>
          <cell r="AT816"/>
          <cell r="AU816"/>
          <cell r="AV816"/>
          <cell r="AW816"/>
          <cell r="AX816"/>
          <cell r="AY816"/>
          <cell r="AZ816"/>
        </row>
        <row r="817">
          <cell r="A817"/>
          <cell r="B817"/>
          <cell r="C817"/>
          <cell r="D817"/>
          <cell r="E817"/>
          <cell r="F817"/>
          <cell r="G817"/>
          <cell r="H817"/>
          <cell r="I817"/>
          <cell r="J817"/>
          <cell r="K817"/>
          <cell r="L817"/>
          <cell r="M817"/>
          <cell r="N817"/>
          <cell r="O817"/>
          <cell r="P817"/>
          <cell r="Q817"/>
          <cell r="R817"/>
          <cell r="S817"/>
          <cell r="T817"/>
          <cell r="U817"/>
          <cell r="V817"/>
          <cell r="W817"/>
          <cell r="X817"/>
          <cell r="Y817"/>
          <cell r="Z817"/>
          <cell r="AA817"/>
          <cell r="AB817"/>
          <cell r="AC817"/>
          <cell r="AD817"/>
          <cell r="AE817"/>
          <cell r="AF817"/>
          <cell r="AG817"/>
          <cell r="AH817"/>
          <cell r="AI817"/>
          <cell r="AJ817"/>
          <cell r="AK817"/>
          <cell r="AL817"/>
          <cell r="AM817"/>
          <cell r="AN817"/>
          <cell r="AO817"/>
          <cell r="AP817"/>
          <cell r="AQ817"/>
          <cell r="AR817"/>
          <cell r="AS817"/>
          <cell r="AT817"/>
          <cell r="AU817"/>
          <cell r="AV817"/>
          <cell r="AW817"/>
          <cell r="AX817"/>
          <cell r="AY817"/>
          <cell r="AZ817"/>
        </row>
        <row r="818">
          <cell r="A818"/>
          <cell r="B818"/>
          <cell r="C818"/>
          <cell r="D818"/>
          <cell r="E818"/>
          <cell r="F818"/>
          <cell r="G818"/>
          <cell r="H818"/>
          <cell r="I818"/>
          <cell r="J818"/>
          <cell r="K818"/>
          <cell r="L818"/>
          <cell r="M818"/>
          <cell r="N818"/>
          <cell r="O818"/>
          <cell r="P818"/>
          <cell r="Q818"/>
          <cell r="R818"/>
          <cell r="S818"/>
          <cell r="T818"/>
          <cell r="U818"/>
          <cell r="V818"/>
          <cell r="W818"/>
          <cell r="X818"/>
          <cell r="Y818"/>
          <cell r="Z818"/>
          <cell r="AA818"/>
          <cell r="AB818"/>
          <cell r="AC818"/>
          <cell r="AD818"/>
          <cell r="AE818"/>
          <cell r="AF818"/>
          <cell r="AG818"/>
          <cell r="AH818"/>
          <cell r="AI818"/>
          <cell r="AJ818"/>
          <cell r="AK818"/>
          <cell r="AL818"/>
          <cell r="AM818"/>
          <cell r="AN818"/>
          <cell r="AO818"/>
          <cell r="AP818"/>
          <cell r="AQ818"/>
          <cell r="AR818"/>
          <cell r="AS818"/>
          <cell r="AT818"/>
          <cell r="AU818"/>
          <cell r="AV818"/>
          <cell r="AW818"/>
          <cell r="AX818"/>
          <cell r="AY818"/>
          <cell r="AZ818"/>
        </row>
        <row r="819">
          <cell r="A819"/>
          <cell r="B819"/>
          <cell r="C819"/>
          <cell r="D819"/>
          <cell r="E819"/>
          <cell r="F819"/>
          <cell r="G819"/>
          <cell r="H819"/>
          <cell r="I819"/>
          <cell r="J819"/>
          <cell r="K819"/>
          <cell r="L819"/>
          <cell r="M819"/>
          <cell r="N819"/>
          <cell r="O819"/>
          <cell r="P819"/>
          <cell r="Q819"/>
          <cell r="R819"/>
          <cell r="S819"/>
          <cell r="T819"/>
          <cell r="U819"/>
          <cell r="V819"/>
          <cell r="W819"/>
          <cell r="X819"/>
          <cell r="Y819"/>
          <cell r="Z819"/>
          <cell r="AA819"/>
          <cell r="AB819"/>
          <cell r="AC819"/>
          <cell r="AD819"/>
          <cell r="AE819"/>
          <cell r="AF819"/>
          <cell r="AG819"/>
          <cell r="AH819"/>
          <cell r="AI819"/>
          <cell r="AJ819"/>
          <cell r="AK819"/>
          <cell r="AL819"/>
          <cell r="AM819"/>
          <cell r="AN819"/>
          <cell r="AO819"/>
          <cell r="AP819"/>
          <cell r="AQ819"/>
          <cell r="AR819"/>
          <cell r="AS819"/>
          <cell r="AT819"/>
          <cell r="AU819"/>
          <cell r="AV819"/>
          <cell r="AW819"/>
          <cell r="AX819"/>
          <cell r="AY819"/>
          <cell r="AZ819"/>
        </row>
        <row r="820">
          <cell r="A820"/>
          <cell r="B820"/>
          <cell r="C820"/>
          <cell r="D820"/>
          <cell r="E820"/>
          <cell r="F820"/>
          <cell r="G820"/>
          <cell r="H820"/>
          <cell r="I820"/>
          <cell r="J820"/>
          <cell r="K820"/>
          <cell r="L820"/>
          <cell r="M820"/>
          <cell r="N820"/>
          <cell r="O820"/>
          <cell r="P820"/>
          <cell r="Q820"/>
          <cell r="R820"/>
          <cell r="S820"/>
          <cell r="T820"/>
          <cell r="U820"/>
          <cell r="V820"/>
          <cell r="W820"/>
          <cell r="X820"/>
          <cell r="Y820"/>
          <cell r="Z820"/>
          <cell r="AA820"/>
          <cell r="AB820"/>
          <cell r="AC820"/>
          <cell r="AD820"/>
          <cell r="AE820"/>
          <cell r="AF820"/>
          <cell r="AG820"/>
          <cell r="AH820"/>
          <cell r="AI820"/>
          <cell r="AJ820"/>
          <cell r="AK820"/>
          <cell r="AL820"/>
          <cell r="AM820"/>
          <cell r="AN820"/>
          <cell r="AO820"/>
          <cell r="AP820"/>
          <cell r="AQ820"/>
          <cell r="AR820"/>
          <cell r="AS820"/>
          <cell r="AT820"/>
          <cell r="AU820"/>
          <cell r="AV820"/>
          <cell r="AW820"/>
          <cell r="AX820"/>
          <cell r="AY820"/>
          <cell r="AZ820"/>
        </row>
        <row r="821">
          <cell r="A821"/>
          <cell r="B821"/>
          <cell r="C821"/>
          <cell r="D821"/>
          <cell r="E821"/>
          <cell r="F821"/>
          <cell r="G821"/>
          <cell r="H821"/>
          <cell r="I821"/>
          <cell r="J821"/>
          <cell r="K821"/>
          <cell r="L821"/>
          <cell r="M821"/>
          <cell r="N821"/>
          <cell r="O821"/>
          <cell r="P821"/>
          <cell r="Q821"/>
          <cell r="R821"/>
          <cell r="S821"/>
          <cell r="T821"/>
          <cell r="U821"/>
          <cell r="V821"/>
          <cell r="W821"/>
          <cell r="X821"/>
          <cell r="Y821"/>
          <cell r="Z821"/>
          <cell r="AA821"/>
          <cell r="AB821"/>
          <cell r="AC821"/>
          <cell r="AD821"/>
          <cell r="AE821"/>
          <cell r="AF821"/>
          <cell r="AG821"/>
          <cell r="AH821"/>
          <cell r="AI821"/>
          <cell r="AJ821"/>
          <cell r="AK821"/>
          <cell r="AL821"/>
          <cell r="AM821"/>
          <cell r="AN821"/>
          <cell r="AO821"/>
          <cell r="AP821"/>
          <cell r="AQ821"/>
          <cell r="AR821"/>
          <cell r="AS821"/>
          <cell r="AT821"/>
          <cell r="AU821"/>
          <cell r="AV821"/>
          <cell r="AW821"/>
          <cell r="AX821"/>
          <cell r="AY821"/>
          <cell r="AZ821"/>
        </row>
        <row r="822">
          <cell r="A822"/>
          <cell r="B822"/>
          <cell r="C822"/>
          <cell r="D822"/>
          <cell r="E822"/>
          <cell r="F822"/>
          <cell r="G822"/>
          <cell r="H822"/>
          <cell r="I822"/>
          <cell r="J822"/>
          <cell r="K822"/>
          <cell r="L822"/>
          <cell r="M822"/>
          <cell r="N822"/>
          <cell r="O822"/>
          <cell r="P822"/>
          <cell r="Q822"/>
          <cell r="R822"/>
          <cell r="S822"/>
          <cell r="T822"/>
          <cell r="U822"/>
          <cell r="V822"/>
          <cell r="W822"/>
          <cell r="X822"/>
          <cell r="Y822"/>
          <cell r="Z822"/>
          <cell r="AA822"/>
          <cell r="AB822"/>
          <cell r="AC822"/>
          <cell r="AD822"/>
          <cell r="AE822"/>
          <cell r="AF822"/>
          <cell r="AG822"/>
          <cell r="AH822"/>
          <cell r="AI822"/>
          <cell r="AJ822"/>
          <cell r="AK822"/>
          <cell r="AL822"/>
          <cell r="AM822"/>
          <cell r="AN822"/>
          <cell r="AO822"/>
          <cell r="AP822"/>
          <cell r="AQ822"/>
          <cell r="AR822"/>
          <cell r="AS822"/>
          <cell r="AT822"/>
          <cell r="AU822"/>
          <cell r="AV822"/>
          <cell r="AW822"/>
          <cell r="AX822"/>
          <cell r="AY822"/>
          <cell r="AZ822"/>
        </row>
        <row r="823">
          <cell r="A823"/>
          <cell r="B823"/>
          <cell r="C823"/>
          <cell r="D823"/>
          <cell r="E823"/>
          <cell r="F823"/>
          <cell r="G823"/>
          <cell r="H823"/>
          <cell r="I823"/>
          <cell r="J823"/>
          <cell r="K823"/>
          <cell r="L823"/>
          <cell r="M823"/>
          <cell r="N823"/>
          <cell r="O823"/>
          <cell r="P823"/>
          <cell r="Q823"/>
          <cell r="R823"/>
          <cell r="S823"/>
          <cell r="T823"/>
          <cell r="U823"/>
          <cell r="V823"/>
          <cell r="W823"/>
          <cell r="X823"/>
          <cell r="Y823"/>
          <cell r="Z823"/>
          <cell r="AA823"/>
          <cell r="AB823"/>
          <cell r="AC823"/>
          <cell r="AD823"/>
          <cell r="AE823"/>
          <cell r="AF823"/>
          <cell r="AG823"/>
          <cell r="AH823"/>
          <cell r="AI823"/>
          <cell r="AJ823"/>
          <cell r="AK823"/>
          <cell r="AL823"/>
          <cell r="AM823"/>
          <cell r="AN823"/>
          <cell r="AO823"/>
          <cell r="AP823"/>
          <cell r="AQ823"/>
          <cell r="AR823"/>
          <cell r="AS823"/>
          <cell r="AT823"/>
          <cell r="AU823"/>
          <cell r="AV823"/>
          <cell r="AW823"/>
          <cell r="AX823"/>
          <cell r="AY823"/>
          <cell r="AZ823"/>
        </row>
        <row r="824">
          <cell r="A824"/>
          <cell r="B824"/>
          <cell r="C824"/>
          <cell r="D824"/>
          <cell r="E824"/>
          <cell r="F824"/>
          <cell r="G824"/>
          <cell r="H824"/>
          <cell r="I824"/>
          <cell r="J824"/>
          <cell r="K824"/>
          <cell r="L824"/>
          <cell r="M824"/>
          <cell r="N824"/>
          <cell r="O824"/>
          <cell r="P824"/>
          <cell r="Q824"/>
          <cell r="R824"/>
          <cell r="S824"/>
          <cell r="T824"/>
          <cell r="U824"/>
          <cell r="V824"/>
          <cell r="W824"/>
          <cell r="X824"/>
          <cell r="Y824"/>
          <cell r="Z824"/>
          <cell r="AA824"/>
          <cell r="AB824"/>
          <cell r="AC824"/>
          <cell r="AD824"/>
          <cell r="AE824"/>
          <cell r="AF824"/>
          <cell r="AG824"/>
          <cell r="AH824"/>
          <cell r="AI824"/>
          <cell r="AJ824"/>
          <cell r="AK824"/>
          <cell r="AL824"/>
          <cell r="AM824"/>
          <cell r="AN824"/>
          <cell r="AO824"/>
          <cell r="AP824"/>
          <cell r="AQ824"/>
          <cell r="AR824"/>
          <cell r="AS824"/>
          <cell r="AT824"/>
          <cell r="AU824"/>
          <cell r="AV824"/>
          <cell r="AW824"/>
          <cell r="AX824"/>
          <cell r="AY824"/>
          <cell r="AZ824"/>
        </row>
        <row r="825">
          <cell r="A825"/>
          <cell r="B825"/>
          <cell r="C825"/>
          <cell r="D825"/>
          <cell r="E825"/>
          <cell r="F825"/>
          <cell r="G825"/>
          <cell r="H825"/>
          <cell r="I825"/>
          <cell r="J825"/>
          <cell r="K825"/>
          <cell r="L825"/>
          <cell r="M825"/>
          <cell r="N825"/>
          <cell r="O825"/>
          <cell r="P825"/>
          <cell r="Q825"/>
          <cell r="R825"/>
          <cell r="S825"/>
          <cell r="T825"/>
          <cell r="U825"/>
          <cell r="V825"/>
          <cell r="W825"/>
          <cell r="X825"/>
          <cell r="Y825"/>
          <cell r="Z825"/>
          <cell r="AA825"/>
          <cell r="AB825"/>
          <cell r="AC825"/>
          <cell r="AD825"/>
          <cell r="AE825"/>
          <cell r="AF825"/>
          <cell r="AG825"/>
          <cell r="AH825"/>
          <cell r="AI825"/>
          <cell r="AJ825"/>
          <cell r="AK825"/>
          <cell r="AL825"/>
          <cell r="AM825"/>
          <cell r="AN825"/>
          <cell r="AO825"/>
          <cell r="AP825"/>
          <cell r="AQ825"/>
          <cell r="AR825"/>
          <cell r="AS825"/>
          <cell r="AT825"/>
          <cell r="AU825"/>
          <cell r="AV825"/>
          <cell r="AW825"/>
          <cell r="AX825"/>
          <cell r="AY825"/>
          <cell r="AZ825"/>
        </row>
        <row r="826">
          <cell r="A826"/>
          <cell r="B826"/>
          <cell r="C826"/>
          <cell r="D826"/>
          <cell r="E826"/>
          <cell r="F826"/>
          <cell r="G826"/>
          <cell r="H826"/>
          <cell r="I826"/>
          <cell r="J826"/>
          <cell r="K826"/>
          <cell r="L826"/>
          <cell r="M826"/>
          <cell r="N826"/>
          <cell r="O826"/>
          <cell r="P826"/>
          <cell r="Q826"/>
          <cell r="R826"/>
          <cell r="S826"/>
          <cell r="T826"/>
          <cell r="U826"/>
          <cell r="V826"/>
          <cell r="W826"/>
          <cell r="X826"/>
          <cell r="Y826"/>
          <cell r="Z826"/>
          <cell r="AA826"/>
          <cell r="AB826"/>
          <cell r="AC826"/>
          <cell r="AD826"/>
          <cell r="AE826"/>
          <cell r="AF826"/>
          <cell r="AG826"/>
          <cell r="AH826"/>
          <cell r="AI826"/>
          <cell r="AJ826"/>
          <cell r="AK826"/>
          <cell r="AL826"/>
          <cell r="AM826"/>
          <cell r="AN826"/>
          <cell r="AO826"/>
          <cell r="AP826"/>
          <cell r="AQ826"/>
          <cell r="AR826"/>
          <cell r="AS826"/>
          <cell r="AT826"/>
          <cell r="AU826"/>
          <cell r="AV826"/>
          <cell r="AW826"/>
          <cell r="AX826"/>
          <cell r="AY826"/>
          <cell r="AZ826"/>
        </row>
        <row r="827">
          <cell r="A827"/>
          <cell r="B827"/>
          <cell r="C827"/>
          <cell r="D827"/>
          <cell r="E827"/>
          <cell r="F827"/>
          <cell r="G827"/>
          <cell r="H827"/>
          <cell r="I827"/>
          <cell r="J827"/>
          <cell r="K827"/>
          <cell r="L827"/>
          <cell r="M827"/>
          <cell r="N827"/>
          <cell r="O827"/>
          <cell r="P827"/>
          <cell r="Q827"/>
          <cell r="R827"/>
          <cell r="S827"/>
          <cell r="T827"/>
          <cell r="U827"/>
          <cell r="V827"/>
          <cell r="W827"/>
          <cell r="X827"/>
          <cell r="Y827"/>
          <cell r="Z827"/>
          <cell r="AA827"/>
          <cell r="AB827"/>
          <cell r="AC827"/>
          <cell r="AD827"/>
          <cell r="AE827"/>
          <cell r="AF827"/>
          <cell r="AG827"/>
          <cell r="AH827"/>
          <cell r="AI827"/>
          <cell r="AJ827"/>
          <cell r="AK827"/>
          <cell r="AL827"/>
          <cell r="AM827"/>
          <cell r="AN827"/>
          <cell r="AO827"/>
          <cell r="AP827"/>
          <cell r="AQ827"/>
          <cell r="AR827"/>
          <cell r="AS827"/>
          <cell r="AT827"/>
          <cell r="AU827"/>
          <cell r="AV827"/>
          <cell r="AW827"/>
          <cell r="AX827"/>
          <cell r="AY827"/>
          <cell r="AZ827"/>
        </row>
        <row r="828">
          <cell r="A828"/>
          <cell r="B828"/>
          <cell r="C828"/>
          <cell r="D828"/>
          <cell r="E828"/>
          <cell r="F828"/>
          <cell r="G828"/>
          <cell r="H828"/>
          <cell r="I828"/>
          <cell r="J828"/>
          <cell r="K828"/>
          <cell r="L828"/>
          <cell r="M828"/>
          <cell r="N828"/>
          <cell r="O828"/>
          <cell r="P828"/>
          <cell r="Q828"/>
          <cell r="R828"/>
          <cell r="S828"/>
          <cell r="T828"/>
          <cell r="U828"/>
          <cell r="V828"/>
          <cell r="W828"/>
          <cell r="X828"/>
          <cell r="Y828"/>
          <cell r="Z828"/>
          <cell r="AA828"/>
          <cell r="AB828"/>
          <cell r="AC828"/>
          <cell r="AD828"/>
          <cell r="AE828"/>
          <cell r="AF828"/>
          <cell r="AG828"/>
          <cell r="AH828"/>
          <cell r="AI828"/>
          <cell r="AJ828"/>
          <cell r="AK828"/>
          <cell r="AL828"/>
          <cell r="AM828"/>
          <cell r="AN828"/>
          <cell r="AO828"/>
          <cell r="AP828"/>
          <cell r="AQ828"/>
          <cell r="AR828"/>
          <cell r="AS828"/>
          <cell r="AT828"/>
          <cell r="AU828"/>
          <cell r="AV828"/>
          <cell r="AW828"/>
          <cell r="AX828"/>
          <cell r="AY828"/>
          <cell r="AZ828"/>
        </row>
        <row r="829">
          <cell r="A829"/>
          <cell r="B829"/>
          <cell r="C829"/>
          <cell r="D829"/>
          <cell r="E829"/>
          <cell r="F829"/>
          <cell r="G829"/>
          <cell r="H829"/>
          <cell r="I829"/>
          <cell r="J829"/>
          <cell r="K829"/>
          <cell r="L829"/>
          <cell r="M829"/>
          <cell r="N829"/>
          <cell r="O829"/>
          <cell r="P829"/>
          <cell r="Q829"/>
          <cell r="R829"/>
          <cell r="S829"/>
          <cell r="T829"/>
          <cell r="U829"/>
          <cell r="V829"/>
          <cell r="W829"/>
          <cell r="X829"/>
          <cell r="Y829"/>
          <cell r="Z829"/>
          <cell r="AA829"/>
          <cell r="AB829"/>
          <cell r="AC829"/>
          <cell r="AD829"/>
          <cell r="AE829"/>
          <cell r="AF829"/>
          <cell r="AG829"/>
          <cell r="AH829"/>
          <cell r="AI829"/>
          <cell r="AJ829"/>
          <cell r="AK829"/>
          <cell r="AL829"/>
          <cell r="AM829"/>
          <cell r="AN829"/>
          <cell r="AO829"/>
          <cell r="AP829"/>
          <cell r="AQ829"/>
          <cell r="AR829"/>
          <cell r="AS829"/>
          <cell r="AT829"/>
          <cell r="AU829"/>
          <cell r="AV829"/>
          <cell r="AW829"/>
          <cell r="AX829"/>
          <cell r="AY829"/>
          <cell r="AZ829"/>
        </row>
        <row r="830">
          <cell r="A830"/>
          <cell r="B830"/>
          <cell r="C830"/>
          <cell r="D830"/>
          <cell r="E830"/>
          <cell r="F830"/>
          <cell r="G830"/>
          <cell r="H830"/>
          <cell r="I830"/>
          <cell r="J830"/>
          <cell r="K830"/>
          <cell r="L830"/>
          <cell r="M830"/>
          <cell r="N830"/>
          <cell r="O830"/>
          <cell r="P830"/>
          <cell r="Q830"/>
          <cell r="R830"/>
          <cell r="S830"/>
          <cell r="T830"/>
          <cell r="U830"/>
          <cell r="V830"/>
          <cell r="W830"/>
          <cell r="X830"/>
          <cell r="Y830"/>
          <cell r="Z830"/>
          <cell r="AA830"/>
          <cell r="AB830"/>
          <cell r="AC830"/>
          <cell r="AD830"/>
          <cell r="AE830"/>
          <cell r="AF830"/>
          <cell r="AG830"/>
          <cell r="AH830"/>
          <cell r="AI830"/>
          <cell r="AJ830"/>
          <cell r="AK830"/>
          <cell r="AL830"/>
          <cell r="AM830"/>
          <cell r="AN830"/>
          <cell r="AO830"/>
          <cell r="AP830"/>
          <cell r="AQ830"/>
          <cell r="AR830"/>
          <cell r="AS830"/>
          <cell r="AT830"/>
          <cell r="AU830"/>
          <cell r="AV830"/>
          <cell r="AW830"/>
          <cell r="AX830"/>
          <cell r="AY830"/>
          <cell r="AZ830"/>
        </row>
        <row r="831">
          <cell r="A831"/>
          <cell r="B831"/>
          <cell r="C831"/>
          <cell r="D831"/>
          <cell r="E831"/>
          <cell r="F831"/>
          <cell r="G831"/>
          <cell r="H831"/>
          <cell r="I831"/>
          <cell r="J831"/>
          <cell r="K831"/>
          <cell r="L831"/>
          <cell r="M831"/>
          <cell r="N831"/>
          <cell r="O831"/>
          <cell r="P831"/>
          <cell r="Q831"/>
          <cell r="R831"/>
          <cell r="S831"/>
          <cell r="T831"/>
          <cell r="U831"/>
          <cell r="V831"/>
          <cell r="W831"/>
          <cell r="X831"/>
          <cell r="Y831"/>
          <cell r="Z831"/>
          <cell r="AA831"/>
          <cell r="AB831"/>
          <cell r="AC831"/>
          <cell r="AD831"/>
          <cell r="AE831"/>
          <cell r="AF831"/>
          <cell r="AG831"/>
          <cell r="AH831"/>
          <cell r="AI831"/>
          <cell r="AJ831"/>
          <cell r="AK831"/>
          <cell r="AL831"/>
          <cell r="AM831"/>
          <cell r="AN831"/>
          <cell r="AO831"/>
          <cell r="AP831"/>
          <cell r="AQ831"/>
          <cell r="AR831"/>
          <cell r="AS831"/>
          <cell r="AT831"/>
          <cell r="AU831"/>
          <cell r="AV831"/>
          <cell r="AW831"/>
          <cell r="AX831"/>
          <cell r="AY831"/>
          <cell r="AZ831"/>
        </row>
        <row r="832">
          <cell r="A832"/>
          <cell r="B832"/>
          <cell r="C832"/>
          <cell r="D832"/>
          <cell r="E832"/>
          <cell r="F832"/>
          <cell r="G832"/>
          <cell r="H832"/>
          <cell r="I832"/>
          <cell r="J832"/>
          <cell r="K832"/>
          <cell r="L832"/>
          <cell r="M832"/>
          <cell r="N832"/>
          <cell r="O832"/>
          <cell r="P832"/>
          <cell r="Q832"/>
          <cell r="R832"/>
          <cell r="S832"/>
          <cell r="T832"/>
          <cell r="U832"/>
          <cell r="V832"/>
          <cell r="W832"/>
          <cell r="X832"/>
          <cell r="Y832"/>
          <cell r="Z832"/>
          <cell r="AA832"/>
          <cell r="AB832"/>
          <cell r="AC832"/>
          <cell r="AD832"/>
          <cell r="AE832"/>
          <cell r="AF832"/>
          <cell r="AG832"/>
          <cell r="AH832"/>
          <cell r="AI832"/>
          <cell r="AJ832"/>
          <cell r="AK832"/>
          <cell r="AL832"/>
          <cell r="AM832"/>
          <cell r="AN832"/>
          <cell r="AO832"/>
          <cell r="AP832"/>
          <cell r="AQ832"/>
          <cell r="AR832"/>
          <cell r="AS832"/>
          <cell r="AT832"/>
          <cell r="AU832"/>
          <cell r="AV832"/>
          <cell r="AW832"/>
          <cell r="AX832"/>
          <cell r="AY832"/>
          <cell r="AZ832"/>
        </row>
        <row r="833">
          <cell r="A833"/>
          <cell r="B833"/>
          <cell r="C833"/>
          <cell r="D833"/>
          <cell r="E833"/>
          <cell r="F833"/>
          <cell r="G833"/>
          <cell r="H833"/>
          <cell r="I833"/>
          <cell r="J833"/>
          <cell r="K833"/>
          <cell r="L833"/>
          <cell r="M833"/>
          <cell r="N833"/>
          <cell r="O833"/>
          <cell r="P833"/>
          <cell r="Q833"/>
          <cell r="R833"/>
          <cell r="S833"/>
          <cell r="T833"/>
          <cell r="U833"/>
          <cell r="V833"/>
          <cell r="W833"/>
          <cell r="X833"/>
          <cell r="Y833"/>
          <cell r="Z833"/>
          <cell r="AA833"/>
          <cell r="AB833"/>
          <cell r="AC833"/>
          <cell r="AD833"/>
          <cell r="AE833"/>
          <cell r="AF833"/>
          <cell r="AG833"/>
          <cell r="AH833"/>
          <cell r="AI833"/>
          <cell r="AJ833"/>
          <cell r="AK833"/>
          <cell r="AL833"/>
          <cell r="AM833"/>
          <cell r="AN833"/>
          <cell r="AO833"/>
          <cell r="AP833"/>
          <cell r="AQ833"/>
          <cell r="AR833"/>
          <cell r="AS833"/>
          <cell r="AT833"/>
          <cell r="AU833"/>
          <cell r="AV833"/>
          <cell r="AW833"/>
          <cell r="AX833"/>
          <cell r="AY833"/>
          <cell r="AZ833"/>
        </row>
        <row r="834">
          <cell r="A834"/>
          <cell r="B834"/>
          <cell r="C834"/>
          <cell r="D834"/>
          <cell r="E834"/>
          <cell r="F834"/>
          <cell r="G834"/>
          <cell r="H834"/>
          <cell r="I834"/>
          <cell r="J834"/>
          <cell r="K834"/>
          <cell r="L834"/>
          <cell r="M834"/>
          <cell r="N834"/>
          <cell r="O834"/>
          <cell r="P834"/>
          <cell r="Q834"/>
          <cell r="R834"/>
          <cell r="S834"/>
          <cell r="T834"/>
          <cell r="U834"/>
          <cell r="V834"/>
          <cell r="W834"/>
          <cell r="X834"/>
          <cell r="Y834"/>
          <cell r="Z834"/>
          <cell r="AA834"/>
          <cell r="AB834"/>
          <cell r="AC834"/>
          <cell r="AD834"/>
          <cell r="AE834"/>
          <cell r="AF834"/>
          <cell r="AG834"/>
          <cell r="AH834"/>
          <cell r="AI834"/>
          <cell r="AJ834"/>
          <cell r="AK834"/>
          <cell r="AL834"/>
          <cell r="AM834"/>
          <cell r="AN834"/>
          <cell r="AO834"/>
          <cell r="AP834"/>
          <cell r="AQ834"/>
          <cell r="AR834"/>
          <cell r="AS834"/>
          <cell r="AT834"/>
          <cell r="AU834"/>
          <cell r="AV834"/>
          <cell r="AW834"/>
          <cell r="AX834"/>
          <cell r="AY834"/>
          <cell r="AZ834"/>
        </row>
        <row r="835">
          <cell r="A835"/>
          <cell r="B835"/>
          <cell r="C835"/>
          <cell r="D835"/>
          <cell r="E835"/>
          <cell r="F835"/>
          <cell r="G835"/>
          <cell r="H835"/>
          <cell r="I835"/>
          <cell r="J835"/>
          <cell r="K835"/>
          <cell r="L835"/>
          <cell r="M835"/>
          <cell r="N835"/>
          <cell r="O835"/>
          <cell r="P835"/>
          <cell r="Q835"/>
          <cell r="R835"/>
          <cell r="S835"/>
          <cell r="T835"/>
          <cell r="U835"/>
          <cell r="V835"/>
          <cell r="W835"/>
          <cell r="X835"/>
          <cell r="Y835"/>
          <cell r="Z835"/>
          <cell r="AA835"/>
          <cell r="AB835"/>
          <cell r="AC835"/>
          <cell r="AD835"/>
          <cell r="AE835"/>
          <cell r="AF835"/>
          <cell r="AG835"/>
          <cell r="AH835"/>
          <cell r="AI835"/>
          <cell r="AJ835"/>
          <cell r="AK835"/>
          <cell r="AL835"/>
          <cell r="AM835"/>
          <cell r="AN835"/>
          <cell r="AO835"/>
          <cell r="AP835"/>
          <cell r="AQ835"/>
          <cell r="AR835"/>
          <cell r="AS835"/>
          <cell r="AT835"/>
          <cell r="AU835"/>
          <cell r="AV835"/>
          <cell r="AW835"/>
          <cell r="AX835"/>
          <cell r="AY835"/>
          <cell r="AZ835"/>
        </row>
        <row r="836">
          <cell r="A836"/>
          <cell r="B836"/>
          <cell r="C836"/>
          <cell r="D836"/>
          <cell r="E836"/>
          <cell r="F836"/>
          <cell r="G836"/>
          <cell r="H836"/>
          <cell r="I836"/>
          <cell r="J836"/>
          <cell r="K836"/>
          <cell r="L836"/>
          <cell r="M836"/>
          <cell r="N836"/>
          <cell r="O836"/>
          <cell r="P836"/>
          <cell r="Q836"/>
          <cell r="R836"/>
          <cell r="S836"/>
          <cell r="T836"/>
          <cell r="U836"/>
          <cell r="V836"/>
          <cell r="W836"/>
          <cell r="X836"/>
          <cell r="Y836"/>
          <cell r="Z836"/>
          <cell r="AA836"/>
          <cell r="AB836"/>
          <cell r="AC836"/>
          <cell r="AD836"/>
          <cell r="AE836"/>
          <cell r="AF836"/>
          <cell r="AG836"/>
          <cell r="AH836"/>
          <cell r="AI836"/>
          <cell r="AJ836"/>
          <cell r="AK836"/>
          <cell r="AL836"/>
          <cell r="AM836"/>
          <cell r="AN836"/>
          <cell r="AO836"/>
          <cell r="AP836"/>
          <cell r="AQ836"/>
          <cell r="AR836"/>
          <cell r="AS836"/>
          <cell r="AT836"/>
          <cell r="AU836"/>
          <cell r="AV836"/>
          <cell r="AW836"/>
          <cell r="AX836"/>
          <cell r="AY836"/>
          <cell r="AZ836"/>
        </row>
        <row r="837">
          <cell r="A837"/>
          <cell r="B837"/>
          <cell r="C837"/>
          <cell r="D837"/>
          <cell r="E837"/>
          <cell r="F837"/>
          <cell r="G837"/>
          <cell r="H837"/>
          <cell r="I837"/>
          <cell r="J837"/>
          <cell r="K837"/>
          <cell r="L837"/>
          <cell r="M837"/>
          <cell r="N837"/>
          <cell r="O837"/>
          <cell r="P837"/>
          <cell r="Q837"/>
          <cell r="R837"/>
          <cell r="S837"/>
          <cell r="T837"/>
          <cell r="U837"/>
          <cell r="V837"/>
          <cell r="W837"/>
          <cell r="X837"/>
          <cell r="Y837"/>
          <cell r="Z837"/>
          <cell r="AA837"/>
          <cell r="AB837"/>
          <cell r="AC837"/>
          <cell r="AD837"/>
          <cell r="AE837"/>
          <cell r="AF837"/>
          <cell r="AG837"/>
          <cell r="AH837"/>
          <cell r="AI837"/>
          <cell r="AJ837"/>
          <cell r="AK837"/>
          <cell r="AL837"/>
          <cell r="AM837"/>
          <cell r="AN837"/>
          <cell r="AO837"/>
          <cell r="AP837"/>
          <cell r="AQ837"/>
          <cell r="AR837"/>
          <cell r="AS837"/>
          <cell r="AT837"/>
          <cell r="AU837"/>
          <cell r="AV837"/>
          <cell r="AW837"/>
          <cell r="AX837"/>
          <cell r="AY837"/>
          <cell r="AZ837"/>
        </row>
        <row r="838">
          <cell r="A838"/>
          <cell r="B838"/>
          <cell r="C838"/>
          <cell r="D838"/>
          <cell r="E838"/>
          <cell r="F838"/>
          <cell r="G838"/>
          <cell r="H838"/>
          <cell r="I838"/>
          <cell r="J838"/>
          <cell r="K838"/>
          <cell r="L838"/>
          <cell r="M838"/>
          <cell r="N838"/>
          <cell r="O838"/>
          <cell r="P838"/>
          <cell r="Q838"/>
          <cell r="R838"/>
          <cell r="S838"/>
          <cell r="T838"/>
          <cell r="U838"/>
          <cell r="V838"/>
          <cell r="W838"/>
          <cell r="X838"/>
          <cell r="Y838"/>
          <cell r="Z838"/>
          <cell r="AA838"/>
          <cell r="AB838"/>
          <cell r="AC838"/>
          <cell r="AD838"/>
          <cell r="AE838"/>
          <cell r="AF838"/>
          <cell r="AG838"/>
          <cell r="AH838"/>
          <cell r="AI838"/>
          <cell r="AJ838"/>
          <cell r="AK838"/>
          <cell r="AL838"/>
          <cell r="AM838"/>
          <cell r="AN838"/>
          <cell r="AO838"/>
          <cell r="AP838"/>
          <cell r="AQ838"/>
          <cell r="AR838"/>
          <cell r="AS838"/>
          <cell r="AT838"/>
          <cell r="AU838"/>
          <cell r="AV838"/>
          <cell r="AW838"/>
          <cell r="AX838"/>
          <cell r="AY838"/>
          <cell r="AZ838"/>
        </row>
        <row r="839">
          <cell r="A839"/>
          <cell r="B839"/>
          <cell r="C839"/>
          <cell r="D839"/>
          <cell r="E839"/>
          <cell r="F839"/>
          <cell r="G839"/>
          <cell r="H839"/>
          <cell r="I839"/>
          <cell r="J839"/>
          <cell r="K839"/>
          <cell r="L839"/>
          <cell r="M839"/>
          <cell r="N839"/>
          <cell r="O839"/>
          <cell r="P839"/>
          <cell r="Q839"/>
          <cell r="R839"/>
          <cell r="S839"/>
          <cell r="T839"/>
          <cell r="U839"/>
          <cell r="V839"/>
          <cell r="W839"/>
          <cell r="X839"/>
          <cell r="Y839"/>
          <cell r="Z839"/>
          <cell r="AA839"/>
          <cell r="AB839"/>
          <cell r="AC839"/>
          <cell r="AD839"/>
          <cell r="AE839"/>
          <cell r="AF839"/>
          <cell r="AG839"/>
          <cell r="AH839"/>
          <cell r="AI839"/>
          <cell r="AJ839"/>
          <cell r="AK839"/>
          <cell r="AL839"/>
          <cell r="AM839"/>
          <cell r="AN839"/>
          <cell r="AO839"/>
          <cell r="AP839"/>
          <cell r="AQ839"/>
          <cell r="AR839"/>
          <cell r="AS839"/>
          <cell r="AT839"/>
          <cell r="AU839"/>
          <cell r="AV839"/>
          <cell r="AW839"/>
          <cell r="AX839"/>
          <cell r="AY839"/>
          <cell r="AZ839"/>
        </row>
        <row r="840">
          <cell r="A840"/>
          <cell r="B840"/>
          <cell r="C840"/>
          <cell r="D840"/>
          <cell r="E840"/>
          <cell r="F840"/>
          <cell r="G840"/>
          <cell r="H840"/>
          <cell r="I840"/>
          <cell r="J840"/>
          <cell r="K840"/>
          <cell r="L840"/>
          <cell r="M840"/>
          <cell r="N840"/>
          <cell r="O840"/>
          <cell r="P840"/>
          <cell r="Q840"/>
          <cell r="R840"/>
          <cell r="S840"/>
          <cell r="T840"/>
          <cell r="U840"/>
          <cell r="V840"/>
          <cell r="W840"/>
          <cell r="X840"/>
          <cell r="Y840"/>
          <cell r="Z840"/>
          <cell r="AA840"/>
          <cell r="AB840"/>
          <cell r="AC840"/>
          <cell r="AD840"/>
          <cell r="AE840"/>
          <cell r="AF840"/>
          <cell r="AG840"/>
          <cell r="AH840"/>
          <cell r="AI840"/>
          <cell r="AJ840"/>
          <cell r="AK840"/>
          <cell r="AL840"/>
          <cell r="AM840"/>
          <cell r="AN840"/>
          <cell r="AO840"/>
          <cell r="AP840"/>
          <cell r="AQ840"/>
          <cell r="AR840"/>
          <cell r="AS840"/>
          <cell r="AT840"/>
          <cell r="AU840"/>
          <cell r="AV840"/>
          <cell r="AW840"/>
          <cell r="AX840"/>
          <cell r="AY840"/>
          <cell r="AZ840"/>
        </row>
        <row r="841">
          <cell r="A841"/>
          <cell r="B841"/>
          <cell r="C841"/>
          <cell r="D841"/>
          <cell r="E841"/>
          <cell r="F841"/>
          <cell r="G841"/>
          <cell r="H841"/>
          <cell r="I841"/>
          <cell r="J841"/>
          <cell r="K841"/>
          <cell r="L841"/>
          <cell r="M841"/>
          <cell r="N841"/>
          <cell r="O841"/>
          <cell r="P841"/>
          <cell r="Q841"/>
          <cell r="R841"/>
          <cell r="S841"/>
          <cell r="T841"/>
          <cell r="U841"/>
          <cell r="V841"/>
          <cell r="W841"/>
          <cell r="X841"/>
          <cell r="Y841"/>
          <cell r="Z841"/>
          <cell r="AA841"/>
          <cell r="AB841"/>
          <cell r="AC841"/>
          <cell r="AD841"/>
          <cell r="AE841"/>
          <cell r="AF841"/>
          <cell r="AG841"/>
          <cell r="AH841"/>
          <cell r="AI841"/>
          <cell r="AJ841"/>
          <cell r="AK841"/>
          <cell r="AL841"/>
          <cell r="AM841"/>
          <cell r="AN841"/>
          <cell r="AO841"/>
          <cell r="AP841"/>
          <cell r="AQ841"/>
          <cell r="AR841"/>
          <cell r="AS841"/>
          <cell r="AT841"/>
          <cell r="AU841"/>
          <cell r="AV841"/>
          <cell r="AW841"/>
          <cell r="AX841"/>
          <cell r="AY841"/>
          <cell r="AZ841"/>
        </row>
        <row r="842">
          <cell r="A842"/>
          <cell r="B842"/>
          <cell r="C842"/>
          <cell r="D842"/>
          <cell r="E842"/>
          <cell r="F842"/>
          <cell r="G842"/>
          <cell r="H842"/>
          <cell r="I842"/>
          <cell r="J842"/>
          <cell r="K842"/>
          <cell r="L842"/>
          <cell r="M842"/>
          <cell r="N842"/>
          <cell r="O842"/>
          <cell r="P842"/>
          <cell r="Q842"/>
          <cell r="R842"/>
          <cell r="S842"/>
          <cell r="T842"/>
          <cell r="U842"/>
          <cell r="V842"/>
          <cell r="W842"/>
          <cell r="X842"/>
          <cell r="Y842"/>
          <cell r="Z842"/>
          <cell r="AA842"/>
          <cell r="AB842"/>
          <cell r="AC842"/>
          <cell r="AD842"/>
          <cell r="AE842"/>
          <cell r="AF842"/>
          <cell r="AG842"/>
          <cell r="AH842"/>
          <cell r="AI842"/>
          <cell r="AJ842"/>
          <cell r="AK842"/>
          <cell r="AL842"/>
          <cell r="AM842"/>
          <cell r="AN842"/>
          <cell r="AO842"/>
          <cell r="AP842"/>
          <cell r="AQ842"/>
          <cell r="AR842"/>
          <cell r="AS842"/>
          <cell r="AT842"/>
          <cell r="AU842"/>
          <cell r="AV842"/>
          <cell r="AW842"/>
          <cell r="AX842"/>
          <cell r="AY842"/>
          <cell r="AZ842"/>
        </row>
        <row r="843">
          <cell r="A843"/>
          <cell r="B843"/>
          <cell r="C843"/>
          <cell r="D843"/>
          <cell r="E843"/>
          <cell r="F843"/>
          <cell r="G843"/>
          <cell r="H843"/>
          <cell r="I843"/>
          <cell r="J843"/>
          <cell r="K843"/>
          <cell r="L843"/>
          <cell r="M843"/>
          <cell r="N843"/>
          <cell r="O843"/>
          <cell r="P843"/>
          <cell r="Q843"/>
          <cell r="R843"/>
          <cell r="S843"/>
          <cell r="T843"/>
          <cell r="U843"/>
          <cell r="V843"/>
          <cell r="W843"/>
          <cell r="X843"/>
          <cell r="Y843"/>
          <cell r="Z843"/>
          <cell r="AA843"/>
          <cell r="AB843"/>
          <cell r="AC843"/>
          <cell r="AD843"/>
          <cell r="AE843"/>
          <cell r="AF843"/>
          <cell r="AG843"/>
          <cell r="AH843"/>
          <cell r="AI843"/>
          <cell r="AJ843"/>
          <cell r="AK843"/>
          <cell r="AL843"/>
          <cell r="AM843"/>
          <cell r="AN843"/>
          <cell r="AO843"/>
          <cell r="AP843"/>
          <cell r="AQ843"/>
          <cell r="AR843"/>
          <cell r="AS843"/>
          <cell r="AT843"/>
          <cell r="AU843"/>
          <cell r="AV843"/>
          <cell r="AW843"/>
          <cell r="AX843"/>
          <cell r="AY843"/>
          <cell r="AZ843"/>
        </row>
        <row r="844">
          <cell r="A844"/>
          <cell r="B844"/>
          <cell r="C844"/>
          <cell r="D844"/>
          <cell r="E844"/>
          <cell r="F844"/>
          <cell r="G844"/>
          <cell r="H844"/>
          <cell r="I844"/>
          <cell r="J844"/>
          <cell r="K844"/>
          <cell r="L844"/>
          <cell r="M844"/>
          <cell r="N844"/>
          <cell r="O844"/>
          <cell r="P844"/>
          <cell r="Q844"/>
          <cell r="R844"/>
          <cell r="S844"/>
          <cell r="T844"/>
          <cell r="U844"/>
          <cell r="V844"/>
          <cell r="W844"/>
          <cell r="X844"/>
          <cell r="Y844"/>
          <cell r="Z844"/>
          <cell r="AA844"/>
          <cell r="AB844"/>
          <cell r="AC844"/>
          <cell r="AD844"/>
          <cell r="AE844"/>
          <cell r="AF844"/>
          <cell r="AG844"/>
          <cell r="AH844"/>
          <cell r="AI844"/>
          <cell r="AJ844"/>
          <cell r="AK844"/>
          <cell r="AL844"/>
          <cell r="AM844"/>
          <cell r="AN844"/>
          <cell r="AO844"/>
          <cell r="AP844"/>
          <cell r="AQ844"/>
          <cell r="AR844"/>
          <cell r="AS844"/>
          <cell r="AT844"/>
          <cell r="AU844"/>
          <cell r="AV844"/>
          <cell r="AW844"/>
          <cell r="AX844"/>
          <cell r="AY844"/>
          <cell r="AZ844"/>
        </row>
        <row r="845">
          <cell r="A845"/>
          <cell r="B845"/>
          <cell r="C845"/>
          <cell r="D845"/>
          <cell r="E845"/>
          <cell r="F845"/>
          <cell r="G845"/>
          <cell r="H845"/>
          <cell r="I845"/>
          <cell r="J845"/>
          <cell r="K845"/>
          <cell r="L845"/>
          <cell r="M845"/>
          <cell r="N845"/>
          <cell r="O845"/>
          <cell r="P845"/>
          <cell r="Q845"/>
          <cell r="R845"/>
          <cell r="S845"/>
          <cell r="T845"/>
          <cell r="U845"/>
          <cell r="V845"/>
          <cell r="W845"/>
          <cell r="X845"/>
          <cell r="Y845"/>
          <cell r="Z845"/>
          <cell r="AA845"/>
          <cell r="AB845"/>
          <cell r="AC845"/>
          <cell r="AD845"/>
          <cell r="AE845"/>
          <cell r="AF845"/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/>
          <cell r="AS845"/>
          <cell r="AT845"/>
          <cell r="AU845"/>
          <cell r="AV845"/>
          <cell r="AW845"/>
          <cell r="AX845"/>
          <cell r="AY845"/>
          <cell r="AZ845"/>
        </row>
        <row r="846">
          <cell r="A846"/>
          <cell r="B846"/>
          <cell r="C846"/>
          <cell r="D846"/>
          <cell r="E846"/>
          <cell r="F846"/>
          <cell r="G846"/>
          <cell r="H846"/>
          <cell r="I846"/>
          <cell r="J846"/>
          <cell r="K846"/>
          <cell r="L846"/>
          <cell r="M846"/>
          <cell r="N846"/>
          <cell r="O846"/>
          <cell r="P846"/>
          <cell r="Q846"/>
          <cell r="R846"/>
          <cell r="S846"/>
          <cell r="T846"/>
          <cell r="U846"/>
          <cell r="V846"/>
          <cell r="W846"/>
          <cell r="X846"/>
          <cell r="Y846"/>
          <cell r="Z846"/>
          <cell r="AA846"/>
          <cell r="AB846"/>
          <cell r="AC846"/>
          <cell r="AD846"/>
          <cell r="AE846"/>
          <cell r="AF846"/>
          <cell r="AG846"/>
          <cell r="AH846"/>
          <cell r="AI846"/>
          <cell r="AJ846"/>
          <cell r="AK846"/>
          <cell r="AL846"/>
          <cell r="AM846"/>
          <cell r="AN846"/>
          <cell r="AO846"/>
          <cell r="AP846"/>
          <cell r="AQ846"/>
          <cell r="AR846"/>
          <cell r="AS846"/>
          <cell r="AT846"/>
          <cell r="AU846"/>
          <cell r="AV846"/>
          <cell r="AW846"/>
          <cell r="AX846"/>
          <cell r="AY846"/>
          <cell r="AZ846"/>
        </row>
        <row r="847">
          <cell r="A847"/>
          <cell r="B847"/>
          <cell r="C847"/>
          <cell r="D847"/>
          <cell r="E847"/>
          <cell r="F847"/>
          <cell r="G847"/>
          <cell r="H847"/>
          <cell r="I847"/>
          <cell r="J847"/>
          <cell r="K847"/>
          <cell r="L847"/>
          <cell r="M847"/>
          <cell r="N847"/>
          <cell r="O847"/>
          <cell r="P847"/>
          <cell r="Q847"/>
          <cell r="R847"/>
          <cell r="S847"/>
          <cell r="T847"/>
          <cell r="U847"/>
          <cell r="V847"/>
          <cell r="W847"/>
          <cell r="X847"/>
          <cell r="Y847"/>
          <cell r="Z847"/>
          <cell r="AA847"/>
          <cell r="AB847"/>
          <cell r="AC847"/>
          <cell r="AD847"/>
          <cell r="AE847"/>
          <cell r="AF847"/>
          <cell r="AG847"/>
          <cell r="AH847"/>
          <cell r="AI847"/>
          <cell r="AJ847"/>
          <cell r="AK847"/>
          <cell r="AL847"/>
          <cell r="AM847"/>
          <cell r="AN847"/>
          <cell r="AO847"/>
          <cell r="AP847"/>
          <cell r="AQ847"/>
          <cell r="AR847"/>
          <cell r="AS847"/>
          <cell r="AT847"/>
          <cell r="AU847"/>
          <cell r="AV847"/>
          <cell r="AW847"/>
          <cell r="AX847"/>
          <cell r="AY847"/>
          <cell r="AZ847"/>
        </row>
        <row r="848">
          <cell r="A848"/>
          <cell r="B848"/>
          <cell r="C848"/>
          <cell r="D848"/>
          <cell r="E848"/>
          <cell r="F848"/>
          <cell r="G848"/>
          <cell r="H848"/>
          <cell r="I848"/>
          <cell r="J848"/>
          <cell r="K848"/>
          <cell r="L848"/>
          <cell r="M848"/>
          <cell r="N848"/>
          <cell r="O848"/>
          <cell r="P848"/>
          <cell r="Q848"/>
          <cell r="R848"/>
          <cell r="S848"/>
          <cell r="T848"/>
          <cell r="U848"/>
          <cell r="V848"/>
          <cell r="W848"/>
          <cell r="X848"/>
          <cell r="Y848"/>
          <cell r="Z848"/>
          <cell r="AA848"/>
          <cell r="AB848"/>
          <cell r="AC848"/>
          <cell r="AD848"/>
          <cell r="AE848"/>
          <cell r="AF848"/>
          <cell r="AG848"/>
          <cell r="AH848"/>
          <cell r="AI848"/>
          <cell r="AJ848"/>
          <cell r="AK848"/>
          <cell r="AL848"/>
          <cell r="AM848"/>
          <cell r="AN848"/>
          <cell r="AO848"/>
          <cell r="AP848"/>
          <cell r="AQ848"/>
          <cell r="AR848"/>
          <cell r="AS848"/>
          <cell r="AT848"/>
          <cell r="AU848"/>
          <cell r="AV848"/>
          <cell r="AW848"/>
          <cell r="AX848"/>
          <cell r="AY848"/>
          <cell r="AZ848"/>
        </row>
        <row r="849">
          <cell r="A849"/>
          <cell r="B849"/>
          <cell r="C849"/>
          <cell r="D849"/>
          <cell r="E849"/>
          <cell r="F849"/>
          <cell r="G849"/>
          <cell r="H849"/>
          <cell r="I849"/>
          <cell r="J849"/>
          <cell r="K849"/>
          <cell r="L849"/>
          <cell r="M849"/>
          <cell r="N849"/>
          <cell r="O849"/>
          <cell r="P849"/>
          <cell r="Q849"/>
          <cell r="R849"/>
          <cell r="S849"/>
          <cell r="T849"/>
          <cell r="U849"/>
          <cell r="V849"/>
          <cell r="W849"/>
          <cell r="X849"/>
          <cell r="Y849"/>
          <cell r="Z849"/>
          <cell r="AA849"/>
          <cell r="AB849"/>
          <cell r="AC849"/>
          <cell r="AD849"/>
          <cell r="AE849"/>
          <cell r="AF849"/>
          <cell r="AG849"/>
          <cell r="AH849"/>
          <cell r="AI849"/>
          <cell r="AJ849"/>
          <cell r="AK849"/>
          <cell r="AL849"/>
          <cell r="AM849"/>
          <cell r="AN849"/>
          <cell r="AO849"/>
          <cell r="AP849"/>
          <cell r="AQ849"/>
          <cell r="AR849"/>
          <cell r="AS849"/>
          <cell r="AT849"/>
          <cell r="AU849"/>
          <cell r="AV849"/>
          <cell r="AW849"/>
          <cell r="AX849"/>
          <cell r="AY849"/>
          <cell r="AZ849"/>
        </row>
        <row r="850">
          <cell r="A850"/>
          <cell r="B850"/>
          <cell r="C850"/>
          <cell r="D850"/>
          <cell r="E850"/>
          <cell r="F850"/>
          <cell r="G850"/>
          <cell r="H850"/>
          <cell r="I850"/>
          <cell r="J850"/>
          <cell r="K850"/>
          <cell r="L850"/>
          <cell r="M850"/>
          <cell r="N850"/>
          <cell r="O850"/>
          <cell r="P850"/>
          <cell r="Q850"/>
          <cell r="R850"/>
          <cell r="S850"/>
          <cell r="T850"/>
          <cell r="U850"/>
          <cell r="V850"/>
          <cell r="W850"/>
          <cell r="X850"/>
          <cell r="Y850"/>
          <cell r="Z850"/>
          <cell r="AA850"/>
          <cell r="AB850"/>
          <cell r="AC850"/>
          <cell r="AD850"/>
          <cell r="AE850"/>
          <cell r="AF850"/>
          <cell r="AG850"/>
          <cell r="AH850"/>
          <cell r="AI850"/>
          <cell r="AJ850"/>
          <cell r="AK850"/>
          <cell r="AL850"/>
          <cell r="AM850"/>
          <cell r="AN850"/>
          <cell r="AO850"/>
          <cell r="AP850"/>
          <cell r="AQ850"/>
          <cell r="AR850"/>
          <cell r="AS850"/>
          <cell r="AT850"/>
          <cell r="AU850"/>
          <cell r="AV850"/>
          <cell r="AW850"/>
          <cell r="AX850"/>
          <cell r="AY850"/>
          <cell r="AZ850"/>
        </row>
        <row r="851">
          <cell r="A851"/>
          <cell r="B851"/>
          <cell r="C851"/>
          <cell r="D851"/>
          <cell r="E851"/>
          <cell r="F851"/>
          <cell r="G851"/>
          <cell r="H851"/>
          <cell r="I851"/>
          <cell r="J851"/>
          <cell r="K851"/>
          <cell r="L851"/>
          <cell r="M851"/>
          <cell r="N851"/>
          <cell r="O851"/>
          <cell r="P851"/>
          <cell r="Q851"/>
          <cell r="R851"/>
          <cell r="S851"/>
          <cell r="T851"/>
          <cell r="U851"/>
          <cell r="V851"/>
          <cell r="W851"/>
          <cell r="X851"/>
          <cell r="Y851"/>
          <cell r="Z851"/>
          <cell r="AA851"/>
          <cell r="AB851"/>
          <cell r="AC851"/>
          <cell r="AD851"/>
          <cell r="AE851"/>
          <cell r="AF851"/>
          <cell r="AG851"/>
          <cell r="AH851"/>
          <cell r="AI851"/>
          <cell r="AJ851"/>
          <cell r="AK851"/>
          <cell r="AL851"/>
          <cell r="AM851"/>
          <cell r="AN851"/>
          <cell r="AO851"/>
          <cell r="AP851"/>
          <cell r="AQ851"/>
          <cell r="AR851"/>
          <cell r="AS851"/>
          <cell r="AT851"/>
          <cell r="AU851"/>
          <cell r="AV851"/>
          <cell r="AW851"/>
          <cell r="AX851"/>
          <cell r="AY851"/>
          <cell r="AZ851"/>
        </row>
        <row r="852">
          <cell r="A852"/>
          <cell r="B852"/>
          <cell r="C852"/>
          <cell r="D852"/>
          <cell r="E852"/>
          <cell r="F852"/>
          <cell r="G852"/>
          <cell r="H852"/>
          <cell r="I852"/>
          <cell r="J852"/>
          <cell r="K852"/>
          <cell r="L852"/>
          <cell r="M852"/>
          <cell r="N852"/>
          <cell r="O852"/>
          <cell r="P852"/>
          <cell r="Q852"/>
          <cell r="R852"/>
          <cell r="S852"/>
          <cell r="T852"/>
          <cell r="U852"/>
          <cell r="V852"/>
          <cell r="W852"/>
          <cell r="X852"/>
          <cell r="Y852"/>
          <cell r="Z852"/>
          <cell r="AA852"/>
          <cell r="AB852"/>
          <cell r="AC852"/>
          <cell r="AD852"/>
          <cell r="AE852"/>
          <cell r="AF852"/>
          <cell r="AG852"/>
          <cell r="AH852"/>
          <cell r="AI852"/>
          <cell r="AJ852"/>
          <cell r="AK852"/>
          <cell r="AL852"/>
          <cell r="AM852"/>
          <cell r="AN852"/>
          <cell r="AO852"/>
          <cell r="AP852"/>
          <cell r="AQ852"/>
          <cell r="AR852"/>
          <cell r="AS852"/>
          <cell r="AT852"/>
          <cell r="AU852"/>
          <cell r="AV852"/>
          <cell r="AW852"/>
          <cell r="AX852"/>
          <cell r="AY852"/>
          <cell r="AZ852"/>
        </row>
        <row r="853">
          <cell r="A853"/>
          <cell r="B853"/>
          <cell r="C853"/>
          <cell r="D853"/>
          <cell r="E853"/>
          <cell r="F853"/>
          <cell r="G853"/>
          <cell r="H853"/>
          <cell r="I853"/>
          <cell r="J853"/>
          <cell r="K853"/>
          <cell r="L853"/>
          <cell r="M853"/>
          <cell r="N853"/>
          <cell r="O853"/>
          <cell r="P853"/>
          <cell r="Q853"/>
          <cell r="R853"/>
          <cell r="S853"/>
          <cell r="T853"/>
          <cell r="U853"/>
          <cell r="V853"/>
          <cell r="W853"/>
          <cell r="X853"/>
          <cell r="Y853"/>
          <cell r="Z853"/>
          <cell r="AA853"/>
          <cell r="AB853"/>
          <cell r="AC853"/>
          <cell r="AD853"/>
          <cell r="AE853"/>
          <cell r="AF853"/>
          <cell r="AG853"/>
          <cell r="AH853"/>
          <cell r="AI853"/>
          <cell r="AJ853"/>
          <cell r="AK853"/>
          <cell r="AL853"/>
          <cell r="AM853"/>
          <cell r="AN853"/>
          <cell r="AO853"/>
          <cell r="AP853"/>
          <cell r="AQ853"/>
          <cell r="AR853"/>
          <cell r="AS853"/>
          <cell r="AT853"/>
          <cell r="AU853"/>
          <cell r="AV853"/>
          <cell r="AW853"/>
          <cell r="AX853"/>
          <cell r="AY853"/>
          <cell r="AZ853"/>
        </row>
        <row r="854">
          <cell r="A854"/>
          <cell r="B854"/>
          <cell r="C854"/>
          <cell r="D854"/>
          <cell r="E854"/>
          <cell r="F854"/>
          <cell r="G854"/>
          <cell r="H854"/>
          <cell r="I854"/>
          <cell r="J854"/>
          <cell r="K854"/>
          <cell r="L854"/>
          <cell r="M854"/>
          <cell r="N854"/>
          <cell r="O854"/>
          <cell r="P854"/>
          <cell r="Q854"/>
          <cell r="R854"/>
          <cell r="S854"/>
          <cell r="T854"/>
          <cell r="U854"/>
          <cell r="V854"/>
          <cell r="W854"/>
          <cell r="X854"/>
          <cell r="Y854"/>
          <cell r="Z854"/>
          <cell r="AA854"/>
          <cell r="AB854"/>
          <cell r="AC854"/>
          <cell r="AD854"/>
          <cell r="AE854"/>
          <cell r="AF854"/>
          <cell r="AG854"/>
          <cell r="AH854"/>
          <cell r="AI854"/>
          <cell r="AJ854"/>
          <cell r="AK854"/>
          <cell r="AL854"/>
          <cell r="AM854"/>
          <cell r="AN854"/>
          <cell r="AO854"/>
          <cell r="AP854"/>
          <cell r="AQ854"/>
          <cell r="AR854"/>
          <cell r="AS854"/>
          <cell r="AT854"/>
          <cell r="AU854"/>
          <cell r="AV854"/>
          <cell r="AW854"/>
          <cell r="AX854"/>
          <cell r="AY854"/>
          <cell r="AZ854"/>
        </row>
        <row r="855">
          <cell r="A855"/>
          <cell r="B855"/>
          <cell r="C855"/>
          <cell r="D855"/>
          <cell r="E855"/>
          <cell r="F855"/>
          <cell r="G855"/>
          <cell r="H855"/>
          <cell r="I855"/>
          <cell r="J855"/>
          <cell r="K855"/>
          <cell r="L855"/>
          <cell r="M855"/>
          <cell r="N855"/>
          <cell r="O855"/>
          <cell r="P855"/>
          <cell r="Q855"/>
          <cell r="R855"/>
          <cell r="S855"/>
          <cell r="T855"/>
          <cell r="U855"/>
          <cell r="V855"/>
          <cell r="W855"/>
          <cell r="X855"/>
          <cell r="Y855"/>
          <cell r="Z855"/>
          <cell r="AA855"/>
          <cell r="AB855"/>
          <cell r="AC855"/>
          <cell r="AD855"/>
          <cell r="AE855"/>
          <cell r="AF855"/>
          <cell r="AG855"/>
          <cell r="AH855"/>
          <cell r="AI855"/>
          <cell r="AJ855"/>
          <cell r="AK855"/>
          <cell r="AL855"/>
          <cell r="AM855"/>
          <cell r="AN855"/>
          <cell r="AO855"/>
          <cell r="AP855"/>
          <cell r="AQ855"/>
          <cell r="AR855"/>
          <cell r="AS855"/>
          <cell r="AT855"/>
          <cell r="AU855"/>
          <cell r="AV855"/>
          <cell r="AW855"/>
          <cell r="AX855"/>
          <cell r="AY855"/>
          <cell r="AZ855"/>
        </row>
        <row r="856">
          <cell r="A856"/>
          <cell r="B856"/>
          <cell r="C856"/>
          <cell r="D856"/>
          <cell r="E856"/>
          <cell r="F856"/>
          <cell r="G856"/>
          <cell r="H856"/>
          <cell r="I856"/>
          <cell r="J856"/>
          <cell r="K856"/>
          <cell r="L856"/>
          <cell r="M856"/>
          <cell r="N856"/>
          <cell r="O856"/>
          <cell r="P856"/>
          <cell r="Q856"/>
          <cell r="R856"/>
          <cell r="S856"/>
          <cell r="T856"/>
          <cell r="U856"/>
          <cell r="V856"/>
          <cell r="W856"/>
          <cell r="X856"/>
          <cell r="Y856"/>
          <cell r="Z856"/>
          <cell r="AA856"/>
          <cell r="AB856"/>
          <cell r="AC856"/>
          <cell r="AD856"/>
          <cell r="AE856"/>
          <cell r="AF856"/>
          <cell r="AG856"/>
          <cell r="AH856"/>
          <cell r="AI856"/>
          <cell r="AJ856"/>
          <cell r="AK856"/>
          <cell r="AL856"/>
          <cell r="AM856"/>
          <cell r="AN856"/>
          <cell r="AO856"/>
          <cell r="AP856"/>
          <cell r="AQ856"/>
          <cell r="AR856"/>
          <cell r="AS856"/>
          <cell r="AT856"/>
          <cell r="AU856"/>
          <cell r="AV856"/>
          <cell r="AW856"/>
          <cell r="AX856"/>
          <cell r="AY856"/>
          <cell r="AZ856"/>
        </row>
        <row r="857">
          <cell r="A857"/>
          <cell r="B857"/>
          <cell r="C857"/>
          <cell r="D857"/>
          <cell r="E857"/>
          <cell r="F857"/>
          <cell r="G857"/>
          <cell r="H857"/>
          <cell r="I857"/>
          <cell r="J857"/>
          <cell r="K857"/>
          <cell r="L857"/>
          <cell r="M857"/>
          <cell r="N857"/>
          <cell r="O857"/>
          <cell r="P857"/>
          <cell r="Q857"/>
          <cell r="R857"/>
          <cell r="S857"/>
          <cell r="T857"/>
          <cell r="U857"/>
          <cell r="V857"/>
          <cell r="W857"/>
          <cell r="X857"/>
          <cell r="Y857"/>
          <cell r="Z857"/>
          <cell r="AA857"/>
          <cell r="AB857"/>
          <cell r="AC857"/>
          <cell r="AD857"/>
          <cell r="AE857"/>
          <cell r="AF857"/>
          <cell r="AG857"/>
          <cell r="AH857"/>
          <cell r="AI857"/>
          <cell r="AJ857"/>
          <cell r="AK857"/>
          <cell r="AL857"/>
          <cell r="AM857"/>
          <cell r="AN857"/>
          <cell r="AO857"/>
          <cell r="AP857"/>
          <cell r="AQ857"/>
          <cell r="AR857"/>
          <cell r="AS857"/>
          <cell r="AT857"/>
          <cell r="AU857"/>
          <cell r="AV857"/>
          <cell r="AW857"/>
          <cell r="AX857"/>
          <cell r="AY857"/>
          <cell r="AZ857"/>
        </row>
        <row r="858">
          <cell r="A858"/>
          <cell r="B858"/>
          <cell r="C858"/>
          <cell r="D858"/>
          <cell r="E858"/>
          <cell r="F858"/>
          <cell r="G858"/>
          <cell r="H858"/>
          <cell r="I858"/>
          <cell r="J858"/>
          <cell r="K858"/>
          <cell r="L858"/>
          <cell r="M858"/>
          <cell r="N858"/>
          <cell r="O858"/>
          <cell r="P858"/>
          <cell r="Q858"/>
          <cell r="R858"/>
          <cell r="S858"/>
          <cell r="T858"/>
          <cell r="U858"/>
          <cell r="V858"/>
          <cell r="W858"/>
          <cell r="X858"/>
          <cell r="Y858"/>
          <cell r="Z858"/>
          <cell r="AA858"/>
          <cell r="AB858"/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/>
          <cell r="AS858"/>
          <cell r="AT858"/>
          <cell r="AU858"/>
          <cell r="AV858"/>
          <cell r="AW858"/>
          <cell r="AX858"/>
          <cell r="AY858"/>
          <cell r="AZ858"/>
        </row>
        <row r="859">
          <cell r="A859"/>
          <cell r="B859"/>
          <cell r="C859"/>
          <cell r="D859"/>
          <cell r="E859"/>
          <cell r="F859"/>
          <cell r="G859"/>
          <cell r="H859"/>
          <cell r="I859"/>
          <cell r="J859"/>
          <cell r="K859"/>
          <cell r="L859"/>
          <cell r="M859"/>
          <cell r="N859"/>
          <cell r="O859"/>
          <cell r="P859"/>
          <cell r="Q859"/>
          <cell r="R859"/>
          <cell r="S859"/>
          <cell r="T859"/>
          <cell r="U859"/>
          <cell r="V859"/>
          <cell r="W859"/>
          <cell r="X859"/>
          <cell r="Y859"/>
          <cell r="Z859"/>
          <cell r="AA859"/>
          <cell r="AB859"/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/>
          <cell r="AS859"/>
          <cell r="AT859"/>
          <cell r="AU859"/>
          <cell r="AV859"/>
          <cell r="AW859"/>
          <cell r="AX859"/>
          <cell r="AY859"/>
          <cell r="AZ859"/>
        </row>
        <row r="860">
          <cell r="A860"/>
          <cell r="B860"/>
          <cell r="C860"/>
          <cell r="D860"/>
          <cell r="E860"/>
          <cell r="F860"/>
          <cell r="G860"/>
          <cell r="H860"/>
          <cell r="I860"/>
          <cell r="J860"/>
          <cell r="K860"/>
          <cell r="L860"/>
          <cell r="M860"/>
          <cell r="N860"/>
          <cell r="O860"/>
          <cell r="P860"/>
          <cell r="Q860"/>
          <cell r="R860"/>
          <cell r="S860"/>
          <cell r="T860"/>
          <cell r="U860"/>
          <cell r="V860"/>
          <cell r="W860"/>
          <cell r="X860"/>
          <cell r="Y860"/>
          <cell r="Z860"/>
          <cell r="AA860"/>
          <cell r="AB860"/>
          <cell r="AC860"/>
          <cell r="AD860"/>
          <cell r="AE860"/>
          <cell r="AF860"/>
          <cell r="AG860"/>
          <cell r="AH860"/>
          <cell r="AI860"/>
          <cell r="AJ860"/>
          <cell r="AK860"/>
          <cell r="AL860"/>
          <cell r="AM860"/>
          <cell r="AN860"/>
          <cell r="AO860"/>
          <cell r="AP860"/>
          <cell r="AQ860"/>
          <cell r="AR860"/>
          <cell r="AS860"/>
          <cell r="AT860"/>
          <cell r="AU860"/>
          <cell r="AV860"/>
          <cell r="AW860"/>
          <cell r="AX860"/>
          <cell r="AY860"/>
          <cell r="AZ860"/>
        </row>
        <row r="861">
          <cell r="A861"/>
          <cell r="B861"/>
          <cell r="C861"/>
          <cell r="D861"/>
          <cell r="E861"/>
          <cell r="F861"/>
          <cell r="G861"/>
          <cell r="H861"/>
          <cell r="I861"/>
          <cell r="J861"/>
          <cell r="K861"/>
          <cell r="L861"/>
          <cell r="M861"/>
          <cell r="N861"/>
          <cell r="O861"/>
          <cell r="P861"/>
          <cell r="Q861"/>
          <cell r="R861"/>
          <cell r="S861"/>
          <cell r="T861"/>
          <cell r="U861"/>
          <cell r="V861"/>
          <cell r="W861"/>
          <cell r="X861"/>
          <cell r="Y861"/>
          <cell r="Z861"/>
          <cell r="AA861"/>
          <cell r="AB861"/>
          <cell r="AC861"/>
          <cell r="AD861"/>
          <cell r="AE861"/>
          <cell r="AF861"/>
          <cell r="AG861"/>
          <cell r="AH861"/>
          <cell r="AI861"/>
          <cell r="AJ861"/>
          <cell r="AK861"/>
          <cell r="AL861"/>
          <cell r="AM861"/>
          <cell r="AN861"/>
          <cell r="AO861"/>
          <cell r="AP861"/>
          <cell r="AQ861"/>
          <cell r="AR861"/>
          <cell r="AS861"/>
          <cell r="AT861"/>
          <cell r="AU861"/>
          <cell r="AV861"/>
          <cell r="AW861"/>
          <cell r="AX861"/>
          <cell r="AY861"/>
          <cell r="AZ861"/>
        </row>
        <row r="862">
          <cell r="A862"/>
          <cell r="B862"/>
          <cell r="C862"/>
          <cell r="D862"/>
          <cell r="E862"/>
          <cell r="F862"/>
          <cell r="G862"/>
          <cell r="H862"/>
          <cell r="I862"/>
          <cell r="J862"/>
          <cell r="K862"/>
          <cell r="L862"/>
          <cell r="M862"/>
          <cell r="N862"/>
          <cell r="O862"/>
          <cell r="P862"/>
          <cell r="Q862"/>
          <cell r="R862"/>
          <cell r="S862"/>
          <cell r="T862"/>
          <cell r="U862"/>
          <cell r="V862"/>
          <cell r="W862"/>
          <cell r="X862"/>
          <cell r="Y862"/>
          <cell r="Z862"/>
          <cell r="AA862"/>
          <cell r="AB862"/>
          <cell r="AC862"/>
          <cell r="AD862"/>
          <cell r="AE862"/>
          <cell r="AF862"/>
          <cell r="AG862"/>
          <cell r="AH862"/>
          <cell r="AI862"/>
          <cell r="AJ862"/>
          <cell r="AK862"/>
          <cell r="AL862"/>
          <cell r="AM862"/>
          <cell r="AN862"/>
          <cell r="AO862"/>
          <cell r="AP862"/>
          <cell r="AQ862"/>
          <cell r="AR862"/>
          <cell r="AS862"/>
          <cell r="AT862"/>
          <cell r="AU862"/>
          <cell r="AV862"/>
          <cell r="AW862"/>
          <cell r="AX862"/>
          <cell r="AY862"/>
          <cell r="AZ862"/>
        </row>
        <row r="863">
          <cell r="A863"/>
          <cell r="B863"/>
          <cell r="C863"/>
          <cell r="D863"/>
          <cell r="E863"/>
          <cell r="F863"/>
          <cell r="G863"/>
          <cell r="H863"/>
          <cell r="I863"/>
          <cell r="J863"/>
          <cell r="K863"/>
          <cell r="L863"/>
          <cell r="M863"/>
          <cell r="N863"/>
          <cell r="O863"/>
          <cell r="P863"/>
          <cell r="Q863"/>
          <cell r="R863"/>
          <cell r="S863"/>
          <cell r="T863"/>
          <cell r="U863"/>
          <cell r="V863"/>
          <cell r="W863"/>
          <cell r="X863"/>
          <cell r="Y863"/>
          <cell r="Z863"/>
          <cell r="AA863"/>
          <cell r="AB863"/>
          <cell r="AC863"/>
          <cell r="AD863"/>
          <cell r="AE863"/>
          <cell r="AF863"/>
          <cell r="AG863"/>
          <cell r="AH863"/>
          <cell r="AI863"/>
          <cell r="AJ863"/>
          <cell r="AK863"/>
          <cell r="AL863"/>
          <cell r="AM863"/>
          <cell r="AN863"/>
          <cell r="AO863"/>
          <cell r="AP863"/>
          <cell r="AQ863"/>
          <cell r="AR863"/>
          <cell r="AS863"/>
          <cell r="AT863"/>
          <cell r="AU863"/>
          <cell r="AV863"/>
          <cell r="AW863"/>
          <cell r="AX863"/>
          <cell r="AY863"/>
          <cell r="AZ863"/>
        </row>
        <row r="864">
          <cell r="A864"/>
          <cell r="B864"/>
          <cell r="C864"/>
          <cell r="D864"/>
          <cell r="E864"/>
          <cell r="F864"/>
          <cell r="G864"/>
          <cell r="H864"/>
          <cell r="I864"/>
          <cell r="J864"/>
          <cell r="K864"/>
          <cell r="L864"/>
          <cell r="M864"/>
          <cell r="N864"/>
          <cell r="O864"/>
          <cell r="P864"/>
          <cell r="Q864"/>
          <cell r="R864"/>
          <cell r="S864"/>
          <cell r="T864"/>
          <cell r="U864"/>
          <cell r="V864"/>
          <cell r="W864"/>
          <cell r="X864"/>
          <cell r="Y864"/>
          <cell r="Z864"/>
          <cell r="AA864"/>
          <cell r="AB864"/>
          <cell r="AC864"/>
          <cell r="AD864"/>
          <cell r="AE864"/>
          <cell r="AF864"/>
          <cell r="AG864"/>
          <cell r="AH864"/>
          <cell r="AI864"/>
          <cell r="AJ864"/>
          <cell r="AK864"/>
          <cell r="AL864"/>
          <cell r="AM864"/>
          <cell r="AN864"/>
          <cell r="AO864"/>
          <cell r="AP864"/>
          <cell r="AQ864"/>
          <cell r="AR864"/>
          <cell r="AS864"/>
          <cell r="AT864"/>
          <cell r="AU864"/>
          <cell r="AV864"/>
          <cell r="AW864"/>
          <cell r="AX864"/>
          <cell r="AY864"/>
          <cell r="AZ864"/>
        </row>
        <row r="865">
          <cell r="A865"/>
          <cell r="B865"/>
          <cell r="C865"/>
          <cell r="D865"/>
          <cell r="E865"/>
          <cell r="F865"/>
          <cell r="G865"/>
          <cell r="H865"/>
          <cell r="I865"/>
          <cell r="J865"/>
          <cell r="K865"/>
          <cell r="L865"/>
          <cell r="M865"/>
          <cell r="N865"/>
          <cell r="O865"/>
          <cell r="P865"/>
          <cell r="Q865"/>
          <cell r="R865"/>
          <cell r="S865"/>
          <cell r="T865"/>
          <cell r="U865"/>
          <cell r="V865"/>
          <cell r="W865"/>
          <cell r="X865"/>
          <cell r="Y865"/>
          <cell r="Z865"/>
          <cell r="AA865"/>
          <cell r="AB865"/>
          <cell r="AC865"/>
          <cell r="AD865"/>
          <cell r="AE865"/>
          <cell r="AF865"/>
          <cell r="AG865"/>
          <cell r="AH865"/>
          <cell r="AI865"/>
          <cell r="AJ865"/>
          <cell r="AK865"/>
          <cell r="AL865"/>
          <cell r="AM865"/>
          <cell r="AN865"/>
          <cell r="AO865"/>
          <cell r="AP865"/>
          <cell r="AQ865"/>
          <cell r="AR865"/>
          <cell r="AS865"/>
          <cell r="AT865"/>
          <cell r="AU865"/>
          <cell r="AV865"/>
          <cell r="AW865"/>
          <cell r="AX865"/>
          <cell r="AY865"/>
          <cell r="AZ865"/>
        </row>
        <row r="866">
          <cell r="A866"/>
          <cell r="B866"/>
          <cell r="C866"/>
          <cell r="D866"/>
          <cell r="E866"/>
          <cell r="F866"/>
          <cell r="G866"/>
          <cell r="H866"/>
          <cell r="I866"/>
          <cell r="J866"/>
          <cell r="K866"/>
          <cell r="L866"/>
          <cell r="M866"/>
          <cell r="N866"/>
          <cell r="O866"/>
          <cell r="P866"/>
          <cell r="Q866"/>
          <cell r="R866"/>
          <cell r="S866"/>
          <cell r="T866"/>
          <cell r="U866"/>
          <cell r="V866"/>
          <cell r="W866"/>
          <cell r="X866"/>
          <cell r="Y866"/>
          <cell r="Z866"/>
          <cell r="AA866"/>
          <cell r="AB866"/>
          <cell r="AC866"/>
          <cell r="AD866"/>
          <cell r="AE866"/>
          <cell r="AF866"/>
          <cell r="AG866"/>
          <cell r="AH866"/>
          <cell r="AI866"/>
          <cell r="AJ866"/>
          <cell r="AK866"/>
          <cell r="AL866"/>
          <cell r="AM866"/>
          <cell r="AN866"/>
          <cell r="AO866"/>
          <cell r="AP866"/>
          <cell r="AQ866"/>
          <cell r="AR866"/>
          <cell r="AS866"/>
          <cell r="AT866"/>
          <cell r="AU866"/>
          <cell r="AV866"/>
          <cell r="AW866"/>
          <cell r="AX866"/>
          <cell r="AY866"/>
          <cell r="AZ866"/>
        </row>
        <row r="867">
          <cell r="A867"/>
          <cell r="B867"/>
          <cell r="C867"/>
          <cell r="D867"/>
          <cell r="E867"/>
          <cell r="F867"/>
          <cell r="G867"/>
          <cell r="H867"/>
          <cell r="I867"/>
          <cell r="J867"/>
          <cell r="K867"/>
          <cell r="L867"/>
          <cell r="M867"/>
          <cell r="N867"/>
          <cell r="O867"/>
          <cell r="P867"/>
          <cell r="Q867"/>
          <cell r="R867"/>
          <cell r="S867"/>
          <cell r="T867"/>
          <cell r="U867"/>
          <cell r="V867"/>
          <cell r="W867"/>
          <cell r="X867"/>
          <cell r="Y867"/>
          <cell r="Z867"/>
          <cell r="AA867"/>
          <cell r="AB867"/>
          <cell r="AC867"/>
          <cell r="AD867"/>
          <cell r="AE867"/>
          <cell r="AF867"/>
          <cell r="AG867"/>
          <cell r="AH867"/>
          <cell r="AI867"/>
          <cell r="AJ867"/>
          <cell r="AK867"/>
          <cell r="AL867"/>
          <cell r="AM867"/>
          <cell r="AN867"/>
          <cell r="AO867"/>
          <cell r="AP867"/>
          <cell r="AQ867"/>
          <cell r="AR867"/>
          <cell r="AS867"/>
          <cell r="AT867"/>
          <cell r="AU867"/>
          <cell r="AV867"/>
          <cell r="AW867"/>
          <cell r="AX867"/>
          <cell r="AY867"/>
          <cell r="AZ867"/>
        </row>
        <row r="868">
          <cell r="A868"/>
          <cell r="B868"/>
          <cell r="C868"/>
          <cell r="D868"/>
          <cell r="E868"/>
          <cell r="F868"/>
          <cell r="G868"/>
          <cell r="H868"/>
          <cell r="I868"/>
          <cell r="J868"/>
          <cell r="K868"/>
          <cell r="L868"/>
          <cell r="M868"/>
          <cell r="N868"/>
          <cell r="O868"/>
          <cell r="P868"/>
          <cell r="Q868"/>
          <cell r="R868"/>
          <cell r="S868"/>
          <cell r="T868"/>
          <cell r="U868"/>
          <cell r="V868"/>
          <cell r="W868"/>
          <cell r="X868"/>
          <cell r="Y868"/>
          <cell r="Z868"/>
          <cell r="AA868"/>
          <cell r="AB868"/>
          <cell r="AC868"/>
          <cell r="AD868"/>
          <cell r="AE868"/>
          <cell r="AF868"/>
          <cell r="AG868"/>
          <cell r="AH868"/>
          <cell r="AI868"/>
          <cell r="AJ868"/>
          <cell r="AK868"/>
          <cell r="AL868"/>
          <cell r="AM868"/>
          <cell r="AN868"/>
          <cell r="AO868"/>
          <cell r="AP868"/>
          <cell r="AQ868"/>
          <cell r="AR868"/>
          <cell r="AS868"/>
          <cell r="AT868"/>
          <cell r="AU868"/>
          <cell r="AV868"/>
          <cell r="AW868"/>
          <cell r="AX868"/>
          <cell r="AY868"/>
          <cell r="AZ868"/>
        </row>
        <row r="869">
          <cell r="A869"/>
          <cell r="B869"/>
          <cell r="C869"/>
          <cell r="D869"/>
          <cell r="E869"/>
          <cell r="F869"/>
          <cell r="G869"/>
          <cell r="H869"/>
          <cell r="I869"/>
          <cell r="J869"/>
          <cell r="K869"/>
          <cell r="L869"/>
          <cell r="M869"/>
          <cell r="N869"/>
          <cell r="O869"/>
          <cell r="P869"/>
          <cell r="Q869"/>
          <cell r="R869"/>
          <cell r="S869"/>
          <cell r="T869"/>
          <cell r="U869"/>
          <cell r="V869"/>
          <cell r="W869"/>
          <cell r="X869"/>
          <cell r="Y869"/>
          <cell r="Z869"/>
          <cell r="AA869"/>
          <cell r="AB869"/>
          <cell r="AC869"/>
          <cell r="AD869"/>
          <cell r="AE869"/>
          <cell r="AF869"/>
          <cell r="AG869"/>
          <cell r="AH869"/>
          <cell r="AI869"/>
          <cell r="AJ869"/>
          <cell r="AK869"/>
          <cell r="AL869"/>
          <cell r="AM869"/>
          <cell r="AN869"/>
          <cell r="AO869"/>
          <cell r="AP869"/>
          <cell r="AQ869"/>
          <cell r="AR869"/>
          <cell r="AS869"/>
          <cell r="AT869"/>
          <cell r="AU869"/>
          <cell r="AV869"/>
          <cell r="AW869"/>
          <cell r="AX869"/>
          <cell r="AY869"/>
          <cell r="AZ869"/>
        </row>
        <row r="870">
          <cell r="A870"/>
          <cell r="B870"/>
          <cell r="C870"/>
          <cell r="D870"/>
          <cell r="E870"/>
          <cell r="F870"/>
          <cell r="G870"/>
          <cell r="H870"/>
          <cell r="I870"/>
          <cell r="J870"/>
          <cell r="K870"/>
          <cell r="L870"/>
          <cell r="M870"/>
          <cell r="N870"/>
          <cell r="O870"/>
          <cell r="P870"/>
          <cell r="Q870"/>
          <cell r="R870"/>
          <cell r="S870"/>
          <cell r="T870"/>
          <cell r="U870"/>
          <cell r="V870"/>
          <cell r="W870"/>
          <cell r="X870"/>
          <cell r="Y870"/>
          <cell r="Z870"/>
          <cell r="AA870"/>
          <cell r="AB870"/>
          <cell r="AC870"/>
          <cell r="AD870"/>
          <cell r="AE870"/>
          <cell r="AF870"/>
          <cell r="AG870"/>
          <cell r="AH870"/>
          <cell r="AI870"/>
          <cell r="AJ870"/>
          <cell r="AK870"/>
          <cell r="AL870"/>
          <cell r="AM870"/>
          <cell r="AN870"/>
          <cell r="AO870"/>
          <cell r="AP870"/>
          <cell r="AQ870"/>
          <cell r="AR870"/>
          <cell r="AS870"/>
          <cell r="AT870"/>
          <cell r="AU870"/>
          <cell r="AV870"/>
          <cell r="AW870"/>
          <cell r="AX870"/>
          <cell r="AY870"/>
          <cell r="AZ870"/>
        </row>
        <row r="871">
          <cell r="A871"/>
          <cell r="B871"/>
          <cell r="C871"/>
          <cell r="D871"/>
          <cell r="E871"/>
          <cell r="F871"/>
          <cell r="G871"/>
          <cell r="H871"/>
          <cell r="I871"/>
          <cell r="J871"/>
          <cell r="K871"/>
          <cell r="L871"/>
          <cell r="M871"/>
          <cell r="N871"/>
          <cell r="O871"/>
          <cell r="P871"/>
          <cell r="Q871"/>
          <cell r="R871"/>
          <cell r="S871"/>
          <cell r="T871"/>
          <cell r="U871"/>
          <cell r="V871"/>
          <cell r="W871"/>
          <cell r="X871"/>
          <cell r="Y871"/>
          <cell r="Z871"/>
          <cell r="AA871"/>
          <cell r="AB871"/>
          <cell r="AC871"/>
          <cell r="AD871"/>
          <cell r="AE871"/>
          <cell r="AF871"/>
          <cell r="AG871"/>
          <cell r="AH871"/>
          <cell r="AI871"/>
          <cell r="AJ871"/>
          <cell r="AK871"/>
          <cell r="AL871"/>
          <cell r="AM871"/>
          <cell r="AN871"/>
          <cell r="AO871"/>
          <cell r="AP871"/>
          <cell r="AQ871"/>
          <cell r="AR871"/>
          <cell r="AS871"/>
          <cell r="AT871"/>
          <cell r="AU871"/>
          <cell r="AV871"/>
          <cell r="AW871"/>
          <cell r="AX871"/>
          <cell r="AY871"/>
          <cell r="AZ871"/>
        </row>
        <row r="872">
          <cell r="A872"/>
          <cell r="B872"/>
          <cell r="C872"/>
          <cell r="D872"/>
          <cell r="E872"/>
          <cell r="F872"/>
          <cell r="G872"/>
          <cell r="H872"/>
          <cell r="I872"/>
          <cell r="J872"/>
          <cell r="K872"/>
          <cell r="L872"/>
          <cell r="M872"/>
          <cell r="N872"/>
          <cell r="O872"/>
          <cell r="P872"/>
          <cell r="Q872"/>
          <cell r="R872"/>
          <cell r="S872"/>
          <cell r="T872"/>
          <cell r="U872"/>
          <cell r="V872"/>
          <cell r="W872"/>
          <cell r="X872"/>
          <cell r="Y872"/>
          <cell r="Z872"/>
          <cell r="AA872"/>
          <cell r="AB872"/>
          <cell r="AC872"/>
          <cell r="AD872"/>
          <cell r="AE872"/>
          <cell r="AF872"/>
          <cell r="AG872"/>
          <cell r="AH872"/>
          <cell r="AI872"/>
          <cell r="AJ872"/>
          <cell r="AK872"/>
          <cell r="AL872"/>
          <cell r="AM872"/>
          <cell r="AN872"/>
          <cell r="AO872"/>
          <cell r="AP872"/>
          <cell r="AQ872"/>
          <cell r="AR872"/>
          <cell r="AS872"/>
          <cell r="AT872"/>
          <cell r="AU872"/>
          <cell r="AV872"/>
          <cell r="AW872"/>
          <cell r="AX872"/>
          <cell r="AY872"/>
          <cell r="AZ872"/>
        </row>
        <row r="873">
          <cell r="A873"/>
          <cell r="B873"/>
          <cell r="C873"/>
          <cell r="D873"/>
          <cell r="E873"/>
          <cell r="F873"/>
          <cell r="G873"/>
          <cell r="H873"/>
          <cell r="I873"/>
          <cell r="J873"/>
          <cell r="K873"/>
          <cell r="L873"/>
          <cell r="M873"/>
          <cell r="N873"/>
          <cell r="O873"/>
          <cell r="P873"/>
          <cell r="Q873"/>
          <cell r="R873"/>
          <cell r="S873"/>
          <cell r="T873"/>
          <cell r="U873"/>
          <cell r="V873"/>
          <cell r="W873"/>
          <cell r="X873"/>
          <cell r="Y873"/>
          <cell r="Z873"/>
          <cell r="AA873"/>
          <cell r="AB873"/>
          <cell r="AC873"/>
          <cell r="AD873"/>
          <cell r="AE873"/>
          <cell r="AF873"/>
          <cell r="AG873"/>
          <cell r="AH873"/>
          <cell r="AI873"/>
          <cell r="AJ873"/>
          <cell r="AK873"/>
          <cell r="AL873"/>
          <cell r="AM873"/>
          <cell r="AN873"/>
          <cell r="AO873"/>
          <cell r="AP873"/>
          <cell r="AQ873"/>
          <cell r="AR873"/>
          <cell r="AS873"/>
          <cell r="AT873"/>
          <cell r="AU873"/>
          <cell r="AV873"/>
          <cell r="AW873"/>
          <cell r="AX873"/>
          <cell r="AY873"/>
          <cell r="AZ873"/>
        </row>
        <row r="874">
          <cell r="A874"/>
          <cell r="B874"/>
          <cell r="C874"/>
          <cell r="D874"/>
          <cell r="E874"/>
          <cell r="F874"/>
          <cell r="G874"/>
          <cell r="H874"/>
          <cell r="I874"/>
          <cell r="J874"/>
          <cell r="K874"/>
          <cell r="L874"/>
          <cell r="M874"/>
          <cell r="N874"/>
          <cell r="O874"/>
          <cell r="P874"/>
          <cell r="Q874"/>
          <cell r="R874"/>
          <cell r="S874"/>
          <cell r="T874"/>
          <cell r="U874"/>
          <cell r="V874"/>
          <cell r="W874"/>
          <cell r="X874"/>
          <cell r="Y874"/>
          <cell r="Z874"/>
          <cell r="AA874"/>
          <cell r="AB874"/>
          <cell r="AC874"/>
          <cell r="AD874"/>
          <cell r="AE874"/>
          <cell r="AF874"/>
          <cell r="AG874"/>
          <cell r="AH874"/>
          <cell r="AI874"/>
          <cell r="AJ874"/>
          <cell r="AK874"/>
          <cell r="AL874"/>
          <cell r="AM874"/>
          <cell r="AN874"/>
          <cell r="AO874"/>
          <cell r="AP874"/>
          <cell r="AQ874"/>
          <cell r="AR874"/>
          <cell r="AS874"/>
          <cell r="AT874"/>
          <cell r="AU874"/>
          <cell r="AV874"/>
          <cell r="AW874"/>
          <cell r="AX874"/>
          <cell r="AY874"/>
          <cell r="AZ874"/>
        </row>
        <row r="875">
          <cell r="A875"/>
          <cell r="B875"/>
          <cell r="C875"/>
          <cell r="D875"/>
          <cell r="E875"/>
          <cell r="F875"/>
          <cell r="G875"/>
          <cell r="H875"/>
          <cell r="I875"/>
          <cell r="J875"/>
          <cell r="K875"/>
          <cell r="L875"/>
          <cell r="M875"/>
          <cell r="N875"/>
          <cell r="O875"/>
          <cell r="P875"/>
          <cell r="Q875"/>
          <cell r="R875"/>
          <cell r="S875"/>
          <cell r="T875"/>
          <cell r="U875"/>
          <cell r="V875"/>
          <cell r="W875"/>
          <cell r="X875"/>
          <cell r="Y875"/>
          <cell r="Z875"/>
          <cell r="AA875"/>
          <cell r="AB875"/>
          <cell r="AC875"/>
          <cell r="AD875"/>
          <cell r="AE875"/>
          <cell r="AF875"/>
          <cell r="AG875"/>
          <cell r="AH875"/>
          <cell r="AI875"/>
          <cell r="AJ875"/>
          <cell r="AK875"/>
          <cell r="AL875"/>
          <cell r="AM875"/>
          <cell r="AN875"/>
          <cell r="AO875"/>
          <cell r="AP875"/>
          <cell r="AQ875"/>
          <cell r="AR875"/>
          <cell r="AS875"/>
          <cell r="AT875"/>
          <cell r="AU875"/>
          <cell r="AV875"/>
          <cell r="AW875"/>
          <cell r="AX875"/>
          <cell r="AY875"/>
          <cell r="AZ875"/>
        </row>
        <row r="876">
          <cell r="A876"/>
          <cell r="B876"/>
          <cell r="C876"/>
          <cell r="D876"/>
          <cell r="E876"/>
          <cell r="F876"/>
          <cell r="G876"/>
          <cell r="H876"/>
          <cell r="I876"/>
          <cell r="J876"/>
          <cell r="K876"/>
          <cell r="L876"/>
          <cell r="M876"/>
          <cell r="N876"/>
          <cell r="O876"/>
          <cell r="P876"/>
          <cell r="Q876"/>
          <cell r="R876"/>
          <cell r="S876"/>
          <cell r="T876"/>
          <cell r="U876"/>
          <cell r="V876"/>
          <cell r="W876"/>
          <cell r="X876"/>
          <cell r="Y876"/>
          <cell r="Z876"/>
          <cell r="AA876"/>
          <cell r="AB876"/>
          <cell r="AC876"/>
          <cell r="AD876"/>
          <cell r="AE876"/>
          <cell r="AF876"/>
          <cell r="AG876"/>
          <cell r="AH876"/>
          <cell r="AI876"/>
          <cell r="AJ876"/>
          <cell r="AK876"/>
          <cell r="AL876"/>
          <cell r="AM876"/>
          <cell r="AN876"/>
          <cell r="AO876"/>
          <cell r="AP876"/>
          <cell r="AQ876"/>
          <cell r="AR876"/>
          <cell r="AS876"/>
          <cell r="AT876"/>
          <cell r="AU876"/>
          <cell r="AV876"/>
          <cell r="AW876"/>
          <cell r="AX876"/>
          <cell r="AY876"/>
          <cell r="AZ876"/>
        </row>
        <row r="877">
          <cell r="A877"/>
          <cell r="B877"/>
          <cell r="C877"/>
          <cell r="D877"/>
          <cell r="E877"/>
          <cell r="F877"/>
          <cell r="G877"/>
          <cell r="H877"/>
          <cell r="I877"/>
          <cell r="J877"/>
          <cell r="K877"/>
          <cell r="L877"/>
          <cell r="M877"/>
          <cell r="N877"/>
          <cell r="O877"/>
          <cell r="P877"/>
          <cell r="Q877"/>
          <cell r="R877"/>
          <cell r="S877"/>
          <cell r="T877"/>
          <cell r="U877"/>
          <cell r="V877"/>
          <cell r="W877"/>
          <cell r="X877"/>
          <cell r="Y877"/>
          <cell r="Z877"/>
          <cell r="AA877"/>
          <cell r="AB877"/>
          <cell r="AC877"/>
          <cell r="AD877"/>
          <cell r="AE877"/>
          <cell r="AF877"/>
          <cell r="AG877"/>
          <cell r="AH877"/>
          <cell r="AI877"/>
          <cell r="AJ877"/>
          <cell r="AK877"/>
          <cell r="AL877"/>
          <cell r="AM877"/>
          <cell r="AN877"/>
          <cell r="AO877"/>
          <cell r="AP877"/>
          <cell r="AQ877"/>
          <cell r="AR877"/>
          <cell r="AS877"/>
          <cell r="AT877"/>
          <cell r="AU877"/>
          <cell r="AV877"/>
          <cell r="AW877"/>
          <cell r="AX877"/>
          <cell r="AY877"/>
          <cell r="AZ877"/>
        </row>
        <row r="878">
          <cell r="A878"/>
          <cell r="B878"/>
          <cell r="C878"/>
          <cell r="D878"/>
          <cell r="E878"/>
          <cell r="F878"/>
          <cell r="G878"/>
          <cell r="H878"/>
          <cell r="I878"/>
          <cell r="J878"/>
          <cell r="K878"/>
          <cell r="L878"/>
          <cell r="M878"/>
          <cell r="N878"/>
          <cell r="O878"/>
          <cell r="P878"/>
          <cell r="Q878"/>
          <cell r="R878"/>
          <cell r="S878"/>
          <cell r="T878"/>
          <cell r="U878"/>
          <cell r="V878"/>
          <cell r="W878"/>
          <cell r="X878"/>
          <cell r="Y878"/>
          <cell r="Z878"/>
          <cell r="AA878"/>
          <cell r="AB878"/>
          <cell r="AC878"/>
          <cell r="AD878"/>
          <cell r="AE878"/>
          <cell r="AF878"/>
          <cell r="AG878"/>
          <cell r="AH878"/>
          <cell r="AI878"/>
          <cell r="AJ878"/>
          <cell r="AK878"/>
          <cell r="AL878"/>
          <cell r="AM878"/>
          <cell r="AN878"/>
          <cell r="AO878"/>
          <cell r="AP878"/>
          <cell r="AQ878"/>
          <cell r="AR878"/>
          <cell r="AS878"/>
          <cell r="AT878"/>
          <cell r="AU878"/>
          <cell r="AV878"/>
          <cell r="AW878"/>
          <cell r="AX878"/>
          <cell r="AY878"/>
          <cell r="AZ878"/>
        </row>
        <row r="879">
          <cell r="A879"/>
          <cell r="B879"/>
          <cell r="C879"/>
          <cell r="D879"/>
          <cell r="E879"/>
          <cell r="F879"/>
          <cell r="G879"/>
          <cell r="H879"/>
          <cell r="I879"/>
          <cell r="J879"/>
          <cell r="K879"/>
          <cell r="L879"/>
          <cell r="M879"/>
          <cell r="N879"/>
          <cell r="O879"/>
          <cell r="P879"/>
          <cell r="Q879"/>
          <cell r="R879"/>
          <cell r="S879"/>
          <cell r="T879"/>
          <cell r="U879"/>
          <cell r="V879"/>
          <cell r="W879"/>
          <cell r="X879"/>
          <cell r="Y879"/>
          <cell r="Z879"/>
          <cell r="AA879"/>
          <cell r="AB879"/>
          <cell r="AC879"/>
          <cell r="AD879"/>
          <cell r="AE879"/>
          <cell r="AF879"/>
          <cell r="AG879"/>
          <cell r="AH879"/>
          <cell r="AI879"/>
          <cell r="AJ879"/>
          <cell r="AK879"/>
          <cell r="AL879"/>
          <cell r="AM879"/>
          <cell r="AN879"/>
          <cell r="AO879"/>
          <cell r="AP879"/>
          <cell r="AQ879"/>
          <cell r="AR879"/>
          <cell r="AS879"/>
          <cell r="AT879"/>
          <cell r="AU879"/>
          <cell r="AV879"/>
          <cell r="AW879"/>
          <cell r="AX879"/>
          <cell r="AY879"/>
          <cell r="AZ879"/>
        </row>
        <row r="880">
          <cell r="A880"/>
          <cell r="B880"/>
          <cell r="C880"/>
          <cell r="D880"/>
          <cell r="E880"/>
          <cell r="F880"/>
          <cell r="G880"/>
          <cell r="H880"/>
          <cell r="I880"/>
          <cell r="J880"/>
          <cell r="K880"/>
          <cell r="L880"/>
          <cell r="M880"/>
          <cell r="N880"/>
          <cell r="O880"/>
          <cell r="P880"/>
          <cell r="Q880"/>
          <cell r="R880"/>
          <cell r="S880"/>
          <cell r="T880"/>
          <cell r="U880"/>
          <cell r="V880"/>
          <cell r="W880"/>
          <cell r="X880"/>
          <cell r="Y880"/>
          <cell r="Z880"/>
          <cell r="AA880"/>
          <cell r="AB880"/>
          <cell r="AC880"/>
          <cell r="AD880"/>
          <cell r="AE880"/>
          <cell r="AF880"/>
          <cell r="AG880"/>
          <cell r="AH880"/>
          <cell r="AI880"/>
          <cell r="AJ880"/>
          <cell r="AK880"/>
          <cell r="AL880"/>
          <cell r="AM880"/>
          <cell r="AN880"/>
          <cell r="AO880"/>
          <cell r="AP880"/>
          <cell r="AQ880"/>
          <cell r="AR880"/>
          <cell r="AS880"/>
          <cell r="AT880"/>
          <cell r="AU880"/>
          <cell r="AV880"/>
          <cell r="AW880"/>
          <cell r="AX880"/>
          <cell r="AY880"/>
          <cell r="AZ880"/>
        </row>
        <row r="881">
          <cell r="A881"/>
          <cell r="B881"/>
          <cell r="C881"/>
          <cell r="D881"/>
          <cell r="E881"/>
          <cell r="F881"/>
          <cell r="G881"/>
          <cell r="H881"/>
          <cell r="I881"/>
          <cell r="J881"/>
          <cell r="K881"/>
          <cell r="L881"/>
          <cell r="M881"/>
          <cell r="N881"/>
          <cell r="O881"/>
          <cell r="P881"/>
          <cell r="Q881"/>
          <cell r="R881"/>
          <cell r="S881"/>
          <cell r="T881"/>
          <cell r="U881"/>
          <cell r="V881"/>
          <cell r="W881"/>
          <cell r="X881"/>
          <cell r="Y881"/>
          <cell r="Z881"/>
          <cell r="AA881"/>
          <cell r="AB881"/>
          <cell r="AC881"/>
          <cell r="AD881"/>
          <cell r="AE881"/>
          <cell r="AF881"/>
          <cell r="AG881"/>
          <cell r="AH881"/>
          <cell r="AI881"/>
          <cell r="AJ881"/>
          <cell r="AK881"/>
          <cell r="AL881"/>
          <cell r="AM881"/>
          <cell r="AN881"/>
          <cell r="AO881"/>
          <cell r="AP881"/>
          <cell r="AQ881"/>
          <cell r="AR881"/>
          <cell r="AS881"/>
          <cell r="AT881"/>
          <cell r="AU881"/>
          <cell r="AV881"/>
          <cell r="AW881"/>
          <cell r="AX881"/>
          <cell r="AY881"/>
          <cell r="AZ881"/>
        </row>
        <row r="882">
          <cell r="A882"/>
          <cell r="B882"/>
          <cell r="C882"/>
          <cell r="D882"/>
          <cell r="E882"/>
          <cell r="F882"/>
          <cell r="G882"/>
          <cell r="H882"/>
          <cell r="I882"/>
          <cell r="J882"/>
          <cell r="K882"/>
          <cell r="L882"/>
          <cell r="M882"/>
          <cell r="N882"/>
          <cell r="O882"/>
          <cell r="P882"/>
          <cell r="Q882"/>
          <cell r="R882"/>
          <cell r="S882"/>
          <cell r="T882"/>
          <cell r="U882"/>
          <cell r="V882"/>
          <cell r="W882"/>
          <cell r="X882"/>
          <cell r="Y882"/>
          <cell r="Z882"/>
          <cell r="AA882"/>
          <cell r="AB882"/>
          <cell r="AC882"/>
          <cell r="AD882"/>
          <cell r="AE882"/>
          <cell r="AF882"/>
          <cell r="AG882"/>
          <cell r="AH882"/>
          <cell r="AI882"/>
          <cell r="AJ882"/>
          <cell r="AK882"/>
          <cell r="AL882"/>
          <cell r="AM882"/>
          <cell r="AN882"/>
          <cell r="AO882"/>
          <cell r="AP882"/>
          <cell r="AQ882"/>
          <cell r="AR882"/>
          <cell r="AS882"/>
          <cell r="AT882"/>
          <cell r="AU882"/>
          <cell r="AV882"/>
          <cell r="AW882"/>
          <cell r="AX882"/>
          <cell r="AY882"/>
          <cell r="AZ882"/>
        </row>
        <row r="883">
          <cell r="A883"/>
          <cell r="B883"/>
          <cell r="C883"/>
          <cell r="D883"/>
          <cell r="E883"/>
          <cell r="F883"/>
          <cell r="G883"/>
          <cell r="H883"/>
          <cell r="I883"/>
          <cell r="J883"/>
          <cell r="K883"/>
          <cell r="L883"/>
          <cell r="M883"/>
          <cell r="N883"/>
          <cell r="O883"/>
          <cell r="P883"/>
          <cell r="Q883"/>
          <cell r="R883"/>
          <cell r="S883"/>
          <cell r="T883"/>
          <cell r="U883"/>
          <cell r="V883"/>
          <cell r="W883"/>
          <cell r="X883"/>
          <cell r="Y883"/>
          <cell r="Z883"/>
          <cell r="AA883"/>
          <cell r="AB883"/>
          <cell r="AC883"/>
          <cell r="AD883"/>
          <cell r="AE883"/>
          <cell r="AF883"/>
          <cell r="AG883"/>
          <cell r="AH883"/>
          <cell r="AI883"/>
          <cell r="AJ883"/>
          <cell r="AK883"/>
          <cell r="AL883"/>
          <cell r="AM883"/>
          <cell r="AN883"/>
          <cell r="AO883"/>
          <cell r="AP883"/>
          <cell r="AQ883"/>
          <cell r="AR883"/>
          <cell r="AS883"/>
          <cell r="AT883"/>
          <cell r="AU883"/>
          <cell r="AV883"/>
          <cell r="AW883"/>
          <cell r="AX883"/>
          <cell r="AY883"/>
          <cell r="AZ883"/>
        </row>
        <row r="884">
          <cell r="A884"/>
          <cell r="B884"/>
          <cell r="C884"/>
          <cell r="D884"/>
          <cell r="E884"/>
          <cell r="F884"/>
          <cell r="G884"/>
          <cell r="H884"/>
          <cell r="I884"/>
          <cell r="J884"/>
          <cell r="K884"/>
          <cell r="L884"/>
          <cell r="M884"/>
          <cell r="N884"/>
          <cell r="O884"/>
          <cell r="P884"/>
          <cell r="Q884"/>
          <cell r="R884"/>
          <cell r="S884"/>
          <cell r="T884"/>
          <cell r="U884"/>
          <cell r="V884"/>
          <cell r="W884"/>
          <cell r="X884"/>
          <cell r="Y884"/>
          <cell r="Z884"/>
          <cell r="AA884"/>
          <cell r="AB884"/>
          <cell r="AC884"/>
          <cell r="AD884"/>
          <cell r="AE884"/>
          <cell r="AF884"/>
          <cell r="AG884"/>
          <cell r="AH884"/>
          <cell r="AI884"/>
          <cell r="AJ884"/>
          <cell r="AK884"/>
          <cell r="AL884"/>
          <cell r="AM884"/>
          <cell r="AN884"/>
          <cell r="AO884"/>
          <cell r="AP884"/>
          <cell r="AQ884"/>
          <cell r="AR884"/>
          <cell r="AS884"/>
          <cell r="AT884"/>
          <cell r="AU884"/>
          <cell r="AV884"/>
          <cell r="AW884"/>
          <cell r="AX884"/>
          <cell r="AY884"/>
          <cell r="AZ884"/>
        </row>
        <row r="885">
          <cell r="A885"/>
          <cell r="B885"/>
          <cell r="C885"/>
          <cell r="D885"/>
          <cell r="E885"/>
          <cell r="F885"/>
          <cell r="G885"/>
          <cell r="H885"/>
          <cell r="I885"/>
          <cell r="J885"/>
          <cell r="K885"/>
          <cell r="L885"/>
          <cell r="M885"/>
          <cell r="N885"/>
          <cell r="O885"/>
          <cell r="P885"/>
          <cell r="Q885"/>
          <cell r="R885"/>
          <cell r="S885"/>
          <cell r="T885"/>
          <cell r="U885"/>
          <cell r="V885"/>
          <cell r="W885"/>
          <cell r="X885"/>
          <cell r="Y885"/>
          <cell r="Z885"/>
          <cell r="AA885"/>
          <cell r="AB885"/>
          <cell r="AC885"/>
          <cell r="AD885"/>
          <cell r="AE885"/>
          <cell r="AF885"/>
          <cell r="AG885"/>
          <cell r="AH885"/>
          <cell r="AI885"/>
          <cell r="AJ885"/>
          <cell r="AK885"/>
          <cell r="AL885"/>
          <cell r="AM885"/>
          <cell r="AN885"/>
          <cell r="AO885"/>
          <cell r="AP885"/>
          <cell r="AQ885"/>
          <cell r="AR885"/>
          <cell r="AS885"/>
          <cell r="AT885"/>
          <cell r="AU885"/>
          <cell r="AV885"/>
          <cell r="AW885"/>
          <cell r="AX885"/>
          <cell r="AY885"/>
          <cell r="AZ885"/>
        </row>
        <row r="886">
          <cell r="A886"/>
          <cell r="B886"/>
          <cell r="C886"/>
          <cell r="D886"/>
          <cell r="E886"/>
          <cell r="F886"/>
          <cell r="G886"/>
          <cell r="H886"/>
          <cell r="I886"/>
          <cell r="J886"/>
          <cell r="K886"/>
          <cell r="L886"/>
          <cell r="M886"/>
          <cell r="N886"/>
          <cell r="O886"/>
          <cell r="P886"/>
          <cell r="Q886"/>
          <cell r="R886"/>
          <cell r="S886"/>
          <cell r="T886"/>
          <cell r="U886"/>
          <cell r="V886"/>
          <cell r="W886"/>
          <cell r="X886"/>
          <cell r="Y886"/>
          <cell r="Z886"/>
          <cell r="AA886"/>
          <cell r="AB886"/>
          <cell r="AC886"/>
          <cell r="AD886"/>
          <cell r="AE886"/>
          <cell r="AF886"/>
          <cell r="AG886"/>
          <cell r="AH886"/>
          <cell r="AI886"/>
          <cell r="AJ886"/>
          <cell r="AK886"/>
          <cell r="AL886"/>
          <cell r="AM886"/>
          <cell r="AN886"/>
          <cell r="AO886"/>
          <cell r="AP886"/>
          <cell r="AQ886"/>
          <cell r="AR886"/>
          <cell r="AS886"/>
          <cell r="AT886"/>
          <cell r="AU886"/>
          <cell r="AV886"/>
          <cell r="AW886"/>
          <cell r="AX886"/>
          <cell r="AY886"/>
          <cell r="AZ886"/>
        </row>
        <row r="887">
          <cell r="A887"/>
          <cell r="B887"/>
          <cell r="C887"/>
          <cell r="D887"/>
          <cell r="E887"/>
          <cell r="F887"/>
          <cell r="G887"/>
          <cell r="H887"/>
          <cell r="I887"/>
          <cell r="J887"/>
          <cell r="K887"/>
          <cell r="L887"/>
          <cell r="M887"/>
          <cell r="N887"/>
          <cell r="O887"/>
          <cell r="P887"/>
          <cell r="Q887"/>
          <cell r="R887"/>
          <cell r="S887"/>
          <cell r="T887"/>
          <cell r="U887"/>
          <cell r="V887"/>
          <cell r="W887"/>
          <cell r="X887"/>
          <cell r="Y887"/>
          <cell r="Z887"/>
          <cell r="AA887"/>
          <cell r="AB887"/>
          <cell r="AC887"/>
          <cell r="AD887"/>
          <cell r="AE887"/>
          <cell r="AF887"/>
          <cell r="AG887"/>
          <cell r="AH887"/>
          <cell r="AI887"/>
          <cell r="AJ887"/>
          <cell r="AK887"/>
          <cell r="AL887"/>
          <cell r="AM887"/>
          <cell r="AN887"/>
          <cell r="AO887"/>
          <cell r="AP887"/>
          <cell r="AQ887"/>
          <cell r="AR887"/>
          <cell r="AS887"/>
          <cell r="AT887"/>
          <cell r="AU887"/>
          <cell r="AV887"/>
          <cell r="AW887"/>
          <cell r="AX887"/>
          <cell r="AY887"/>
          <cell r="AZ887"/>
        </row>
        <row r="888">
          <cell r="A888"/>
          <cell r="B888"/>
          <cell r="C888"/>
          <cell r="D888"/>
          <cell r="E888"/>
          <cell r="F888"/>
          <cell r="G888"/>
          <cell r="H888"/>
          <cell r="I888"/>
          <cell r="J888"/>
          <cell r="K888"/>
          <cell r="L888"/>
          <cell r="M888"/>
          <cell r="N888"/>
          <cell r="O888"/>
          <cell r="P888"/>
          <cell r="Q888"/>
          <cell r="R888"/>
          <cell r="S888"/>
          <cell r="T888"/>
          <cell r="U888"/>
          <cell r="V888"/>
          <cell r="W888"/>
          <cell r="X888"/>
          <cell r="Y888"/>
          <cell r="Z888"/>
          <cell r="AA888"/>
          <cell r="AB888"/>
          <cell r="AC888"/>
          <cell r="AD888"/>
          <cell r="AE888"/>
          <cell r="AF888"/>
          <cell r="AG888"/>
          <cell r="AH888"/>
          <cell r="AI888"/>
          <cell r="AJ888"/>
          <cell r="AK888"/>
          <cell r="AL888"/>
          <cell r="AM888"/>
          <cell r="AN888"/>
          <cell r="AO888"/>
          <cell r="AP888"/>
          <cell r="AQ888"/>
          <cell r="AR888"/>
          <cell r="AS888"/>
          <cell r="AT888"/>
          <cell r="AU888"/>
          <cell r="AV888"/>
          <cell r="AW888"/>
          <cell r="AX888"/>
          <cell r="AY888"/>
          <cell r="AZ888"/>
        </row>
        <row r="889">
          <cell r="A889"/>
          <cell r="B889"/>
          <cell r="C889"/>
          <cell r="D889"/>
          <cell r="E889"/>
          <cell r="F889"/>
          <cell r="G889"/>
          <cell r="H889"/>
          <cell r="I889"/>
          <cell r="J889"/>
          <cell r="K889"/>
          <cell r="L889"/>
          <cell r="M889"/>
          <cell r="N889"/>
          <cell r="O889"/>
          <cell r="P889"/>
          <cell r="Q889"/>
          <cell r="R889"/>
          <cell r="S889"/>
          <cell r="T889"/>
          <cell r="U889"/>
          <cell r="V889"/>
          <cell r="W889"/>
          <cell r="X889"/>
          <cell r="Y889"/>
          <cell r="Z889"/>
          <cell r="AA889"/>
          <cell r="AB889"/>
          <cell r="AC889"/>
          <cell r="AD889"/>
          <cell r="AE889"/>
          <cell r="AF889"/>
          <cell r="AG889"/>
          <cell r="AH889"/>
          <cell r="AI889"/>
          <cell r="AJ889"/>
          <cell r="AK889"/>
          <cell r="AL889"/>
          <cell r="AM889"/>
          <cell r="AN889"/>
          <cell r="AO889"/>
          <cell r="AP889"/>
          <cell r="AQ889"/>
          <cell r="AR889"/>
          <cell r="AS889"/>
          <cell r="AT889"/>
          <cell r="AU889"/>
          <cell r="AV889"/>
          <cell r="AW889"/>
          <cell r="AX889"/>
          <cell r="AY889"/>
          <cell r="AZ889"/>
        </row>
        <row r="890">
          <cell r="A890"/>
          <cell r="B890"/>
          <cell r="C890"/>
          <cell r="D890"/>
          <cell r="E890"/>
          <cell r="F890"/>
          <cell r="G890"/>
          <cell r="H890"/>
          <cell r="I890"/>
          <cell r="J890"/>
          <cell r="K890"/>
          <cell r="L890"/>
          <cell r="M890"/>
          <cell r="N890"/>
          <cell r="O890"/>
          <cell r="P890"/>
          <cell r="Q890"/>
          <cell r="R890"/>
          <cell r="S890"/>
          <cell r="T890"/>
          <cell r="U890"/>
          <cell r="V890"/>
          <cell r="W890"/>
          <cell r="X890"/>
          <cell r="Y890"/>
          <cell r="Z890"/>
          <cell r="AA890"/>
          <cell r="AB890"/>
          <cell r="AC890"/>
          <cell r="AD890"/>
          <cell r="AE890"/>
          <cell r="AF890"/>
          <cell r="AG890"/>
          <cell r="AH890"/>
          <cell r="AI890"/>
          <cell r="AJ890"/>
          <cell r="AK890"/>
          <cell r="AL890"/>
          <cell r="AM890"/>
          <cell r="AN890"/>
          <cell r="AO890"/>
          <cell r="AP890"/>
          <cell r="AQ890"/>
          <cell r="AR890"/>
          <cell r="AS890"/>
          <cell r="AT890"/>
          <cell r="AU890"/>
          <cell r="AV890"/>
          <cell r="AW890"/>
          <cell r="AX890"/>
          <cell r="AY890"/>
          <cell r="AZ890"/>
        </row>
        <row r="891">
          <cell r="A891"/>
          <cell r="B891"/>
          <cell r="C891"/>
          <cell r="D891"/>
          <cell r="E891"/>
          <cell r="F891"/>
          <cell r="G891"/>
          <cell r="H891"/>
          <cell r="I891"/>
          <cell r="J891"/>
          <cell r="K891"/>
          <cell r="L891"/>
          <cell r="M891"/>
          <cell r="N891"/>
          <cell r="O891"/>
          <cell r="P891"/>
          <cell r="Q891"/>
          <cell r="R891"/>
          <cell r="S891"/>
          <cell r="T891"/>
          <cell r="U891"/>
          <cell r="V891"/>
          <cell r="W891"/>
          <cell r="X891"/>
          <cell r="Y891"/>
          <cell r="Z891"/>
          <cell r="AA891"/>
          <cell r="AB891"/>
          <cell r="AC891"/>
          <cell r="AD891"/>
          <cell r="AE891"/>
          <cell r="AF891"/>
          <cell r="AG891"/>
          <cell r="AH891"/>
          <cell r="AI891"/>
          <cell r="AJ891"/>
          <cell r="AK891"/>
          <cell r="AL891"/>
          <cell r="AM891"/>
          <cell r="AN891"/>
          <cell r="AO891"/>
          <cell r="AP891"/>
          <cell r="AQ891"/>
          <cell r="AR891"/>
          <cell r="AS891"/>
          <cell r="AT891"/>
          <cell r="AU891"/>
          <cell r="AV891"/>
          <cell r="AW891"/>
          <cell r="AX891"/>
          <cell r="AY891"/>
          <cell r="AZ891"/>
        </row>
        <row r="892">
          <cell r="A892"/>
          <cell r="B892"/>
          <cell r="C892"/>
          <cell r="D892"/>
          <cell r="E892"/>
          <cell r="F892"/>
          <cell r="G892"/>
          <cell r="H892"/>
          <cell r="I892"/>
          <cell r="J892"/>
          <cell r="K892"/>
          <cell r="L892"/>
          <cell r="M892"/>
          <cell r="N892"/>
          <cell r="O892"/>
          <cell r="P892"/>
          <cell r="Q892"/>
          <cell r="R892"/>
          <cell r="S892"/>
          <cell r="T892"/>
          <cell r="U892"/>
          <cell r="V892"/>
          <cell r="W892"/>
          <cell r="X892"/>
          <cell r="Y892"/>
          <cell r="Z892"/>
          <cell r="AA892"/>
          <cell r="AB892"/>
          <cell r="AC892"/>
          <cell r="AD892"/>
          <cell r="AE892"/>
          <cell r="AF892"/>
          <cell r="AG892"/>
          <cell r="AH892"/>
          <cell r="AI892"/>
          <cell r="AJ892"/>
          <cell r="AK892"/>
          <cell r="AL892"/>
          <cell r="AM892"/>
          <cell r="AN892"/>
          <cell r="AO892"/>
          <cell r="AP892"/>
          <cell r="AQ892"/>
          <cell r="AR892"/>
          <cell r="AS892"/>
          <cell r="AT892"/>
          <cell r="AU892"/>
          <cell r="AV892"/>
          <cell r="AW892"/>
          <cell r="AX892"/>
          <cell r="AY892"/>
          <cell r="AZ892"/>
        </row>
        <row r="893">
          <cell r="A893"/>
          <cell r="B893"/>
          <cell r="C893"/>
          <cell r="D893"/>
          <cell r="E893"/>
          <cell r="F893"/>
          <cell r="G893"/>
          <cell r="H893"/>
          <cell r="I893"/>
          <cell r="J893"/>
          <cell r="K893"/>
          <cell r="L893"/>
          <cell r="M893"/>
          <cell r="N893"/>
          <cell r="O893"/>
          <cell r="P893"/>
          <cell r="Q893"/>
          <cell r="R893"/>
          <cell r="S893"/>
          <cell r="T893"/>
          <cell r="U893"/>
          <cell r="V893"/>
          <cell r="W893"/>
          <cell r="X893"/>
          <cell r="Y893"/>
          <cell r="Z893"/>
          <cell r="AA893"/>
          <cell r="AB893"/>
          <cell r="AC893"/>
          <cell r="AD893"/>
          <cell r="AE893"/>
          <cell r="AF893"/>
          <cell r="AG893"/>
          <cell r="AH893"/>
          <cell r="AI893"/>
          <cell r="AJ893"/>
          <cell r="AK893"/>
          <cell r="AL893"/>
          <cell r="AM893"/>
          <cell r="AN893"/>
          <cell r="AO893"/>
          <cell r="AP893"/>
          <cell r="AQ893"/>
          <cell r="AR893"/>
          <cell r="AS893"/>
          <cell r="AT893"/>
          <cell r="AU893"/>
          <cell r="AV893"/>
          <cell r="AW893"/>
          <cell r="AX893"/>
          <cell r="AY893"/>
          <cell r="AZ893"/>
        </row>
        <row r="894">
          <cell r="A894"/>
          <cell r="B894"/>
          <cell r="C894"/>
          <cell r="D894"/>
          <cell r="E894"/>
          <cell r="F894"/>
          <cell r="G894"/>
          <cell r="H894"/>
          <cell r="I894"/>
          <cell r="J894"/>
          <cell r="K894"/>
          <cell r="L894"/>
          <cell r="M894"/>
          <cell r="N894"/>
          <cell r="O894"/>
          <cell r="P894"/>
          <cell r="Q894"/>
          <cell r="R894"/>
          <cell r="S894"/>
          <cell r="T894"/>
          <cell r="U894"/>
          <cell r="V894"/>
          <cell r="W894"/>
          <cell r="X894"/>
          <cell r="Y894"/>
          <cell r="Z894"/>
          <cell r="AA894"/>
          <cell r="AB894"/>
          <cell r="AC894"/>
          <cell r="AD894"/>
          <cell r="AE894"/>
          <cell r="AF894"/>
          <cell r="AG894"/>
          <cell r="AH894"/>
          <cell r="AI894"/>
          <cell r="AJ894"/>
          <cell r="AK894"/>
          <cell r="AL894"/>
          <cell r="AM894"/>
          <cell r="AN894"/>
          <cell r="AO894"/>
          <cell r="AP894"/>
          <cell r="AQ894"/>
          <cell r="AR894"/>
          <cell r="AS894"/>
          <cell r="AT894"/>
          <cell r="AU894"/>
          <cell r="AV894"/>
          <cell r="AW894"/>
          <cell r="AX894"/>
          <cell r="AY894"/>
          <cell r="AZ894"/>
        </row>
        <row r="895">
          <cell r="A895"/>
          <cell r="B895"/>
          <cell r="C895"/>
          <cell r="D895"/>
          <cell r="E895"/>
          <cell r="F895"/>
          <cell r="G895"/>
          <cell r="H895"/>
          <cell r="I895"/>
          <cell r="J895"/>
          <cell r="K895"/>
          <cell r="L895"/>
          <cell r="M895"/>
          <cell r="N895"/>
          <cell r="O895"/>
          <cell r="P895"/>
          <cell r="Q895"/>
          <cell r="R895"/>
          <cell r="S895"/>
          <cell r="T895"/>
          <cell r="U895"/>
          <cell r="V895"/>
          <cell r="W895"/>
          <cell r="X895"/>
          <cell r="Y895"/>
          <cell r="Z895"/>
          <cell r="AA895"/>
          <cell r="AB895"/>
          <cell r="AC895"/>
          <cell r="AD895"/>
          <cell r="AE895"/>
          <cell r="AF895"/>
          <cell r="AG895"/>
          <cell r="AH895"/>
          <cell r="AI895"/>
          <cell r="AJ895"/>
          <cell r="AK895"/>
          <cell r="AL895"/>
          <cell r="AM895"/>
          <cell r="AN895"/>
          <cell r="AO895"/>
          <cell r="AP895"/>
          <cell r="AQ895"/>
          <cell r="AR895"/>
          <cell r="AS895"/>
          <cell r="AT895"/>
          <cell r="AU895"/>
          <cell r="AV895"/>
          <cell r="AW895"/>
          <cell r="AX895"/>
          <cell r="AY895"/>
          <cell r="AZ895"/>
        </row>
        <row r="896">
          <cell r="A896"/>
          <cell r="B896"/>
          <cell r="C896"/>
          <cell r="D896"/>
          <cell r="E896"/>
          <cell r="F896"/>
          <cell r="G896"/>
          <cell r="H896"/>
          <cell r="I896"/>
          <cell r="J896"/>
          <cell r="K896"/>
          <cell r="L896"/>
          <cell r="M896"/>
          <cell r="N896"/>
          <cell r="O896"/>
          <cell r="P896"/>
          <cell r="Q896"/>
          <cell r="R896"/>
          <cell r="S896"/>
          <cell r="T896"/>
          <cell r="U896"/>
          <cell r="V896"/>
          <cell r="W896"/>
          <cell r="X896"/>
          <cell r="Y896"/>
          <cell r="Z896"/>
          <cell r="AA896"/>
          <cell r="AB896"/>
          <cell r="AC896"/>
          <cell r="AD896"/>
          <cell r="AE896"/>
          <cell r="AF896"/>
          <cell r="AG896"/>
          <cell r="AH896"/>
          <cell r="AI896"/>
          <cell r="AJ896"/>
          <cell r="AK896"/>
          <cell r="AL896"/>
          <cell r="AM896"/>
          <cell r="AN896"/>
          <cell r="AO896"/>
          <cell r="AP896"/>
          <cell r="AQ896"/>
          <cell r="AR896"/>
          <cell r="AS896"/>
          <cell r="AT896"/>
          <cell r="AU896"/>
          <cell r="AV896"/>
          <cell r="AW896"/>
          <cell r="AX896"/>
          <cell r="AY896"/>
          <cell r="AZ896"/>
        </row>
        <row r="897">
          <cell r="A897"/>
          <cell r="B897"/>
          <cell r="C897"/>
          <cell r="D897"/>
          <cell r="E897"/>
          <cell r="F897"/>
          <cell r="G897"/>
          <cell r="H897"/>
          <cell r="I897"/>
          <cell r="J897"/>
          <cell r="K897"/>
          <cell r="L897"/>
          <cell r="M897"/>
          <cell r="N897"/>
          <cell r="O897"/>
          <cell r="P897"/>
          <cell r="Q897"/>
          <cell r="R897"/>
          <cell r="S897"/>
          <cell r="T897"/>
          <cell r="U897"/>
          <cell r="V897"/>
          <cell r="W897"/>
          <cell r="X897"/>
          <cell r="Y897"/>
          <cell r="Z897"/>
          <cell r="AA897"/>
          <cell r="AB897"/>
          <cell r="AC897"/>
          <cell r="AD897"/>
          <cell r="AE897"/>
          <cell r="AF897"/>
          <cell r="AG897"/>
          <cell r="AH897"/>
          <cell r="AI897"/>
          <cell r="AJ897"/>
          <cell r="AK897"/>
          <cell r="AL897"/>
          <cell r="AM897"/>
          <cell r="AN897"/>
          <cell r="AO897"/>
          <cell r="AP897"/>
          <cell r="AQ897"/>
          <cell r="AR897"/>
          <cell r="AS897"/>
          <cell r="AT897"/>
          <cell r="AU897"/>
          <cell r="AV897"/>
          <cell r="AW897"/>
          <cell r="AX897"/>
          <cell r="AY897"/>
          <cell r="AZ897"/>
        </row>
        <row r="898">
          <cell r="A898"/>
          <cell r="B898"/>
          <cell r="C898"/>
          <cell r="D898"/>
          <cell r="E898"/>
          <cell r="F898"/>
          <cell r="G898"/>
          <cell r="H898"/>
          <cell r="I898"/>
          <cell r="J898"/>
          <cell r="K898"/>
          <cell r="L898"/>
          <cell r="M898"/>
          <cell r="N898"/>
          <cell r="O898"/>
          <cell r="P898"/>
          <cell r="Q898"/>
          <cell r="R898"/>
          <cell r="S898"/>
          <cell r="T898"/>
          <cell r="U898"/>
          <cell r="V898"/>
          <cell r="W898"/>
          <cell r="X898"/>
          <cell r="Y898"/>
          <cell r="Z898"/>
          <cell r="AA898"/>
          <cell r="AB898"/>
          <cell r="AC898"/>
          <cell r="AD898"/>
          <cell r="AE898"/>
          <cell r="AF898"/>
          <cell r="AG898"/>
          <cell r="AH898"/>
          <cell r="AI898"/>
          <cell r="AJ898"/>
          <cell r="AK898"/>
          <cell r="AL898"/>
          <cell r="AM898"/>
          <cell r="AN898"/>
          <cell r="AO898"/>
          <cell r="AP898"/>
          <cell r="AQ898"/>
          <cell r="AR898"/>
          <cell r="AS898"/>
          <cell r="AT898"/>
          <cell r="AU898"/>
          <cell r="AV898"/>
          <cell r="AW898"/>
          <cell r="AX898"/>
          <cell r="AY898"/>
          <cell r="AZ898"/>
        </row>
        <row r="899">
          <cell r="A899"/>
          <cell r="B899"/>
          <cell r="C899"/>
          <cell r="D899"/>
          <cell r="E899"/>
          <cell r="F899"/>
          <cell r="G899"/>
          <cell r="H899"/>
          <cell r="I899"/>
          <cell r="J899"/>
          <cell r="K899"/>
          <cell r="L899"/>
          <cell r="M899"/>
          <cell r="N899"/>
          <cell r="O899"/>
          <cell r="P899"/>
          <cell r="Q899"/>
          <cell r="R899"/>
          <cell r="S899"/>
          <cell r="T899"/>
          <cell r="U899"/>
          <cell r="V899"/>
          <cell r="W899"/>
          <cell r="X899"/>
          <cell r="Y899"/>
          <cell r="Z899"/>
          <cell r="AA899"/>
          <cell r="AB899"/>
          <cell r="AC899"/>
          <cell r="AD899"/>
          <cell r="AE899"/>
          <cell r="AF899"/>
          <cell r="AG899"/>
          <cell r="AH899"/>
          <cell r="AI899"/>
          <cell r="AJ899"/>
          <cell r="AK899"/>
          <cell r="AL899"/>
          <cell r="AM899"/>
          <cell r="AN899"/>
          <cell r="AO899"/>
          <cell r="AP899"/>
          <cell r="AQ899"/>
          <cell r="AR899"/>
          <cell r="AS899"/>
          <cell r="AT899"/>
          <cell r="AU899"/>
          <cell r="AV899"/>
          <cell r="AW899"/>
          <cell r="AX899"/>
          <cell r="AY899"/>
          <cell r="AZ899"/>
        </row>
        <row r="900">
          <cell r="A900"/>
          <cell r="B900"/>
          <cell r="C900"/>
          <cell r="D900"/>
          <cell r="E900"/>
          <cell r="F900"/>
          <cell r="G900"/>
          <cell r="H900"/>
          <cell r="I900"/>
          <cell r="J900"/>
          <cell r="K900"/>
          <cell r="L900"/>
          <cell r="M900"/>
          <cell r="N900"/>
          <cell r="O900"/>
          <cell r="P900"/>
          <cell r="Q900"/>
          <cell r="R900"/>
          <cell r="S900"/>
          <cell r="T900"/>
          <cell r="U900"/>
          <cell r="V900"/>
          <cell r="W900"/>
          <cell r="X900"/>
          <cell r="Y900"/>
          <cell r="Z900"/>
          <cell r="AA900"/>
          <cell r="AB900"/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/>
          <cell r="AS900"/>
          <cell r="AT900"/>
          <cell r="AU900"/>
          <cell r="AV900"/>
          <cell r="AW900"/>
          <cell r="AX900"/>
          <cell r="AY900"/>
          <cell r="AZ900"/>
        </row>
        <row r="901">
          <cell r="A901"/>
          <cell r="B901"/>
          <cell r="C901"/>
          <cell r="D901"/>
          <cell r="E901"/>
          <cell r="F901"/>
          <cell r="G901"/>
          <cell r="H901"/>
          <cell r="I901"/>
          <cell r="J901"/>
          <cell r="K901"/>
          <cell r="L901"/>
          <cell r="M901"/>
          <cell r="N901"/>
          <cell r="O901"/>
          <cell r="P901"/>
          <cell r="Q901"/>
          <cell r="R901"/>
          <cell r="S901"/>
          <cell r="T901"/>
          <cell r="U901"/>
          <cell r="V901"/>
          <cell r="W901"/>
          <cell r="X901"/>
          <cell r="Y901"/>
          <cell r="Z901"/>
          <cell r="AA901"/>
          <cell r="AB901"/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/>
          <cell r="AS901"/>
          <cell r="AT901"/>
          <cell r="AU901"/>
          <cell r="AV901"/>
          <cell r="AW901"/>
          <cell r="AX901"/>
          <cell r="AY901"/>
          <cell r="AZ901"/>
        </row>
        <row r="902">
          <cell r="A902"/>
          <cell r="B902"/>
          <cell r="C902"/>
          <cell r="D902"/>
          <cell r="E902"/>
          <cell r="F902"/>
          <cell r="G902"/>
          <cell r="H902"/>
          <cell r="I902"/>
          <cell r="J902"/>
          <cell r="K902"/>
          <cell r="L902"/>
          <cell r="M902"/>
          <cell r="N902"/>
          <cell r="O902"/>
          <cell r="P902"/>
          <cell r="Q902"/>
          <cell r="R902"/>
          <cell r="S902"/>
          <cell r="T902"/>
          <cell r="U902"/>
          <cell r="V902"/>
          <cell r="W902"/>
          <cell r="X902"/>
          <cell r="Y902"/>
          <cell r="Z902"/>
          <cell r="AA902"/>
          <cell r="AB902"/>
          <cell r="AC902"/>
          <cell r="AD902"/>
          <cell r="AE902"/>
          <cell r="AF902"/>
          <cell r="AG902"/>
          <cell r="AH902"/>
          <cell r="AI902"/>
          <cell r="AJ902"/>
          <cell r="AK902"/>
          <cell r="AL902"/>
          <cell r="AM902"/>
          <cell r="AN902"/>
          <cell r="AO902"/>
          <cell r="AP902"/>
          <cell r="AQ902"/>
          <cell r="AR902"/>
          <cell r="AS902"/>
          <cell r="AT902"/>
          <cell r="AU902"/>
          <cell r="AV902"/>
          <cell r="AW902"/>
          <cell r="AX902"/>
          <cell r="AY902"/>
          <cell r="AZ902"/>
        </row>
        <row r="903">
          <cell r="A903"/>
          <cell r="B903"/>
          <cell r="C903"/>
          <cell r="D903"/>
          <cell r="E903"/>
          <cell r="F903"/>
          <cell r="G903"/>
          <cell r="H903"/>
          <cell r="I903"/>
          <cell r="J903"/>
          <cell r="K903"/>
          <cell r="L903"/>
          <cell r="M903"/>
          <cell r="N903"/>
          <cell r="O903"/>
          <cell r="P903"/>
          <cell r="Q903"/>
          <cell r="R903"/>
          <cell r="S903"/>
          <cell r="T903"/>
          <cell r="U903"/>
          <cell r="V903"/>
          <cell r="W903"/>
          <cell r="X903"/>
          <cell r="Y903"/>
          <cell r="Z903"/>
          <cell r="AA903"/>
          <cell r="AB903"/>
          <cell r="AC903"/>
          <cell r="AD903"/>
          <cell r="AE903"/>
          <cell r="AF903"/>
          <cell r="AG903"/>
          <cell r="AH903"/>
          <cell r="AI903"/>
          <cell r="AJ903"/>
          <cell r="AK903"/>
          <cell r="AL903"/>
          <cell r="AM903"/>
          <cell r="AN903"/>
          <cell r="AO903"/>
          <cell r="AP903"/>
          <cell r="AQ903"/>
          <cell r="AR903"/>
          <cell r="AS903"/>
          <cell r="AT903"/>
          <cell r="AU903"/>
          <cell r="AV903"/>
          <cell r="AW903"/>
          <cell r="AX903"/>
          <cell r="AY903"/>
          <cell r="AZ903"/>
        </row>
        <row r="904">
          <cell r="A904"/>
          <cell r="B904"/>
          <cell r="C904"/>
          <cell r="D904"/>
          <cell r="E904"/>
          <cell r="F904"/>
          <cell r="G904"/>
          <cell r="H904"/>
          <cell r="I904"/>
          <cell r="J904"/>
          <cell r="K904"/>
          <cell r="L904"/>
          <cell r="M904"/>
          <cell r="N904"/>
          <cell r="O904"/>
          <cell r="P904"/>
          <cell r="Q904"/>
          <cell r="R904"/>
          <cell r="S904"/>
          <cell r="T904"/>
          <cell r="U904"/>
          <cell r="V904"/>
          <cell r="W904"/>
          <cell r="X904"/>
          <cell r="Y904"/>
          <cell r="Z904"/>
          <cell r="AA904"/>
          <cell r="AB904"/>
          <cell r="AC904"/>
          <cell r="AD904"/>
          <cell r="AE904"/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/>
          <cell r="AS904"/>
          <cell r="AT904"/>
          <cell r="AU904"/>
          <cell r="AV904"/>
          <cell r="AW904"/>
          <cell r="AX904"/>
          <cell r="AY904"/>
          <cell r="AZ904"/>
        </row>
        <row r="905">
          <cell r="A905"/>
          <cell r="B905"/>
          <cell r="C905"/>
          <cell r="D905"/>
          <cell r="E905"/>
          <cell r="F905"/>
          <cell r="G905"/>
          <cell r="H905"/>
          <cell r="I905"/>
          <cell r="J905"/>
          <cell r="K905"/>
          <cell r="L905"/>
          <cell r="M905"/>
          <cell r="N905"/>
          <cell r="O905"/>
          <cell r="P905"/>
          <cell r="Q905"/>
          <cell r="R905"/>
          <cell r="S905"/>
          <cell r="T905"/>
          <cell r="U905"/>
          <cell r="V905"/>
          <cell r="W905"/>
          <cell r="X905"/>
          <cell r="Y905"/>
          <cell r="Z905"/>
          <cell r="AA905"/>
          <cell r="AB905"/>
          <cell r="AC905"/>
          <cell r="AD905"/>
          <cell r="AE905"/>
          <cell r="AF905"/>
          <cell r="AG905"/>
          <cell r="AH905"/>
          <cell r="AI905"/>
          <cell r="AJ905"/>
          <cell r="AK905"/>
          <cell r="AL905"/>
          <cell r="AM905"/>
          <cell r="AN905"/>
          <cell r="AO905"/>
          <cell r="AP905"/>
          <cell r="AQ905"/>
          <cell r="AR905"/>
          <cell r="AS905"/>
          <cell r="AT905"/>
          <cell r="AU905"/>
          <cell r="AV905"/>
          <cell r="AW905"/>
          <cell r="AX905"/>
          <cell r="AY905"/>
          <cell r="AZ905"/>
        </row>
        <row r="906">
          <cell r="A906"/>
          <cell r="B906"/>
          <cell r="C906"/>
          <cell r="D906"/>
          <cell r="E906"/>
          <cell r="F906"/>
          <cell r="G906"/>
          <cell r="H906"/>
          <cell r="I906"/>
          <cell r="J906"/>
          <cell r="K906"/>
          <cell r="L906"/>
          <cell r="M906"/>
          <cell r="N906"/>
          <cell r="O906"/>
          <cell r="P906"/>
          <cell r="Q906"/>
          <cell r="R906"/>
          <cell r="S906"/>
          <cell r="T906"/>
          <cell r="U906"/>
          <cell r="V906"/>
          <cell r="W906"/>
          <cell r="X906"/>
          <cell r="Y906"/>
          <cell r="Z906"/>
          <cell r="AA906"/>
          <cell r="AB906"/>
          <cell r="AC906"/>
          <cell r="AD906"/>
          <cell r="AE906"/>
          <cell r="AF906"/>
          <cell r="AG906"/>
          <cell r="AH906"/>
          <cell r="AI906"/>
          <cell r="AJ906"/>
          <cell r="AK906"/>
          <cell r="AL906"/>
          <cell r="AM906"/>
          <cell r="AN906"/>
          <cell r="AO906"/>
          <cell r="AP906"/>
          <cell r="AQ906"/>
          <cell r="AR906"/>
          <cell r="AS906"/>
          <cell r="AT906"/>
          <cell r="AU906"/>
          <cell r="AV906"/>
          <cell r="AW906"/>
          <cell r="AX906"/>
          <cell r="AY906"/>
          <cell r="AZ906"/>
        </row>
        <row r="907">
          <cell r="A907"/>
          <cell r="B907"/>
          <cell r="C907"/>
          <cell r="D907"/>
          <cell r="E907"/>
          <cell r="F907"/>
          <cell r="G907"/>
          <cell r="H907"/>
          <cell r="I907"/>
          <cell r="J907"/>
          <cell r="K907"/>
          <cell r="L907"/>
          <cell r="M907"/>
          <cell r="N907"/>
          <cell r="O907"/>
          <cell r="P907"/>
          <cell r="Q907"/>
          <cell r="R907"/>
          <cell r="S907"/>
          <cell r="T907"/>
          <cell r="U907"/>
          <cell r="V907"/>
          <cell r="W907"/>
          <cell r="X907"/>
          <cell r="Y907"/>
          <cell r="Z907"/>
          <cell r="AA907"/>
          <cell r="AB907"/>
          <cell r="AC907"/>
          <cell r="AD907"/>
          <cell r="AE907"/>
          <cell r="AF907"/>
          <cell r="AG907"/>
          <cell r="AH907"/>
          <cell r="AI907"/>
          <cell r="AJ907"/>
          <cell r="AK907"/>
          <cell r="AL907"/>
          <cell r="AM907"/>
          <cell r="AN907"/>
          <cell r="AO907"/>
          <cell r="AP907"/>
          <cell r="AQ907"/>
          <cell r="AR907"/>
          <cell r="AS907"/>
          <cell r="AT907"/>
          <cell r="AU907"/>
          <cell r="AV907"/>
          <cell r="AW907"/>
          <cell r="AX907"/>
          <cell r="AY907"/>
          <cell r="AZ907"/>
        </row>
        <row r="908">
          <cell r="A908"/>
          <cell r="B908"/>
          <cell r="C908"/>
          <cell r="D908"/>
          <cell r="E908"/>
          <cell r="F908"/>
          <cell r="G908"/>
          <cell r="H908"/>
          <cell r="I908"/>
          <cell r="J908"/>
          <cell r="K908"/>
          <cell r="L908"/>
          <cell r="M908"/>
          <cell r="N908"/>
          <cell r="O908"/>
          <cell r="P908"/>
          <cell r="Q908"/>
          <cell r="R908"/>
          <cell r="S908"/>
          <cell r="T908"/>
          <cell r="U908"/>
          <cell r="V908"/>
          <cell r="W908"/>
          <cell r="X908"/>
          <cell r="Y908"/>
          <cell r="Z908"/>
          <cell r="AA908"/>
          <cell r="AB908"/>
          <cell r="AC908"/>
          <cell r="AD908"/>
          <cell r="AE908"/>
          <cell r="AF908"/>
          <cell r="AG908"/>
          <cell r="AH908"/>
          <cell r="AI908"/>
          <cell r="AJ908"/>
          <cell r="AK908"/>
          <cell r="AL908"/>
          <cell r="AM908"/>
          <cell r="AN908"/>
          <cell r="AO908"/>
          <cell r="AP908"/>
          <cell r="AQ908"/>
          <cell r="AR908"/>
          <cell r="AS908"/>
          <cell r="AT908"/>
          <cell r="AU908"/>
          <cell r="AV908"/>
          <cell r="AW908"/>
          <cell r="AX908"/>
          <cell r="AY908"/>
          <cell r="AZ908"/>
        </row>
        <row r="909">
          <cell r="A909"/>
          <cell r="B909"/>
          <cell r="C909"/>
          <cell r="D909"/>
          <cell r="E909"/>
          <cell r="F909"/>
          <cell r="G909"/>
          <cell r="H909"/>
          <cell r="I909"/>
          <cell r="J909"/>
          <cell r="K909"/>
          <cell r="L909"/>
          <cell r="M909"/>
          <cell r="N909"/>
          <cell r="O909"/>
          <cell r="P909"/>
          <cell r="Q909"/>
          <cell r="R909"/>
          <cell r="S909"/>
          <cell r="T909"/>
          <cell r="U909"/>
          <cell r="V909"/>
          <cell r="W909"/>
          <cell r="X909"/>
          <cell r="Y909"/>
          <cell r="Z909"/>
          <cell r="AA909"/>
          <cell r="AB909"/>
          <cell r="AC909"/>
          <cell r="AD909"/>
          <cell r="AE909"/>
          <cell r="AF909"/>
          <cell r="AG909"/>
          <cell r="AH909"/>
          <cell r="AI909"/>
          <cell r="AJ909"/>
          <cell r="AK909"/>
          <cell r="AL909"/>
          <cell r="AM909"/>
          <cell r="AN909"/>
          <cell r="AO909"/>
          <cell r="AP909"/>
          <cell r="AQ909"/>
          <cell r="AR909"/>
          <cell r="AS909"/>
          <cell r="AT909"/>
          <cell r="AU909"/>
          <cell r="AV909"/>
          <cell r="AW909"/>
          <cell r="AX909"/>
          <cell r="AY909"/>
          <cell r="AZ909"/>
        </row>
        <row r="910">
          <cell r="A910"/>
          <cell r="B910"/>
          <cell r="C910"/>
          <cell r="D910"/>
          <cell r="E910"/>
          <cell r="F910"/>
          <cell r="G910"/>
          <cell r="H910"/>
          <cell r="I910"/>
          <cell r="J910"/>
          <cell r="K910"/>
          <cell r="L910"/>
          <cell r="M910"/>
          <cell r="N910"/>
          <cell r="O910"/>
          <cell r="P910"/>
          <cell r="Q910"/>
          <cell r="R910"/>
          <cell r="S910"/>
          <cell r="T910"/>
          <cell r="U910"/>
          <cell r="V910"/>
          <cell r="W910"/>
          <cell r="X910"/>
          <cell r="Y910"/>
          <cell r="Z910"/>
          <cell r="AA910"/>
          <cell r="AB910"/>
          <cell r="AC910"/>
          <cell r="AD910"/>
          <cell r="AE910"/>
          <cell r="AF910"/>
          <cell r="AG910"/>
          <cell r="AH910"/>
          <cell r="AI910"/>
          <cell r="AJ910"/>
          <cell r="AK910"/>
          <cell r="AL910"/>
          <cell r="AM910"/>
          <cell r="AN910"/>
          <cell r="AO910"/>
          <cell r="AP910"/>
          <cell r="AQ910"/>
          <cell r="AR910"/>
          <cell r="AS910"/>
          <cell r="AT910"/>
          <cell r="AU910"/>
          <cell r="AV910"/>
          <cell r="AW910"/>
          <cell r="AX910"/>
          <cell r="AY910"/>
          <cell r="AZ910"/>
        </row>
        <row r="911">
          <cell r="A911"/>
          <cell r="B911"/>
          <cell r="C911"/>
          <cell r="D911"/>
          <cell r="E911"/>
          <cell r="F911"/>
          <cell r="G911"/>
          <cell r="H911"/>
          <cell r="I911"/>
          <cell r="J911"/>
          <cell r="K911"/>
          <cell r="L911"/>
          <cell r="M911"/>
          <cell r="N911"/>
          <cell r="O911"/>
          <cell r="P911"/>
          <cell r="Q911"/>
          <cell r="R911"/>
          <cell r="S911"/>
          <cell r="T911"/>
          <cell r="U911"/>
          <cell r="V911"/>
          <cell r="W911"/>
          <cell r="X911"/>
          <cell r="Y911"/>
          <cell r="Z911"/>
          <cell r="AA911"/>
          <cell r="AB911"/>
          <cell r="AC911"/>
          <cell r="AD911"/>
          <cell r="AE911"/>
          <cell r="AF911"/>
          <cell r="AG911"/>
          <cell r="AH911"/>
          <cell r="AI911"/>
          <cell r="AJ911"/>
          <cell r="AK911"/>
          <cell r="AL911"/>
          <cell r="AM911"/>
          <cell r="AN911"/>
          <cell r="AO911"/>
          <cell r="AP911"/>
          <cell r="AQ911"/>
          <cell r="AR911"/>
          <cell r="AS911"/>
          <cell r="AT911"/>
          <cell r="AU911"/>
          <cell r="AV911"/>
          <cell r="AW911"/>
          <cell r="AX911"/>
          <cell r="AY911"/>
          <cell r="AZ911"/>
        </row>
        <row r="912">
          <cell r="A912"/>
          <cell r="B912"/>
          <cell r="C912"/>
          <cell r="D912"/>
          <cell r="E912"/>
          <cell r="F912"/>
          <cell r="G912"/>
          <cell r="H912"/>
          <cell r="I912"/>
          <cell r="J912"/>
          <cell r="K912"/>
          <cell r="L912"/>
          <cell r="M912"/>
          <cell r="N912"/>
          <cell r="O912"/>
          <cell r="P912"/>
          <cell r="Q912"/>
          <cell r="R912"/>
          <cell r="S912"/>
          <cell r="T912"/>
          <cell r="U912"/>
          <cell r="V912"/>
          <cell r="W912"/>
          <cell r="X912"/>
          <cell r="Y912"/>
          <cell r="Z912"/>
          <cell r="AA912"/>
          <cell r="AB912"/>
          <cell r="AC912"/>
          <cell r="AD912"/>
          <cell r="AE912"/>
          <cell r="AF912"/>
          <cell r="AG912"/>
          <cell r="AH912"/>
          <cell r="AI912"/>
          <cell r="AJ912"/>
          <cell r="AK912"/>
          <cell r="AL912"/>
          <cell r="AM912"/>
          <cell r="AN912"/>
          <cell r="AO912"/>
          <cell r="AP912"/>
          <cell r="AQ912"/>
          <cell r="AR912"/>
          <cell r="AS912"/>
          <cell r="AT912"/>
          <cell r="AU912"/>
          <cell r="AV912"/>
          <cell r="AW912"/>
          <cell r="AX912"/>
          <cell r="AY912"/>
          <cell r="AZ912"/>
        </row>
        <row r="913">
          <cell r="A913"/>
          <cell r="B913"/>
          <cell r="C913"/>
          <cell r="D913"/>
          <cell r="E913"/>
          <cell r="F913"/>
          <cell r="G913"/>
          <cell r="H913"/>
          <cell r="I913"/>
          <cell r="J913"/>
          <cell r="K913"/>
          <cell r="L913"/>
          <cell r="M913"/>
          <cell r="N913"/>
          <cell r="O913"/>
          <cell r="P913"/>
          <cell r="Q913"/>
          <cell r="R913"/>
          <cell r="S913"/>
          <cell r="T913"/>
          <cell r="U913"/>
          <cell r="V913"/>
          <cell r="W913"/>
          <cell r="X913"/>
          <cell r="Y913"/>
          <cell r="Z913"/>
          <cell r="AA913"/>
          <cell r="AB913"/>
          <cell r="AC913"/>
          <cell r="AD913"/>
          <cell r="AE913"/>
          <cell r="AF913"/>
          <cell r="AG913"/>
          <cell r="AH913"/>
          <cell r="AI913"/>
          <cell r="AJ913"/>
          <cell r="AK913"/>
          <cell r="AL913"/>
          <cell r="AM913"/>
          <cell r="AN913"/>
          <cell r="AO913"/>
          <cell r="AP913"/>
          <cell r="AQ913"/>
          <cell r="AR913"/>
          <cell r="AS913"/>
          <cell r="AT913"/>
          <cell r="AU913"/>
          <cell r="AV913"/>
          <cell r="AW913"/>
          <cell r="AX913"/>
          <cell r="AY913"/>
          <cell r="AZ913"/>
        </row>
        <row r="914">
          <cell r="A914"/>
          <cell r="B914"/>
          <cell r="C914"/>
          <cell r="D914"/>
          <cell r="E914"/>
          <cell r="F914"/>
          <cell r="G914"/>
          <cell r="H914"/>
          <cell r="I914"/>
          <cell r="J914"/>
          <cell r="K914"/>
          <cell r="L914"/>
          <cell r="M914"/>
          <cell r="N914"/>
          <cell r="O914"/>
          <cell r="P914"/>
          <cell r="Q914"/>
          <cell r="R914"/>
          <cell r="S914"/>
          <cell r="T914"/>
          <cell r="U914"/>
          <cell r="V914"/>
          <cell r="W914"/>
          <cell r="X914"/>
          <cell r="Y914"/>
          <cell r="Z914"/>
          <cell r="AA914"/>
          <cell r="AB914"/>
          <cell r="AC914"/>
          <cell r="AD914"/>
          <cell r="AE914"/>
          <cell r="AF914"/>
          <cell r="AG914"/>
          <cell r="AH914"/>
          <cell r="AI914"/>
          <cell r="AJ914"/>
          <cell r="AK914"/>
          <cell r="AL914"/>
          <cell r="AM914"/>
          <cell r="AN914"/>
          <cell r="AO914"/>
          <cell r="AP914"/>
          <cell r="AQ914"/>
          <cell r="AR914"/>
          <cell r="AS914"/>
          <cell r="AT914"/>
          <cell r="AU914"/>
          <cell r="AV914"/>
          <cell r="AW914"/>
          <cell r="AX914"/>
          <cell r="AY914"/>
          <cell r="AZ914"/>
        </row>
        <row r="915">
          <cell r="A915"/>
          <cell r="B915"/>
          <cell r="C915"/>
          <cell r="D915"/>
          <cell r="E915"/>
          <cell r="F915"/>
          <cell r="G915"/>
          <cell r="H915"/>
          <cell r="I915"/>
          <cell r="J915"/>
          <cell r="K915"/>
          <cell r="L915"/>
          <cell r="M915"/>
          <cell r="N915"/>
          <cell r="O915"/>
          <cell r="P915"/>
          <cell r="Q915"/>
          <cell r="R915"/>
          <cell r="S915"/>
          <cell r="T915"/>
          <cell r="U915"/>
          <cell r="V915"/>
          <cell r="W915"/>
          <cell r="X915"/>
          <cell r="Y915"/>
          <cell r="Z915"/>
          <cell r="AA915"/>
          <cell r="AB915"/>
          <cell r="AC915"/>
          <cell r="AD915"/>
          <cell r="AE915"/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/>
          <cell r="AS915"/>
          <cell r="AT915"/>
          <cell r="AU915"/>
          <cell r="AV915"/>
          <cell r="AW915"/>
          <cell r="AX915"/>
          <cell r="AY915"/>
          <cell r="AZ915"/>
        </row>
        <row r="916">
          <cell r="A916"/>
          <cell r="B916"/>
          <cell r="C916"/>
          <cell r="D916"/>
          <cell r="E916"/>
          <cell r="F916"/>
          <cell r="G916"/>
          <cell r="H916"/>
          <cell r="I916"/>
          <cell r="J916"/>
          <cell r="K916"/>
          <cell r="L916"/>
          <cell r="M916"/>
          <cell r="N916"/>
          <cell r="O916"/>
          <cell r="P916"/>
          <cell r="Q916"/>
          <cell r="R916"/>
          <cell r="S916"/>
          <cell r="T916"/>
          <cell r="U916"/>
          <cell r="V916"/>
          <cell r="W916"/>
          <cell r="X916"/>
          <cell r="Y916"/>
          <cell r="Z916"/>
          <cell r="AA916"/>
          <cell r="AB916"/>
          <cell r="AC916"/>
          <cell r="AD916"/>
          <cell r="AE916"/>
          <cell r="AF916"/>
          <cell r="AG916"/>
          <cell r="AH916"/>
          <cell r="AI916"/>
          <cell r="AJ916"/>
          <cell r="AK916"/>
          <cell r="AL916"/>
          <cell r="AM916"/>
          <cell r="AN916"/>
          <cell r="AO916"/>
          <cell r="AP916"/>
          <cell r="AQ916"/>
          <cell r="AR916"/>
          <cell r="AS916"/>
          <cell r="AT916"/>
          <cell r="AU916"/>
          <cell r="AV916"/>
          <cell r="AW916"/>
          <cell r="AX916"/>
          <cell r="AY916"/>
          <cell r="AZ916"/>
        </row>
        <row r="917">
          <cell r="A917"/>
          <cell r="B917"/>
          <cell r="C917"/>
          <cell r="D917"/>
          <cell r="E917"/>
          <cell r="F917"/>
          <cell r="G917"/>
          <cell r="H917"/>
          <cell r="I917"/>
          <cell r="J917"/>
          <cell r="K917"/>
          <cell r="L917"/>
          <cell r="M917"/>
          <cell r="N917"/>
          <cell r="O917"/>
          <cell r="P917"/>
          <cell r="Q917"/>
          <cell r="R917"/>
          <cell r="S917"/>
          <cell r="T917"/>
          <cell r="U917"/>
          <cell r="V917"/>
          <cell r="W917"/>
          <cell r="X917"/>
          <cell r="Y917"/>
          <cell r="Z917"/>
          <cell r="AA917"/>
          <cell r="AB917"/>
          <cell r="AC917"/>
          <cell r="AD917"/>
          <cell r="AE917"/>
          <cell r="AF917"/>
          <cell r="AG917"/>
          <cell r="AH917"/>
          <cell r="AI917"/>
          <cell r="AJ917"/>
          <cell r="AK917"/>
          <cell r="AL917"/>
          <cell r="AM917"/>
          <cell r="AN917"/>
          <cell r="AO917"/>
          <cell r="AP917"/>
          <cell r="AQ917"/>
          <cell r="AR917"/>
          <cell r="AS917"/>
          <cell r="AT917"/>
          <cell r="AU917"/>
          <cell r="AV917"/>
          <cell r="AW917"/>
          <cell r="AX917"/>
          <cell r="AY917"/>
          <cell r="AZ917"/>
        </row>
        <row r="918">
          <cell r="A918"/>
          <cell r="B918"/>
          <cell r="C918"/>
          <cell r="D918"/>
          <cell r="E918"/>
          <cell r="F918"/>
          <cell r="G918"/>
          <cell r="H918"/>
          <cell r="I918"/>
          <cell r="J918"/>
          <cell r="K918"/>
          <cell r="L918"/>
          <cell r="M918"/>
          <cell r="N918"/>
          <cell r="O918"/>
          <cell r="P918"/>
          <cell r="Q918"/>
          <cell r="R918"/>
          <cell r="S918"/>
          <cell r="T918"/>
          <cell r="U918"/>
          <cell r="V918"/>
          <cell r="W918"/>
          <cell r="X918"/>
          <cell r="Y918"/>
          <cell r="Z918"/>
          <cell r="AA918"/>
          <cell r="AB918"/>
          <cell r="AC918"/>
          <cell r="AD918"/>
          <cell r="AE918"/>
          <cell r="AF918"/>
          <cell r="AG918"/>
          <cell r="AH918"/>
          <cell r="AI918"/>
          <cell r="AJ918"/>
          <cell r="AK918"/>
          <cell r="AL918"/>
          <cell r="AM918"/>
          <cell r="AN918"/>
          <cell r="AO918"/>
          <cell r="AP918"/>
          <cell r="AQ918"/>
          <cell r="AR918"/>
          <cell r="AS918"/>
          <cell r="AT918"/>
          <cell r="AU918"/>
          <cell r="AV918"/>
          <cell r="AW918"/>
          <cell r="AX918"/>
          <cell r="AY918"/>
          <cell r="AZ918"/>
        </row>
        <row r="919">
          <cell r="A919"/>
          <cell r="B919"/>
          <cell r="C919"/>
          <cell r="D919"/>
          <cell r="E919"/>
          <cell r="F919"/>
          <cell r="G919"/>
          <cell r="H919"/>
          <cell r="I919"/>
          <cell r="J919"/>
          <cell r="K919"/>
          <cell r="L919"/>
          <cell r="M919"/>
          <cell r="N919"/>
          <cell r="O919"/>
          <cell r="P919"/>
          <cell r="Q919"/>
          <cell r="R919"/>
          <cell r="S919"/>
          <cell r="T919"/>
          <cell r="U919"/>
          <cell r="V919"/>
          <cell r="W919"/>
          <cell r="X919"/>
          <cell r="Y919"/>
          <cell r="Z919"/>
          <cell r="AA919"/>
          <cell r="AB919"/>
          <cell r="AC919"/>
          <cell r="AD919"/>
          <cell r="AE919"/>
          <cell r="AF919"/>
          <cell r="AG919"/>
          <cell r="AH919"/>
          <cell r="AI919"/>
          <cell r="AJ919"/>
          <cell r="AK919"/>
          <cell r="AL919"/>
          <cell r="AM919"/>
          <cell r="AN919"/>
          <cell r="AO919"/>
          <cell r="AP919"/>
          <cell r="AQ919"/>
          <cell r="AR919"/>
          <cell r="AS919"/>
          <cell r="AT919"/>
          <cell r="AU919"/>
          <cell r="AV919"/>
          <cell r="AW919"/>
          <cell r="AX919"/>
          <cell r="AY919"/>
          <cell r="AZ919"/>
        </row>
        <row r="920">
          <cell r="A920"/>
          <cell r="B920"/>
          <cell r="C920"/>
          <cell r="D920"/>
          <cell r="E920"/>
          <cell r="F920"/>
          <cell r="G920"/>
          <cell r="H920"/>
          <cell r="I920"/>
          <cell r="J920"/>
          <cell r="K920"/>
          <cell r="L920"/>
          <cell r="M920"/>
          <cell r="N920"/>
          <cell r="O920"/>
          <cell r="P920"/>
          <cell r="Q920"/>
          <cell r="R920"/>
          <cell r="S920"/>
          <cell r="T920"/>
          <cell r="U920"/>
          <cell r="V920"/>
          <cell r="W920"/>
          <cell r="X920"/>
          <cell r="Y920"/>
          <cell r="Z920"/>
          <cell r="AA920"/>
          <cell r="AB920"/>
          <cell r="AC920"/>
          <cell r="AD920"/>
          <cell r="AE920"/>
          <cell r="AF920"/>
          <cell r="AG920"/>
          <cell r="AH920"/>
          <cell r="AI920"/>
          <cell r="AJ920"/>
          <cell r="AK920"/>
          <cell r="AL920"/>
          <cell r="AM920"/>
          <cell r="AN920"/>
          <cell r="AO920"/>
          <cell r="AP920"/>
          <cell r="AQ920"/>
          <cell r="AR920"/>
          <cell r="AS920"/>
          <cell r="AT920"/>
          <cell r="AU920"/>
          <cell r="AV920"/>
          <cell r="AW920"/>
          <cell r="AX920"/>
          <cell r="AY920"/>
          <cell r="AZ920"/>
        </row>
        <row r="921">
          <cell r="A921"/>
          <cell r="B921"/>
          <cell r="C921"/>
          <cell r="D921"/>
          <cell r="E921"/>
          <cell r="F921"/>
          <cell r="G921"/>
          <cell r="H921"/>
          <cell r="I921"/>
          <cell r="J921"/>
          <cell r="K921"/>
          <cell r="L921"/>
          <cell r="M921"/>
          <cell r="N921"/>
          <cell r="O921"/>
          <cell r="P921"/>
          <cell r="Q921"/>
          <cell r="R921"/>
          <cell r="S921"/>
          <cell r="T921"/>
          <cell r="U921"/>
          <cell r="V921"/>
          <cell r="W921"/>
          <cell r="X921"/>
          <cell r="Y921"/>
          <cell r="Z921"/>
          <cell r="AA921"/>
          <cell r="AB921"/>
          <cell r="AC921"/>
          <cell r="AD921"/>
          <cell r="AE921"/>
          <cell r="AF921"/>
          <cell r="AG921"/>
          <cell r="AH921"/>
          <cell r="AI921"/>
          <cell r="AJ921"/>
          <cell r="AK921"/>
          <cell r="AL921"/>
          <cell r="AM921"/>
          <cell r="AN921"/>
          <cell r="AO921"/>
          <cell r="AP921"/>
          <cell r="AQ921"/>
          <cell r="AR921"/>
          <cell r="AS921"/>
          <cell r="AT921"/>
          <cell r="AU921"/>
          <cell r="AV921"/>
          <cell r="AW921"/>
          <cell r="AX921"/>
          <cell r="AY921"/>
          <cell r="AZ921"/>
        </row>
        <row r="922">
          <cell r="A922"/>
          <cell r="B922"/>
          <cell r="C922"/>
          <cell r="D922"/>
          <cell r="E922"/>
          <cell r="F922"/>
          <cell r="G922"/>
          <cell r="H922"/>
          <cell r="I922"/>
          <cell r="J922"/>
          <cell r="K922"/>
          <cell r="L922"/>
          <cell r="M922"/>
          <cell r="N922"/>
          <cell r="O922"/>
          <cell r="P922"/>
          <cell r="Q922"/>
          <cell r="R922"/>
          <cell r="S922"/>
          <cell r="T922"/>
          <cell r="U922"/>
          <cell r="V922"/>
          <cell r="W922"/>
          <cell r="X922"/>
          <cell r="Y922"/>
          <cell r="Z922"/>
          <cell r="AA922"/>
          <cell r="AB922"/>
          <cell r="AC922"/>
          <cell r="AD922"/>
          <cell r="AE922"/>
          <cell r="AF922"/>
          <cell r="AG922"/>
          <cell r="AH922"/>
          <cell r="AI922"/>
          <cell r="AJ922"/>
          <cell r="AK922"/>
          <cell r="AL922"/>
          <cell r="AM922"/>
          <cell r="AN922"/>
          <cell r="AO922"/>
          <cell r="AP922"/>
          <cell r="AQ922"/>
          <cell r="AR922"/>
          <cell r="AS922"/>
          <cell r="AT922"/>
          <cell r="AU922"/>
          <cell r="AV922"/>
          <cell r="AW922"/>
          <cell r="AX922"/>
          <cell r="AY922"/>
          <cell r="AZ922"/>
        </row>
        <row r="923">
          <cell r="A923"/>
          <cell r="B923"/>
          <cell r="C923"/>
          <cell r="D923"/>
          <cell r="E923"/>
          <cell r="F923"/>
          <cell r="G923"/>
          <cell r="H923"/>
          <cell r="I923"/>
          <cell r="J923"/>
          <cell r="K923"/>
          <cell r="L923"/>
          <cell r="M923"/>
          <cell r="N923"/>
          <cell r="O923"/>
          <cell r="P923"/>
          <cell r="Q923"/>
          <cell r="R923"/>
          <cell r="S923"/>
          <cell r="T923"/>
          <cell r="U923"/>
          <cell r="V923"/>
          <cell r="W923"/>
          <cell r="X923"/>
          <cell r="Y923"/>
          <cell r="Z923"/>
          <cell r="AA923"/>
          <cell r="AB923"/>
          <cell r="AC923"/>
          <cell r="AD923"/>
          <cell r="AE923"/>
          <cell r="AF923"/>
          <cell r="AG923"/>
          <cell r="AH923"/>
          <cell r="AI923"/>
          <cell r="AJ923"/>
          <cell r="AK923"/>
          <cell r="AL923"/>
          <cell r="AM923"/>
          <cell r="AN923"/>
          <cell r="AO923"/>
          <cell r="AP923"/>
          <cell r="AQ923"/>
          <cell r="AR923"/>
          <cell r="AS923"/>
          <cell r="AT923"/>
          <cell r="AU923"/>
          <cell r="AV923"/>
          <cell r="AW923"/>
          <cell r="AX923"/>
          <cell r="AY923"/>
          <cell r="AZ923"/>
        </row>
        <row r="924">
          <cell r="A924"/>
          <cell r="B924"/>
          <cell r="C924"/>
          <cell r="D924"/>
          <cell r="E924"/>
          <cell r="F924"/>
          <cell r="G924"/>
          <cell r="H924"/>
          <cell r="I924"/>
          <cell r="J924"/>
          <cell r="K924"/>
          <cell r="L924"/>
          <cell r="M924"/>
          <cell r="N924"/>
          <cell r="O924"/>
          <cell r="P924"/>
          <cell r="Q924"/>
          <cell r="R924"/>
          <cell r="S924"/>
          <cell r="T924"/>
          <cell r="U924"/>
          <cell r="V924"/>
          <cell r="W924"/>
          <cell r="X924"/>
          <cell r="Y924"/>
          <cell r="Z924"/>
          <cell r="AA924"/>
          <cell r="AB924"/>
          <cell r="AC924"/>
          <cell r="AD924"/>
          <cell r="AE924"/>
          <cell r="AF924"/>
          <cell r="AG924"/>
          <cell r="AH924"/>
          <cell r="AI924"/>
          <cell r="AJ924"/>
          <cell r="AK924"/>
          <cell r="AL924"/>
          <cell r="AM924"/>
          <cell r="AN924"/>
          <cell r="AO924"/>
          <cell r="AP924"/>
          <cell r="AQ924"/>
          <cell r="AR924"/>
          <cell r="AS924"/>
          <cell r="AT924"/>
          <cell r="AU924"/>
          <cell r="AV924"/>
          <cell r="AW924"/>
          <cell r="AX924"/>
          <cell r="AY924"/>
          <cell r="AZ924"/>
        </row>
        <row r="925">
          <cell r="A925"/>
          <cell r="B925"/>
          <cell r="C925"/>
          <cell r="D925"/>
          <cell r="E925"/>
          <cell r="F925"/>
          <cell r="G925"/>
          <cell r="H925"/>
          <cell r="I925"/>
          <cell r="J925"/>
          <cell r="K925"/>
          <cell r="L925"/>
          <cell r="M925"/>
          <cell r="N925"/>
          <cell r="O925"/>
          <cell r="P925"/>
          <cell r="Q925"/>
          <cell r="R925"/>
          <cell r="S925"/>
          <cell r="T925"/>
          <cell r="U925"/>
          <cell r="V925"/>
          <cell r="W925"/>
          <cell r="X925"/>
          <cell r="Y925"/>
          <cell r="Z925"/>
          <cell r="AA925"/>
          <cell r="AB925"/>
          <cell r="AC925"/>
          <cell r="AD925"/>
          <cell r="AE925"/>
          <cell r="AF925"/>
          <cell r="AG925"/>
          <cell r="AH925"/>
          <cell r="AI925"/>
          <cell r="AJ925"/>
          <cell r="AK925"/>
          <cell r="AL925"/>
          <cell r="AM925"/>
          <cell r="AN925"/>
          <cell r="AO925"/>
          <cell r="AP925"/>
          <cell r="AQ925"/>
          <cell r="AR925"/>
          <cell r="AS925"/>
          <cell r="AT925"/>
          <cell r="AU925"/>
          <cell r="AV925"/>
          <cell r="AW925"/>
          <cell r="AX925"/>
          <cell r="AY925"/>
          <cell r="AZ925"/>
        </row>
        <row r="926">
          <cell r="A926"/>
          <cell r="B926"/>
          <cell r="C926"/>
          <cell r="D926"/>
          <cell r="E926"/>
          <cell r="F926"/>
          <cell r="G926"/>
          <cell r="H926"/>
          <cell r="I926"/>
          <cell r="J926"/>
          <cell r="K926"/>
          <cell r="L926"/>
          <cell r="M926"/>
          <cell r="N926"/>
          <cell r="O926"/>
          <cell r="P926"/>
          <cell r="Q926"/>
          <cell r="R926"/>
          <cell r="S926"/>
          <cell r="T926"/>
          <cell r="U926"/>
          <cell r="V926"/>
          <cell r="W926"/>
          <cell r="X926"/>
          <cell r="Y926"/>
          <cell r="Z926"/>
          <cell r="AA926"/>
          <cell r="AB926"/>
          <cell r="AC926"/>
          <cell r="AD926"/>
          <cell r="AE926"/>
          <cell r="AF926"/>
          <cell r="AG926"/>
          <cell r="AH926"/>
          <cell r="AI926"/>
          <cell r="AJ926"/>
          <cell r="AK926"/>
          <cell r="AL926"/>
          <cell r="AM926"/>
          <cell r="AN926"/>
          <cell r="AO926"/>
          <cell r="AP926"/>
          <cell r="AQ926"/>
          <cell r="AR926"/>
          <cell r="AS926"/>
          <cell r="AT926"/>
          <cell r="AU926"/>
          <cell r="AV926"/>
          <cell r="AW926"/>
          <cell r="AX926"/>
          <cell r="AY926"/>
          <cell r="AZ926"/>
        </row>
        <row r="927">
          <cell r="A927"/>
          <cell r="B927"/>
          <cell r="C927"/>
          <cell r="D927"/>
          <cell r="E927"/>
          <cell r="F927"/>
          <cell r="G927"/>
          <cell r="H927"/>
          <cell r="I927"/>
          <cell r="J927"/>
          <cell r="K927"/>
          <cell r="L927"/>
          <cell r="M927"/>
          <cell r="N927"/>
          <cell r="O927"/>
          <cell r="P927"/>
          <cell r="Q927"/>
          <cell r="R927"/>
          <cell r="S927"/>
          <cell r="T927"/>
          <cell r="U927"/>
          <cell r="V927"/>
          <cell r="W927"/>
          <cell r="X927"/>
          <cell r="Y927"/>
          <cell r="Z927"/>
          <cell r="AA927"/>
          <cell r="AB927"/>
          <cell r="AC927"/>
          <cell r="AD927"/>
          <cell r="AE927"/>
          <cell r="AF927"/>
          <cell r="AG927"/>
          <cell r="AH927"/>
          <cell r="AI927"/>
          <cell r="AJ927"/>
          <cell r="AK927"/>
          <cell r="AL927"/>
          <cell r="AM927"/>
          <cell r="AN927"/>
          <cell r="AO927"/>
          <cell r="AP927"/>
          <cell r="AQ927"/>
          <cell r="AR927"/>
          <cell r="AS927"/>
          <cell r="AT927"/>
          <cell r="AU927"/>
          <cell r="AV927"/>
          <cell r="AW927"/>
          <cell r="AX927"/>
          <cell r="AY927"/>
          <cell r="AZ927"/>
        </row>
        <row r="928">
          <cell r="A928"/>
          <cell r="B928"/>
          <cell r="C928"/>
          <cell r="D928"/>
          <cell r="E928"/>
          <cell r="F928"/>
          <cell r="G928"/>
          <cell r="H928"/>
          <cell r="I928"/>
          <cell r="J928"/>
          <cell r="K928"/>
          <cell r="L928"/>
          <cell r="M928"/>
          <cell r="N928"/>
          <cell r="O928"/>
          <cell r="P928"/>
          <cell r="Q928"/>
          <cell r="R928"/>
          <cell r="S928"/>
          <cell r="T928"/>
          <cell r="U928"/>
          <cell r="V928"/>
          <cell r="W928"/>
          <cell r="X928"/>
          <cell r="Y928"/>
          <cell r="Z928"/>
          <cell r="AA928"/>
          <cell r="AB928"/>
          <cell r="AC928"/>
          <cell r="AD928"/>
          <cell r="AE928"/>
          <cell r="AF928"/>
          <cell r="AG928"/>
          <cell r="AH928"/>
          <cell r="AI928"/>
          <cell r="AJ928"/>
          <cell r="AK928"/>
          <cell r="AL928"/>
          <cell r="AM928"/>
          <cell r="AN928"/>
          <cell r="AO928"/>
          <cell r="AP928"/>
          <cell r="AQ928"/>
          <cell r="AR928"/>
          <cell r="AS928"/>
          <cell r="AT928"/>
          <cell r="AU928"/>
          <cell r="AV928"/>
          <cell r="AW928"/>
          <cell r="AX928"/>
          <cell r="AY928"/>
          <cell r="AZ928"/>
        </row>
        <row r="929">
          <cell r="A929"/>
          <cell r="B929"/>
          <cell r="C929"/>
          <cell r="D929"/>
          <cell r="E929"/>
          <cell r="F929"/>
          <cell r="G929"/>
          <cell r="H929"/>
          <cell r="I929"/>
          <cell r="J929"/>
          <cell r="K929"/>
          <cell r="L929"/>
          <cell r="M929"/>
          <cell r="N929"/>
          <cell r="O929"/>
          <cell r="P929"/>
          <cell r="Q929"/>
          <cell r="R929"/>
          <cell r="S929"/>
          <cell r="T929"/>
          <cell r="U929"/>
          <cell r="V929"/>
          <cell r="W929"/>
          <cell r="X929"/>
          <cell r="Y929"/>
          <cell r="Z929"/>
          <cell r="AA929"/>
          <cell r="AB929"/>
          <cell r="AC929"/>
          <cell r="AD929"/>
          <cell r="AE929"/>
          <cell r="AF929"/>
          <cell r="AG929"/>
          <cell r="AH929"/>
          <cell r="AI929"/>
          <cell r="AJ929"/>
          <cell r="AK929"/>
          <cell r="AL929"/>
          <cell r="AM929"/>
          <cell r="AN929"/>
          <cell r="AO929"/>
          <cell r="AP929"/>
          <cell r="AQ929"/>
          <cell r="AR929"/>
          <cell r="AS929"/>
          <cell r="AT929"/>
          <cell r="AU929"/>
          <cell r="AV929"/>
          <cell r="AW929"/>
          <cell r="AX929"/>
          <cell r="AY929"/>
          <cell r="AZ929"/>
        </row>
        <row r="930">
          <cell r="A930"/>
          <cell r="B930"/>
          <cell r="C930"/>
          <cell r="D930"/>
          <cell r="E930"/>
          <cell r="F930"/>
          <cell r="G930"/>
          <cell r="H930"/>
          <cell r="I930"/>
          <cell r="J930"/>
          <cell r="K930"/>
          <cell r="L930"/>
          <cell r="M930"/>
          <cell r="N930"/>
          <cell r="O930"/>
          <cell r="P930"/>
          <cell r="Q930"/>
          <cell r="R930"/>
          <cell r="S930"/>
          <cell r="T930"/>
          <cell r="U930"/>
          <cell r="V930"/>
          <cell r="W930"/>
          <cell r="X930"/>
          <cell r="Y930"/>
          <cell r="Z930"/>
          <cell r="AA930"/>
          <cell r="AB930"/>
          <cell r="AC930"/>
          <cell r="AD930"/>
          <cell r="AE930"/>
          <cell r="AF930"/>
          <cell r="AG930"/>
          <cell r="AH930"/>
          <cell r="AI930"/>
          <cell r="AJ930"/>
          <cell r="AK930"/>
          <cell r="AL930"/>
          <cell r="AM930"/>
          <cell r="AN930"/>
          <cell r="AO930"/>
          <cell r="AP930"/>
          <cell r="AQ930"/>
          <cell r="AR930"/>
          <cell r="AS930"/>
          <cell r="AT930"/>
          <cell r="AU930"/>
          <cell r="AV930"/>
          <cell r="AW930"/>
          <cell r="AX930"/>
          <cell r="AY930"/>
          <cell r="AZ930"/>
        </row>
        <row r="931">
          <cell r="A931"/>
          <cell r="B931"/>
          <cell r="C931"/>
          <cell r="D931"/>
          <cell r="E931"/>
          <cell r="F931"/>
          <cell r="G931"/>
          <cell r="H931"/>
          <cell r="I931"/>
          <cell r="J931"/>
          <cell r="K931"/>
          <cell r="L931"/>
          <cell r="M931"/>
          <cell r="N931"/>
          <cell r="O931"/>
          <cell r="P931"/>
          <cell r="Q931"/>
          <cell r="R931"/>
          <cell r="S931"/>
          <cell r="T931"/>
          <cell r="U931"/>
          <cell r="V931"/>
          <cell r="W931"/>
          <cell r="X931"/>
          <cell r="Y931"/>
          <cell r="Z931"/>
          <cell r="AA931"/>
          <cell r="AB931"/>
          <cell r="AC931"/>
          <cell r="AD931"/>
          <cell r="AE931"/>
          <cell r="AF931"/>
          <cell r="AG931"/>
          <cell r="AH931"/>
          <cell r="AI931"/>
          <cell r="AJ931"/>
          <cell r="AK931"/>
          <cell r="AL931"/>
          <cell r="AM931"/>
          <cell r="AN931"/>
          <cell r="AO931"/>
          <cell r="AP931"/>
          <cell r="AQ931"/>
          <cell r="AR931"/>
          <cell r="AS931"/>
          <cell r="AT931"/>
          <cell r="AU931"/>
          <cell r="AV931"/>
          <cell r="AW931"/>
          <cell r="AX931"/>
          <cell r="AY931"/>
          <cell r="AZ931"/>
        </row>
        <row r="932">
          <cell r="A932"/>
          <cell r="B932"/>
          <cell r="C932"/>
          <cell r="D932"/>
          <cell r="E932"/>
          <cell r="F932"/>
          <cell r="G932"/>
          <cell r="H932"/>
          <cell r="I932"/>
          <cell r="J932"/>
          <cell r="K932"/>
          <cell r="L932"/>
          <cell r="M932"/>
          <cell r="N932"/>
          <cell r="O932"/>
          <cell r="P932"/>
          <cell r="Q932"/>
          <cell r="R932"/>
          <cell r="S932"/>
          <cell r="T932"/>
          <cell r="U932"/>
          <cell r="V932"/>
          <cell r="W932"/>
          <cell r="X932"/>
          <cell r="Y932"/>
          <cell r="Z932"/>
          <cell r="AA932"/>
          <cell r="AB932"/>
          <cell r="AC932"/>
          <cell r="AD932"/>
          <cell r="AE932"/>
          <cell r="AF932"/>
          <cell r="AG932"/>
          <cell r="AH932"/>
          <cell r="AI932"/>
          <cell r="AJ932"/>
          <cell r="AK932"/>
          <cell r="AL932"/>
          <cell r="AM932"/>
          <cell r="AN932"/>
          <cell r="AO932"/>
          <cell r="AP932"/>
          <cell r="AQ932"/>
          <cell r="AR932"/>
          <cell r="AS932"/>
          <cell r="AT932"/>
          <cell r="AU932"/>
          <cell r="AV932"/>
          <cell r="AW932"/>
          <cell r="AX932"/>
          <cell r="AY932"/>
          <cell r="AZ932"/>
        </row>
        <row r="933">
          <cell r="A933"/>
          <cell r="B933"/>
          <cell r="C933"/>
          <cell r="D933"/>
          <cell r="E933"/>
          <cell r="F933"/>
          <cell r="G933"/>
          <cell r="H933"/>
          <cell r="I933"/>
          <cell r="J933"/>
          <cell r="K933"/>
          <cell r="L933"/>
          <cell r="M933"/>
          <cell r="N933"/>
          <cell r="O933"/>
          <cell r="P933"/>
          <cell r="Q933"/>
          <cell r="R933"/>
          <cell r="S933"/>
          <cell r="T933"/>
          <cell r="U933"/>
          <cell r="V933"/>
          <cell r="W933"/>
          <cell r="X933"/>
          <cell r="Y933"/>
          <cell r="Z933"/>
          <cell r="AA933"/>
          <cell r="AB933"/>
          <cell r="AC933"/>
          <cell r="AD933"/>
          <cell r="AE933"/>
          <cell r="AF933"/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/>
          <cell r="AS933"/>
          <cell r="AT933"/>
          <cell r="AU933"/>
          <cell r="AV933"/>
          <cell r="AW933"/>
          <cell r="AX933"/>
          <cell r="AY933"/>
          <cell r="AZ933"/>
        </row>
        <row r="934">
          <cell r="A934"/>
          <cell r="B934"/>
          <cell r="C934"/>
          <cell r="D934"/>
          <cell r="E934"/>
          <cell r="F934"/>
          <cell r="G934"/>
          <cell r="H934"/>
          <cell r="I934"/>
          <cell r="J934"/>
          <cell r="K934"/>
          <cell r="L934"/>
          <cell r="M934"/>
          <cell r="N934"/>
          <cell r="O934"/>
          <cell r="P934"/>
          <cell r="Q934"/>
          <cell r="R934"/>
          <cell r="S934"/>
          <cell r="T934"/>
          <cell r="U934"/>
          <cell r="V934"/>
          <cell r="W934"/>
          <cell r="X934"/>
          <cell r="Y934"/>
          <cell r="Z934"/>
          <cell r="AA934"/>
          <cell r="AB934"/>
          <cell r="AC934"/>
          <cell r="AD934"/>
          <cell r="AE934"/>
          <cell r="AF934"/>
          <cell r="AG934"/>
          <cell r="AH934"/>
          <cell r="AI934"/>
          <cell r="AJ934"/>
          <cell r="AK934"/>
          <cell r="AL934"/>
          <cell r="AM934"/>
          <cell r="AN934"/>
          <cell r="AO934"/>
          <cell r="AP934"/>
          <cell r="AQ934"/>
          <cell r="AR934"/>
          <cell r="AS934"/>
          <cell r="AT934"/>
          <cell r="AU934"/>
          <cell r="AV934"/>
          <cell r="AW934"/>
          <cell r="AX934"/>
          <cell r="AY934"/>
          <cell r="AZ934"/>
        </row>
        <row r="935">
          <cell r="A935"/>
          <cell r="B935"/>
          <cell r="C935"/>
          <cell r="D935"/>
          <cell r="E935"/>
          <cell r="F935"/>
          <cell r="G935"/>
          <cell r="H935"/>
          <cell r="I935"/>
          <cell r="J935"/>
          <cell r="K935"/>
          <cell r="L935"/>
          <cell r="M935"/>
          <cell r="N935"/>
          <cell r="O935"/>
          <cell r="P935"/>
          <cell r="Q935"/>
          <cell r="R935"/>
          <cell r="S935"/>
          <cell r="T935"/>
          <cell r="U935"/>
          <cell r="V935"/>
          <cell r="W935"/>
          <cell r="X935"/>
          <cell r="Y935"/>
          <cell r="Z935"/>
          <cell r="AA935"/>
          <cell r="AB935"/>
          <cell r="AC935"/>
          <cell r="AD935"/>
          <cell r="AE935"/>
          <cell r="AF935"/>
          <cell r="AG935"/>
          <cell r="AH935"/>
          <cell r="AI935"/>
          <cell r="AJ935"/>
          <cell r="AK935"/>
          <cell r="AL935"/>
          <cell r="AM935"/>
          <cell r="AN935"/>
          <cell r="AO935"/>
          <cell r="AP935"/>
          <cell r="AQ935"/>
          <cell r="AR935"/>
          <cell r="AS935"/>
          <cell r="AT935"/>
          <cell r="AU935"/>
          <cell r="AV935"/>
          <cell r="AW935"/>
          <cell r="AX935"/>
          <cell r="AY935"/>
          <cell r="AZ935"/>
        </row>
        <row r="936">
          <cell r="A936"/>
          <cell r="B936"/>
          <cell r="C936"/>
          <cell r="D936"/>
          <cell r="E936"/>
          <cell r="F936"/>
          <cell r="G936"/>
          <cell r="H936"/>
          <cell r="I936"/>
          <cell r="J936"/>
          <cell r="K936"/>
          <cell r="L936"/>
          <cell r="M936"/>
          <cell r="N936"/>
          <cell r="O936"/>
          <cell r="P936"/>
          <cell r="Q936"/>
          <cell r="R936"/>
          <cell r="S936"/>
          <cell r="T936"/>
          <cell r="U936"/>
          <cell r="V936"/>
          <cell r="W936"/>
          <cell r="X936"/>
          <cell r="Y936"/>
          <cell r="Z936"/>
          <cell r="AA936"/>
          <cell r="AB936"/>
          <cell r="AC936"/>
          <cell r="AD936"/>
          <cell r="AE936"/>
          <cell r="AF936"/>
          <cell r="AG936"/>
          <cell r="AH936"/>
          <cell r="AI936"/>
          <cell r="AJ936"/>
          <cell r="AK936"/>
          <cell r="AL936"/>
          <cell r="AM936"/>
          <cell r="AN936"/>
          <cell r="AO936"/>
          <cell r="AP936"/>
          <cell r="AQ936"/>
          <cell r="AR936"/>
          <cell r="AS936"/>
          <cell r="AT936"/>
          <cell r="AU936"/>
          <cell r="AV936"/>
          <cell r="AW936"/>
          <cell r="AX936"/>
          <cell r="AY936"/>
          <cell r="AZ936"/>
        </row>
        <row r="937">
          <cell r="A937"/>
          <cell r="B937"/>
          <cell r="C937"/>
          <cell r="D937"/>
          <cell r="E937"/>
          <cell r="F937"/>
          <cell r="G937"/>
          <cell r="H937"/>
          <cell r="I937"/>
          <cell r="J937"/>
          <cell r="K937"/>
          <cell r="L937"/>
          <cell r="M937"/>
          <cell r="N937"/>
          <cell r="O937"/>
          <cell r="P937"/>
          <cell r="Q937"/>
          <cell r="R937"/>
          <cell r="S937"/>
          <cell r="T937"/>
          <cell r="U937"/>
          <cell r="V937"/>
          <cell r="W937"/>
          <cell r="X937"/>
          <cell r="Y937"/>
          <cell r="Z937"/>
          <cell r="AA937"/>
          <cell r="AB937"/>
          <cell r="AC937"/>
          <cell r="AD937"/>
          <cell r="AE937"/>
          <cell r="AF937"/>
          <cell r="AG937"/>
          <cell r="AH937"/>
          <cell r="AI937"/>
          <cell r="AJ937"/>
          <cell r="AK937"/>
          <cell r="AL937"/>
          <cell r="AM937"/>
          <cell r="AN937"/>
          <cell r="AO937"/>
          <cell r="AP937"/>
          <cell r="AQ937"/>
          <cell r="AR937"/>
          <cell r="AS937"/>
          <cell r="AT937"/>
          <cell r="AU937"/>
          <cell r="AV937"/>
          <cell r="AW937"/>
          <cell r="AX937"/>
          <cell r="AY937"/>
          <cell r="AZ937"/>
        </row>
        <row r="938">
          <cell r="A938"/>
          <cell r="B938"/>
          <cell r="C938"/>
          <cell r="D938"/>
          <cell r="E938"/>
          <cell r="F938"/>
          <cell r="G938"/>
          <cell r="H938"/>
          <cell r="I938"/>
          <cell r="J938"/>
          <cell r="K938"/>
          <cell r="L938"/>
          <cell r="M938"/>
          <cell r="N938"/>
          <cell r="O938"/>
          <cell r="P938"/>
          <cell r="Q938"/>
          <cell r="R938"/>
          <cell r="S938"/>
          <cell r="T938"/>
          <cell r="U938"/>
          <cell r="V938"/>
          <cell r="W938"/>
          <cell r="X938"/>
          <cell r="Y938"/>
          <cell r="Z938"/>
          <cell r="AA938"/>
          <cell r="AB938"/>
          <cell r="AC938"/>
          <cell r="AD938"/>
          <cell r="AE938"/>
          <cell r="AF938"/>
          <cell r="AG938"/>
          <cell r="AH938"/>
          <cell r="AI938"/>
          <cell r="AJ938"/>
          <cell r="AK938"/>
          <cell r="AL938"/>
          <cell r="AM938"/>
          <cell r="AN938"/>
          <cell r="AO938"/>
          <cell r="AP938"/>
          <cell r="AQ938"/>
          <cell r="AR938"/>
          <cell r="AS938"/>
          <cell r="AT938"/>
          <cell r="AU938"/>
          <cell r="AV938"/>
          <cell r="AW938"/>
          <cell r="AX938"/>
          <cell r="AY938"/>
          <cell r="AZ938"/>
        </row>
        <row r="939">
          <cell r="A939"/>
          <cell r="B939"/>
          <cell r="C939"/>
          <cell r="D939"/>
          <cell r="E939"/>
          <cell r="F939"/>
          <cell r="G939"/>
          <cell r="H939"/>
          <cell r="I939"/>
          <cell r="J939"/>
          <cell r="K939"/>
          <cell r="L939"/>
          <cell r="M939"/>
          <cell r="N939"/>
          <cell r="O939"/>
          <cell r="P939"/>
          <cell r="Q939"/>
          <cell r="R939"/>
          <cell r="S939"/>
          <cell r="T939"/>
          <cell r="U939"/>
          <cell r="V939"/>
          <cell r="W939"/>
          <cell r="X939"/>
          <cell r="Y939"/>
          <cell r="Z939"/>
          <cell r="AA939"/>
          <cell r="AB939"/>
          <cell r="AC939"/>
          <cell r="AD939"/>
          <cell r="AE939"/>
          <cell r="AF939"/>
          <cell r="AG939"/>
          <cell r="AH939"/>
          <cell r="AI939"/>
          <cell r="AJ939"/>
          <cell r="AK939"/>
          <cell r="AL939"/>
          <cell r="AM939"/>
          <cell r="AN939"/>
          <cell r="AO939"/>
          <cell r="AP939"/>
          <cell r="AQ939"/>
          <cell r="AR939"/>
          <cell r="AS939"/>
          <cell r="AT939"/>
          <cell r="AU939"/>
          <cell r="AV939"/>
          <cell r="AW939"/>
          <cell r="AX939"/>
          <cell r="AY939"/>
          <cell r="AZ939"/>
        </row>
        <row r="940">
          <cell r="A940"/>
          <cell r="B940"/>
          <cell r="C940"/>
          <cell r="D940"/>
          <cell r="E940"/>
          <cell r="F940"/>
          <cell r="G940"/>
          <cell r="H940"/>
          <cell r="I940"/>
          <cell r="J940"/>
          <cell r="K940"/>
          <cell r="L940"/>
          <cell r="M940"/>
          <cell r="N940"/>
          <cell r="O940"/>
          <cell r="P940"/>
          <cell r="Q940"/>
          <cell r="R940"/>
          <cell r="S940"/>
          <cell r="T940"/>
          <cell r="U940"/>
          <cell r="V940"/>
          <cell r="W940"/>
          <cell r="X940"/>
          <cell r="Y940"/>
          <cell r="Z940"/>
          <cell r="AA940"/>
          <cell r="AB940"/>
          <cell r="AC940"/>
          <cell r="AD940"/>
          <cell r="AE940"/>
          <cell r="AF940"/>
          <cell r="AG940"/>
          <cell r="AH940"/>
          <cell r="AI940"/>
          <cell r="AJ940"/>
          <cell r="AK940"/>
          <cell r="AL940"/>
          <cell r="AM940"/>
          <cell r="AN940"/>
          <cell r="AO940"/>
          <cell r="AP940"/>
          <cell r="AQ940"/>
          <cell r="AR940"/>
          <cell r="AS940"/>
          <cell r="AT940"/>
          <cell r="AU940"/>
          <cell r="AV940"/>
          <cell r="AW940"/>
          <cell r="AX940"/>
          <cell r="AY940"/>
          <cell r="AZ940"/>
        </row>
        <row r="941">
          <cell r="A941"/>
          <cell r="B941"/>
          <cell r="C941"/>
          <cell r="D941"/>
          <cell r="E941"/>
          <cell r="F941"/>
          <cell r="G941"/>
          <cell r="H941"/>
          <cell r="I941"/>
          <cell r="J941"/>
          <cell r="K941"/>
          <cell r="L941"/>
          <cell r="M941"/>
          <cell r="N941"/>
          <cell r="O941"/>
          <cell r="P941"/>
          <cell r="Q941"/>
          <cell r="R941"/>
          <cell r="S941"/>
          <cell r="T941"/>
          <cell r="U941"/>
          <cell r="V941"/>
          <cell r="W941"/>
          <cell r="X941"/>
          <cell r="Y941"/>
          <cell r="Z941"/>
          <cell r="AA941"/>
          <cell r="AB941"/>
          <cell r="AC941"/>
          <cell r="AD941"/>
          <cell r="AE941"/>
          <cell r="AF941"/>
          <cell r="AG941"/>
          <cell r="AH941"/>
          <cell r="AI941"/>
          <cell r="AJ941"/>
          <cell r="AK941"/>
          <cell r="AL941"/>
          <cell r="AM941"/>
          <cell r="AN941"/>
          <cell r="AO941"/>
          <cell r="AP941"/>
          <cell r="AQ941"/>
          <cell r="AR941"/>
          <cell r="AS941"/>
          <cell r="AT941"/>
          <cell r="AU941"/>
          <cell r="AV941"/>
          <cell r="AW941"/>
          <cell r="AX941"/>
          <cell r="AY941"/>
          <cell r="AZ941"/>
        </row>
        <row r="942">
          <cell r="A942"/>
          <cell r="B942"/>
          <cell r="C942"/>
          <cell r="D942"/>
          <cell r="E942"/>
          <cell r="F942"/>
          <cell r="G942"/>
          <cell r="H942"/>
          <cell r="I942"/>
          <cell r="J942"/>
          <cell r="K942"/>
          <cell r="L942"/>
          <cell r="M942"/>
          <cell r="N942"/>
          <cell r="O942"/>
          <cell r="P942"/>
          <cell r="Q942"/>
          <cell r="R942"/>
          <cell r="S942"/>
          <cell r="T942"/>
          <cell r="U942"/>
          <cell r="V942"/>
          <cell r="W942"/>
          <cell r="X942"/>
          <cell r="Y942"/>
          <cell r="Z942"/>
          <cell r="AA942"/>
          <cell r="AB942"/>
          <cell r="AC942"/>
          <cell r="AD942"/>
          <cell r="AE942"/>
          <cell r="AF942"/>
          <cell r="AG942"/>
          <cell r="AH942"/>
          <cell r="AI942"/>
          <cell r="AJ942"/>
          <cell r="AK942"/>
          <cell r="AL942"/>
          <cell r="AM942"/>
          <cell r="AN942"/>
          <cell r="AO942"/>
          <cell r="AP942"/>
          <cell r="AQ942"/>
          <cell r="AR942"/>
          <cell r="AS942"/>
          <cell r="AT942"/>
          <cell r="AU942"/>
          <cell r="AV942"/>
          <cell r="AW942"/>
          <cell r="AX942"/>
          <cell r="AY942"/>
          <cell r="AZ942"/>
        </row>
        <row r="943">
          <cell r="A943"/>
          <cell r="B943"/>
          <cell r="C943"/>
          <cell r="D943"/>
          <cell r="E943"/>
          <cell r="F943"/>
          <cell r="G943"/>
          <cell r="H943"/>
          <cell r="I943"/>
          <cell r="J943"/>
          <cell r="K943"/>
          <cell r="L943"/>
          <cell r="M943"/>
          <cell r="N943"/>
          <cell r="O943"/>
          <cell r="P943"/>
          <cell r="Q943"/>
          <cell r="R943"/>
          <cell r="S943"/>
          <cell r="T943"/>
          <cell r="U943"/>
          <cell r="V943"/>
          <cell r="W943"/>
          <cell r="X943"/>
          <cell r="Y943"/>
          <cell r="Z943"/>
          <cell r="AA943"/>
          <cell r="AB943"/>
          <cell r="AC943"/>
          <cell r="AD943"/>
          <cell r="AE943"/>
          <cell r="AF943"/>
          <cell r="AG943"/>
          <cell r="AH943"/>
          <cell r="AI943"/>
          <cell r="AJ943"/>
          <cell r="AK943"/>
          <cell r="AL943"/>
          <cell r="AM943"/>
          <cell r="AN943"/>
          <cell r="AO943"/>
          <cell r="AP943"/>
          <cell r="AQ943"/>
          <cell r="AR943"/>
          <cell r="AS943"/>
          <cell r="AT943"/>
          <cell r="AU943"/>
          <cell r="AV943"/>
          <cell r="AW943"/>
          <cell r="AX943"/>
          <cell r="AY943"/>
          <cell r="AZ943"/>
        </row>
        <row r="944">
          <cell r="A944"/>
          <cell r="B944"/>
          <cell r="C944"/>
          <cell r="D944"/>
          <cell r="E944"/>
          <cell r="F944"/>
          <cell r="G944"/>
          <cell r="H944"/>
          <cell r="I944"/>
          <cell r="J944"/>
          <cell r="K944"/>
          <cell r="L944"/>
          <cell r="M944"/>
          <cell r="N944"/>
          <cell r="O944"/>
          <cell r="P944"/>
          <cell r="Q944"/>
          <cell r="R944"/>
          <cell r="S944"/>
          <cell r="T944"/>
          <cell r="U944"/>
          <cell r="V944"/>
          <cell r="W944"/>
          <cell r="X944"/>
          <cell r="Y944"/>
          <cell r="Z944"/>
          <cell r="AA944"/>
          <cell r="AB944"/>
          <cell r="AC944"/>
          <cell r="AD944"/>
          <cell r="AE944"/>
          <cell r="AF944"/>
          <cell r="AG944"/>
          <cell r="AH944"/>
          <cell r="AI944"/>
          <cell r="AJ944"/>
          <cell r="AK944"/>
          <cell r="AL944"/>
          <cell r="AM944"/>
          <cell r="AN944"/>
          <cell r="AO944"/>
          <cell r="AP944"/>
          <cell r="AQ944"/>
          <cell r="AR944"/>
          <cell r="AS944"/>
          <cell r="AT944"/>
          <cell r="AU944"/>
          <cell r="AV944"/>
          <cell r="AW944"/>
          <cell r="AX944"/>
          <cell r="AY944"/>
          <cell r="AZ944"/>
        </row>
        <row r="945">
          <cell r="A945"/>
          <cell r="B945"/>
          <cell r="C945"/>
          <cell r="D945"/>
          <cell r="E945"/>
          <cell r="F945"/>
          <cell r="G945"/>
          <cell r="H945"/>
          <cell r="I945"/>
          <cell r="J945"/>
          <cell r="K945"/>
          <cell r="L945"/>
          <cell r="M945"/>
          <cell r="N945"/>
          <cell r="O945"/>
          <cell r="P945"/>
          <cell r="Q945"/>
          <cell r="R945"/>
          <cell r="S945"/>
          <cell r="T945"/>
          <cell r="U945"/>
          <cell r="V945"/>
          <cell r="W945"/>
          <cell r="X945"/>
          <cell r="Y945"/>
          <cell r="Z945"/>
          <cell r="AA945"/>
          <cell r="AB945"/>
          <cell r="AC945"/>
          <cell r="AD945"/>
          <cell r="AE945"/>
          <cell r="AF945"/>
          <cell r="AG945"/>
          <cell r="AH945"/>
          <cell r="AI945"/>
          <cell r="AJ945"/>
          <cell r="AK945"/>
          <cell r="AL945"/>
          <cell r="AM945"/>
          <cell r="AN945"/>
          <cell r="AO945"/>
          <cell r="AP945"/>
          <cell r="AQ945"/>
          <cell r="AR945"/>
          <cell r="AS945"/>
          <cell r="AT945"/>
          <cell r="AU945"/>
          <cell r="AV945"/>
          <cell r="AW945"/>
          <cell r="AX945"/>
          <cell r="AY945"/>
          <cell r="AZ945"/>
        </row>
        <row r="946">
          <cell r="A946"/>
          <cell r="B946"/>
          <cell r="C946"/>
          <cell r="D946"/>
          <cell r="E946"/>
          <cell r="F946"/>
          <cell r="G946"/>
          <cell r="H946"/>
          <cell r="I946"/>
          <cell r="J946"/>
          <cell r="K946"/>
          <cell r="L946"/>
          <cell r="M946"/>
          <cell r="N946"/>
          <cell r="O946"/>
          <cell r="P946"/>
          <cell r="Q946"/>
          <cell r="R946"/>
          <cell r="S946"/>
          <cell r="T946"/>
          <cell r="U946"/>
          <cell r="V946"/>
          <cell r="W946"/>
          <cell r="X946"/>
          <cell r="Y946"/>
          <cell r="Z946"/>
          <cell r="AA946"/>
          <cell r="AB946"/>
          <cell r="AC946"/>
          <cell r="AD946"/>
          <cell r="AE946"/>
          <cell r="AF946"/>
          <cell r="AG946"/>
          <cell r="AH946"/>
          <cell r="AI946"/>
          <cell r="AJ946"/>
          <cell r="AK946"/>
          <cell r="AL946"/>
          <cell r="AM946"/>
          <cell r="AN946"/>
          <cell r="AO946"/>
          <cell r="AP946"/>
          <cell r="AQ946"/>
          <cell r="AR946"/>
          <cell r="AS946"/>
          <cell r="AT946"/>
          <cell r="AU946"/>
          <cell r="AV946"/>
          <cell r="AW946"/>
          <cell r="AX946"/>
          <cell r="AY946"/>
          <cell r="AZ946"/>
        </row>
        <row r="947">
          <cell r="A947"/>
          <cell r="B947"/>
          <cell r="C947"/>
          <cell r="D947"/>
          <cell r="E947"/>
          <cell r="F947"/>
          <cell r="G947"/>
          <cell r="H947"/>
          <cell r="I947"/>
          <cell r="J947"/>
          <cell r="K947"/>
          <cell r="L947"/>
          <cell r="M947"/>
          <cell r="N947"/>
          <cell r="O947"/>
          <cell r="P947"/>
          <cell r="Q947"/>
          <cell r="R947"/>
          <cell r="S947"/>
          <cell r="T947"/>
          <cell r="U947"/>
          <cell r="V947"/>
          <cell r="W947"/>
          <cell r="X947"/>
          <cell r="Y947"/>
          <cell r="Z947"/>
          <cell r="AA947"/>
          <cell r="AB947"/>
          <cell r="AC947"/>
          <cell r="AD947"/>
          <cell r="AE947"/>
          <cell r="AF947"/>
          <cell r="AG947"/>
          <cell r="AH947"/>
          <cell r="AI947"/>
          <cell r="AJ947"/>
          <cell r="AK947"/>
          <cell r="AL947"/>
          <cell r="AM947"/>
          <cell r="AN947"/>
          <cell r="AO947"/>
          <cell r="AP947"/>
          <cell r="AQ947"/>
          <cell r="AR947"/>
          <cell r="AS947"/>
          <cell r="AT947"/>
          <cell r="AU947"/>
          <cell r="AV947"/>
          <cell r="AW947"/>
          <cell r="AX947"/>
          <cell r="AY947"/>
          <cell r="AZ947"/>
        </row>
        <row r="948">
          <cell r="A948"/>
          <cell r="B948"/>
          <cell r="C948"/>
          <cell r="D948"/>
          <cell r="E948"/>
          <cell r="F948"/>
          <cell r="G948"/>
          <cell r="H948"/>
          <cell r="I948"/>
          <cell r="J948"/>
          <cell r="K948"/>
          <cell r="L948"/>
          <cell r="M948"/>
          <cell r="N948"/>
          <cell r="O948"/>
          <cell r="P948"/>
          <cell r="Q948"/>
          <cell r="R948"/>
          <cell r="S948"/>
          <cell r="T948"/>
          <cell r="U948"/>
          <cell r="V948"/>
          <cell r="W948"/>
          <cell r="X948"/>
          <cell r="Y948"/>
          <cell r="Z948"/>
          <cell r="AA948"/>
          <cell r="AB948"/>
          <cell r="AC948"/>
          <cell r="AD948"/>
          <cell r="AE948"/>
          <cell r="AF948"/>
          <cell r="AG948"/>
          <cell r="AH948"/>
          <cell r="AI948"/>
          <cell r="AJ948"/>
          <cell r="AK948"/>
          <cell r="AL948"/>
          <cell r="AM948"/>
          <cell r="AN948"/>
          <cell r="AO948"/>
          <cell r="AP948"/>
          <cell r="AQ948"/>
          <cell r="AR948"/>
          <cell r="AS948"/>
          <cell r="AT948"/>
          <cell r="AU948"/>
          <cell r="AV948"/>
          <cell r="AW948"/>
          <cell r="AX948"/>
          <cell r="AY948"/>
          <cell r="AZ948"/>
        </row>
        <row r="949">
          <cell r="A949"/>
          <cell r="B949"/>
          <cell r="C949"/>
          <cell r="D949"/>
          <cell r="E949"/>
          <cell r="F949"/>
          <cell r="G949"/>
          <cell r="H949"/>
          <cell r="I949"/>
          <cell r="J949"/>
          <cell r="K949"/>
          <cell r="L949"/>
          <cell r="M949"/>
          <cell r="N949"/>
          <cell r="O949"/>
          <cell r="P949"/>
          <cell r="Q949"/>
          <cell r="R949"/>
          <cell r="S949"/>
          <cell r="T949"/>
          <cell r="U949"/>
          <cell r="V949"/>
          <cell r="W949"/>
          <cell r="X949"/>
          <cell r="Y949"/>
          <cell r="Z949"/>
          <cell r="AA949"/>
          <cell r="AB949"/>
          <cell r="AC949"/>
          <cell r="AD949"/>
          <cell r="AE949"/>
          <cell r="AF949"/>
          <cell r="AG949"/>
          <cell r="AH949"/>
          <cell r="AI949"/>
          <cell r="AJ949"/>
          <cell r="AK949"/>
          <cell r="AL949"/>
          <cell r="AM949"/>
          <cell r="AN949"/>
          <cell r="AO949"/>
          <cell r="AP949"/>
          <cell r="AQ949"/>
          <cell r="AR949"/>
          <cell r="AS949"/>
          <cell r="AT949"/>
          <cell r="AU949"/>
          <cell r="AV949"/>
          <cell r="AW949"/>
          <cell r="AX949"/>
          <cell r="AY949"/>
          <cell r="AZ949"/>
        </row>
        <row r="950">
          <cell r="A950"/>
          <cell r="B950"/>
          <cell r="C950"/>
          <cell r="D950"/>
          <cell r="E950"/>
          <cell r="F950"/>
          <cell r="G950"/>
          <cell r="H950"/>
          <cell r="I950"/>
          <cell r="J950"/>
          <cell r="K950"/>
          <cell r="L950"/>
          <cell r="M950"/>
          <cell r="N950"/>
          <cell r="O950"/>
          <cell r="P950"/>
          <cell r="Q950"/>
          <cell r="R950"/>
          <cell r="S950"/>
          <cell r="T950"/>
          <cell r="U950"/>
          <cell r="V950"/>
          <cell r="W950"/>
          <cell r="X950"/>
          <cell r="Y950"/>
          <cell r="Z950"/>
          <cell r="AA950"/>
          <cell r="AB950"/>
          <cell r="AC950"/>
          <cell r="AD950"/>
          <cell r="AE950"/>
          <cell r="AF950"/>
          <cell r="AG950"/>
          <cell r="AH950"/>
          <cell r="AI950"/>
          <cell r="AJ950"/>
          <cell r="AK950"/>
          <cell r="AL950"/>
          <cell r="AM950"/>
          <cell r="AN950"/>
          <cell r="AO950"/>
          <cell r="AP950"/>
          <cell r="AQ950"/>
          <cell r="AR950"/>
          <cell r="AS950"/>
          <cell r="AT950"/>
          <cell r="AU950"/>
          <cell r="AV950"/>
          <cell r="AW950"/>
          <cell r="AX950"/>
          <cell r="AY950"/>
          <cell r="AZ950"/>
        </row>
        <row r="951">
          <cell r="A951"/>
          <cell r="B951"/>
          <cell r="C951"/>
          <cell r="D951"/>
          <cell r="E951"/>
          <cell r="F951"/>
          <cell r="G951"/>
          <cell r="H951"/>
          <cell r="I951"/>
          <cell r="J951"/>
          <cell r="K951"/>
          <cell r="L951"/>
          <cell r="M951"/>
          <cell r="N951"/>
          <cell r="O951"/>
          <cell r="P951"/>
          <cell r="Q951"/>
          <cell r="R951"/>
          <cell r="S951"/>
          <cell r="T951"/>
          <cell r="U951"/>
          <cell r="V951"/>
          <cell r="W951"/>
          <cell r="X951"/>
          <cell r="Y951"/>
          <cell r="Z951"/>
          <cell r="AA951"/>
          <cell r="AB951"/>
          <cell r="AC951"/>
          <cell r="AD951"/>
          <cell r="AE951"/>
          <cell r="AF951"/>
          <cell r="AG951"/>
          <cell r="AH951"/>
          <cell r="AI951"/>
          <cell r="AJ951"/>
          <cell r="AK951"/>
          <cell r="AL951"/>
          <cell r="AM951"/>
          <cell r="AN951"/>
          <cell r="AO951"/>
          <cell r="AP951"/>
          <cell r="AQ951"/>
          <cell r="AR951"/>
          <cell r="AS951"/>
          <cell r="AT951"/>
          <cell r="AU951"/>
          <cell r="AV951"/>
          <cell r="AW951"/>
          <cell r="AX951"/>
          <cell r="AY951"/>
          <cell r="AZ951"/>
        </row>
        <row r="952">
          <cell r="A952"/>
          <cell r="B952"/>
          <cell r="C952"/>
          <cell r="D952"/>
          <cell r="E952"/>
          <cell r="F952"/>
          <cell r="G952"/>
          <cell r="H952"/>
          <cell r="I952"/>
          <cell r="J952"/>
          <cell r="K952"/>
          <cell r="L952"/>
          <cell r="M952"/>
          <cell r="N952"/>
          <cell r="O952"/>
          <cell r="P952"/>
          <cell r="Q952"/>
          <cell r="R952"/>
          <cell r="S952"/>
          <cell r="T952"/>
          <cell r="U952"/>
          <cell r="V952"/>
          <cell r="W952"/>
          <cell r="X952"/>
          <cell r="Y952"/>
          <cell r="Z952"/>
          <cell r="AA952"/>
          <cell r="AB952"/>
          <cell r="AC952"/>
          <cell r="AD952"/>
          <cell r="AE952"/>
          <cell r="AF952"/>
          <cell r="AG952"/>
          <cell r="AH952"/>
          <cell r="AI952"/>
          <cell r="AJ952"/>
          <cell r="AK952"/>
          <cell r="AL952"/>
          <cell r="AM952"/>
          <cell r="AN952"/>
          <cell r="AO952"/>
          <cell r="AP952"/>
          <cell r="AQ952"/>
          <cell r="AR952"/>
          <cell r="AS952"/>
          <cell r="AT952"/>
          <cell r="AU952"/>
          <cell r="AV952"/>
          <cell r="AW952"/>
          <cell r="AX952"/>
          <cell r="AY952"/>
          <cell r="AZ952"/>
        </row>
        <row r="953">
          <cell r="A953"/>
          <cell r="B953"/>
          <cell r="C953"/>
          <cell r="D953"/>
          <cell r="E953"/>
          <cell r="F953"/>
          <cell r="G953"/>
          <cell r="H953"/>
          <cell r="I953"/>
          <cell r="J953"/>
          <cell r="K953"/>
          <cell r="L953"/>
          <cell r="M953"/>
          <cell r="N953"/>
          <cell r="O953"/>
          <cell r="P953"/>
          <cell r="Q953"/>
          <cell r="R953"/>
          <cell r="S953"/>
          <cell r="T953"/>
          <cell r="U953"/>
          <cell r="V953"/>
          <cell r="W953"/>
          <cell r="X953"/>
          <cell r="Y953"/>
          <cell r="Z953"/>
          <cell r="AA953"/>
          <cell r="AB953"/>
          <cell r="AC953"/>
          <cell r="AD953"/>
          <cell r="AE953"/>
          <cell r="AF953"/>
          <cell r="AG953"/>
          <cell r="AH953"/>
          <cell r="AI953"/>
          <cell r="AJ953"/>
          <cell r="AK953"/>
          <cell r="AL953"/>
          <cell r="AM953"/>
          <cell r="AN953"/>
          <cell r="AO953"/>
          <cell r="AP953"/>
          <cell r="AQ953"/>
          <cell r="AR953"/>
          <cell r="AS953"/>
          <cell r="AT953"/>
          <cell r="AU953"/>
          <cell r="AV953"/>
          <cell r="AW953"/>
          <cell r="AX953"/>
          <cell r="AY953"/>
          <cell r="AZ953"/>
        </row>
        <row r="954">
          <cell r="A954"/>
          <cell r="B954"/>
          <cell r="C954"/>
          <cell r="D954"/>
          <cell r="E954"/>
          <cell r="F954"/>
          <cell r="G954"/>
          <cell r="H954"/>
          <cell r="I954"/>
          <cell r="J954"/>
          <cell r="K954"/>
          <cell r="L954"/>
          <cell r="M954"/>
          <cell r="N954"/>
          <cell r="O954"/>
          <cell r="P954"/>
          <cell r="Q954"/>
          <cell r="R954"/>
          <cell r="S954"/>
          <cell r="T954"/>
          <cell r="U954"/>
          <cell r="V954"/>
          <cell r="W954"/>
          <cell r="X954"/>
          <cell r="Y954"/>
          <cell r="Z954"/>
          <cell r="AA954"/>
          <cell r="AB954"/>
          <cell r="AC954"/>
          <cell r="AD954"/>
          <cell r="AE954"/>
          <cell r="AF954"/>
          <cell r="AG954"/>
          <cell r="AH954"/>
          <cell r="AI954"/>
          <cell r="AJ954"/>
          <cell r="AK954"/>
          <cell r="AL954"/>
          <cell r="AM954"/>
          <cell r="AN954"/>
          <cell r="AO954"/>
          <cell r="AP954"/>
          <cell r="AQ954"/>
          <cell r="AR954"/>
          <cell r="AS954"/>
          <cell r="AT954"/>
          <cell r="AU954"/>
          <cell r="AV954"/>
          <cell r="AW954"/>
          <cell r="AX954"/>
          <cell r="AY954"/>
          <cell r="AZ954"/>
        </row>
        <row r="955">
          <cell r="A955"/>
          <cell r="B955"/>
          <cell r="C955"/>
          <cell r="D955"/>
          <cell r="E955"/>
          <cell r="F955"/>
          <cell r="G955"/>
          <cell r="H955"/>
          <cell r="I955"/>
          <cell r="J955"/>
          <cell r="K955"/>
          <cell r="L955"/>
          <cell r="M955"/>
          <cell r="N955"/>
          <cell r="O955"/>
          <cell r="P955"/>
          <cell r="Q955"/>
          <cell r="R955"/>
          <cell r="S955"/>
          <cell r="T955"/>
          <cell r="U955"/>
          <cell r="V955"/>
          <cell r="W955"/>
          <cell r="X955"/>
          <cell r="Y955"/>
          <cell r="Z955"/>
          <cell r="AA955"/>
          <cell r="AB955"/>
          <cell r="AC955"/>
          <cell r="AD955"/>
          <cell r="AE955"/>
          <cell r="AF955"/>
          <cell r="AG955"/>
          <cell r="AH955"/>
          <cell r="AI955"/>
          <cell r="AJ955"/>
          <cell r="AK955"/>
          <cell r="AL955"/>
          <cell r="AM955"/>
          <cell r="AN955"/>
          <cell r="AO955"/>
          <cell r="AP955"/>
          <cell r="AQ955"/>
          <cell r="AR955"/>
          <cell r="AS955"/>
          <cell r="AT955"/>
          <cell r="AU955"/>
          <cell r="AV955"/>
          <cell r="AW955"/>
          <cell r="AX955"/>
          <cell r="AY955"/>
          <cell r="AZ955"/>
        </row>
        <row r="956">
          <cell r="A956"/>
          <cell r="B956"/>
          <cell r="C956"/>
          <cell r="D956"/>
          <cell r="E956"/>
          <cell r="F956"/>
          <cell r="G956"/>
          <cell r="H956"/>
          <cell r="I956"/>
          <cell r="J956"/>
          <cell r="K956"/>
          <cell r="L956"/>
          <cell r="M956"/>
          <cell r="N956"/>
          <cell r="O956"/>
          <cell r="P956"/>
          <cell r="Q956"/>
          <cell r="R956"/>
          <cell r="S956"/>
          <cell r="T956"/>
          <cell r="U956"/>
          <cell r="V956"/>
          <cell r="W956"/>
          <cell r="X956"/>
          <cell r="Y956"/>
          <cell r="Z956"/>
          <cell r="AA956"/>
          <cell r="AB956"/>
          <cell r="AC956"/>
          <cell r="AD956"/>
          <cell r="AE956"/>
          <cell r="AF956"/>
          <cell r="AG956"/>
          <cell r="AH956"/>
          <cell r="AI956"/>
          <cell r="AJ956"/>
          <cell r="AK956"/>
          <cell r="AL956"/>
          <cell r="AM956"/>
          <cell r="AN956"/>
          <cell r="AO956"/>
          <cell r="AP956"/>
          <cell r="AQ956"/>
          <cell r="AR956"/>
          <cell r="AS956"/>
          <cell r="AT956"/>
          <cell r="AU956"/>
          <cell r="AV956"/>
          <cell r="AW956"/>
          <cell r="AX956"/>
          <cell r="AY956"/>
          <cell r="AZ956"/>
        </row>
        <row r="957">
          <cell r="A957"/>
          <cell r="B957"/>
          <cell r="C957"/>
          <cell r="D957"/>
          <cell r="E957"/>
          <cell r="F957"/>
          <cell r="G957"/>
          <cell r="H957"/>
          <cell r="I957"/>
          <cell r="J957"/>
          <cell r="K957"/>
          <cell r="L957"/>
          <cell r="M957"/>
          <cell r="N957"/>
          <cell r="O957"/>
          <cell r="P957"/>
          <cell r="Q957"/>
          <cell r="R957"/>
          <cell r="S957"/>
          <cell r="T957"/>
          <cell r="U957"/>
          <cell r="V957"/>
          <cell r="W957"/>
          <cell r="X957"/>
          <cell r="Y957"/>
          <cell r="Z957"/>
          <cell r="AA957"/>
          <cell r="AB957"/>
          <cell r="AC957"/>
          <cell r="AD957"/>
          <cell r="AE957"/>
          <cell r="AF957"/>
          <cell r="AG957"/>
          <cell r="AH957"/>
          <cell r="AI957"/>
          <cell r="AJ957"/>
          <cell r="AK957"/>
          <cell r="AL957"/>
          <cell r="AM957"/>
          <cell r="AN957"/>
          <cell r="AO957"/>
          <cell r="AP957"/>
          <cell r="AQ957"/>
          <cell r="AR957"/>
          <cell r="AS957"/>
          <cell r="AT957"/>
          <cell r="AU957"/>
          <cell r="AV957"/>
          <cell r="AW957"/>
          <cell r="AX957"/>
          <cell r="AY957"/>
          <cell r="AZ957"/>
        </row>
        <row r="958">
          <cell r="A958"/>
          <cell r="B958"/>
          <cell r="C958"/>
          <cell r="D958"/>
          <cell r="E958"/>
          <cell r="F958"/>
          <cell r="G958"/>
          <cell r="H958"/>
          <cell r="I958"/>
          <cell r="J958"/>
          <cell r="K958"/>
          <cell r="L958"/>
          <cell r="M958"/>
          <cell r="N958"/>
          <cell r="O958"/>
          <cell r="P958"/>
          <cell r="Q958"/>
          <cell r="R958"/>
          <cell r="S958"/>
          <cell r="T958"/>
          <cell r="U958"/>
          <cell r="V958"/>
          <cell r="W958"/>
          <cell r="X958"/>
          <cell r="Y958"/>
          <cell r="Z958"/>
          <cell r="AA958"/>
          <cell r="AB958"/>
          <cell r="AC958"/>
          <cell r="AD958"/>
          <cell r="AE958"/>
          <cell r="AF958"/>
          <cell r="AG958"/>
          <cell r="AH958"/>
          <cell r="AI958"/>
          <cell r="AJ958"/>
          <cell r="AK958"/>
          <cell r="AL958"/>
          <cell r="AM958"/>
          <cell r="AN958"/>
          <cell r="AO958"/>
          <cell r="AP958"/>
          <cell r="AQ958"/>
          <cell r="AR958"/>
          <cell r="AS958"/>
          <cell r="AT958"/>
          <cell r="AU958"/>
          <cell r="AV958"/>
          <cell r="AW958"/>
          <cell r="AX958"/>
          <cell r="AY958"/>
          <cell r="AZ958"/>
        </row>
        <row r="959">
          <cell r="A959"/>
          <cell r="B959"/>
          <cell r="C959"/>
          <cell r="D959"/>
          <cell r="E959"/>
          <cell r="F959"/>
          <cell r="G959"/>
          <cell r="H959"/>
          <cell r="I959"/>
          <cell r="J959"/>
          <cell r="K959"/>
          <cell r="L959"/>
          <cell r="M959"/>
          <cell r="N959"/>
          <cell r="O959"/>
          <cell r="P959"/>
          <cell r="Q959"/>
          <cell r="R959"/>
          <cell r="S959"/>
          <cell r="T959"/>
          <cell r="U959"/>
          <cell r="V959"/>
          <cell r="W959"/>
          <cell r="X959"/>
          <cell r="Y959"/>
          <cell r="Z959"/>
          <cell r="AA959"/>
          <cell r="AB959"/>
          <cell r="AC959"/>
          <cell r="AD959"/>
          <cell r="AE959"/>
          <cell r="AF959"/>
          <cell r="AG959"/>
          <cell r="AH959"/>
          <cell r="AI959"/>
          <cell r="AJ959"/>
          <cell r="AK959"/>
          <cell r="AL959"/>
          <cell r="AM959"/>
          <cell r="AN959"/>
          <cell r="AO959"/>
          <cell r="AP959"/>
          <cell r="AQ959"/>
          <cell r="AR959"/>
          <cell r="AS959"/>
          <cell r="AT959"/>
          <cell r="AU959"/>
          <cell r="AV959"/>
          <cell r="AW959"/>
          <cell r="AX959"/>
          <cell r="AY959"/>
          <cell r="AZ959"/>
        </row>
        <row r="960">
          <cell r="A960"/>
          <cell r="B960"/>
          <cell r="C960"/>
          <cell r="D960"/>
          <cell r="E960"/>
          <cell r="F960"/>
          <cell r="G960"/>
          <cell r="H960"/>
          <cell r="I960"/>
          <cell r="J960"/>
          <cell r="K960"/>
          <cell r="L960"/>
          <cell r="M960"/>
          <cell r="N960"/>
          <cell r="O960"/>
          <cell r="P960"/>
          <cell r="Q960"/>
          <cell r="R960"/>
          <cell r="S960"/>
          <cell r="T960"/>
          <cell r="U960"/>
          <cell r="V960"/>
          <cell r="W960"/>
          <cell r="X960"/>
          <cell r="Y960"/>
          <cell r="Z960"/>
          <cell r="AA960"/>
          <cell r="AB960"/>
          <cell r="AC960"/>
          <cell r="AD960"/>
          <cell r="AE960"/>
          <cell r="AF960"/>
          <cell r="AG960"/>
          <cell r="AH960"/>
          <cell r="AI960"/>
          <cell r="AJ960"/>
          <cell r="AK960"/>
          <cell r="AL960"/>
          <cell r="AM960"/>
          <cell r="AN960"/>
          <cell r="AO960"/>
          <cell r="AP960"/>
          <cell r="AQ960"/>
          <cell r="AR960"/>
          <cell r="AS960"/>
          <cell r="AT960"/>
          <cell r="AU960"/>
          <cell r="AV960"/>
          <cell r="AW960"/>
          <cell r="AX960"/>
          <cell r="AY960"/>
          <cell r="AZ960"/>
        </row>
        <row r="961">
          <cell r="A961"/>
          <cell r="B961"/>
          <cell r="C961"/>
          <cell r="D961"/>
          <cell r="E961"/>
          <cell r="F961"/>
          <cell r="G961"/>
          <cell r="H961"/>
          <cell r="I961"/>
          <cell r="J961"/>
          <cell r="K961"/>
          <cell r="L961"/>
          <cell r="M961"/>
          <cell r="N961"/>
          <cell r="O961"/>
          <cell r="P961"/>
          <cell r="Q961"/>
          <cell r="R961"/>
          <cell r="S961"/>
          <cell r="T961"/>
          <cell r="U961"/>
          <cell r="V961"/>
          <cell r="W961"/>
          <cell r="X961"/>
          <cell r="Y961"/>
          <cell r="Z961"/>
          <cell r="AA961"/>
          <cell r="AB961"/>
          <cell r="AC961"/>
          <cell r="AD961"/>
          <cell r="AE961"/>
          <cell r="AF961"/>
          <cell r="AG961"/>
          <cell r="AH961"/>
          <cell r="AI961"/>
          <cell r="AJ961"/>
          <cell r="AK961"/>
          <cell r="AL961"/>
          <cell r="AM961"/>
          <cell r="AN961"/>
          <cell r="AO961"/>
          <cell r="AP961"/>
          <cell r="AQ961"/>
          <cell r="AR961"/>
          <cell r="AS961"/>
          <cell r="AT961"/>
          <cell r="AU961"/>
          <cell r="AV961"/>
          <cell r="AW961"/>
          <cell r="AX961"/>
          <cell r="AY961"/>
          <cell r="AZ961"/>
        </row>
        <row r="962">
          <cell r="A962"/>
          <cell r="B962"/>
          <cell r="C962"/>
          <cell r="D962"/>
          <cell r="E962"/>
          <cell r="F962"/>
          <cell r="G962"/>
          <cell r="H962"/>
          <cell r="I962"/>
          <cell r="J962"/>
          <cell r="K962"/>
          <cell r="L962"/>
          <cell r="M962"/>
          <cell r="N962"/>
          <cell r="O962"/>
          <cell r="P962"/>
          <cell r="Q962"/>
          <cell r="R962"/>
          <cell r="S962"/>
          <cell r="T962"/>
          <cell r="U962"/>
          <cell r="V962"/>
          <cell r="W962"/>
          <cell r="X962"/>
          <cell r="Y962"/>
          <cell r="Z962"/>
          <cell r="AA962"/>
          <cell r="AB962"/>
          <cell r="AC962"/>
          <cell r="AD962"/>
          <cell r="AE962"/>
          <cell r="AF962"/>
          <cell r="AG962"/>
          <cell r="AH962"/>
          <cell r="AI962"/>
          <cell r="AJ962"/>
          <cell r="AK962"/>
          <cell r="AL962"/>
          <cell r="AM962"/>
          <cell r="AN962"/>
          <cell r="AO962"/>
          <cell r="AP962"/>
          <cell r="AQ962"/>
          <cell r="AR962"/>
          <cell r="AS962"/>
          <cell r="AT962"/>
          <cell r="AU962"/>
          <cell r="AV962"/>
          <cell r="AW962"/>
          <cell r="AX962"/>
          <cell r="AY962"/>
          <cell r="AZ962"/>
        </row>
        <row r="963">
          <cell r="A963"/>
          <cell r="B963"/>
          <cell r="C963"/>
          <cell r="D963"/>
          <cell r="E963"/>
          <cell r="F963"/>
          <cell r="G963"/>
          <cell r="H963"/>
          <cell r="I963"/>
          <cell r="J963"/>
          <cell r="K963"/>
          <cell r="L963"/>
          <cell r="M963"/>
          <cell r="N963"/>
          <cell r="O963"/>
          <cell r="P963"/>
          <cell r="Q963"/>
          <cell r="R963"/>
          <cell r="S963"/>
          <cell r="T963"/>
          <cell r="U963"/>
          <cell r="V963"/>
          <cell r="W963"/>
          <cell r="X963"/>
          <cell r="Y963"/>
          <cell r="Z963"/>
          <cell r="AA963"/>
          <cell r="AB963"/>
          <cell r="AC963"/>
          <cell r="AD963"/>
          <cell r="AE963"/>
          <cell r="AF963"/>
          <cell r="AG963"/>
          <cell r="AH963"/>
          <cell r="AI963"/>
          <cell r="AJ963"/>
          <cell r="AK963"/>
          <cell r="AL963"/>
          <cell r="AM963"/>
          <cell r="AN963"/>
          <cell r="AO963"/>
          <cell r="AP963"/>
          <cell r="AQ963"/>
          <cell r="AR963"/>
          <cell r="AS963"/>
          <cell r="AT963"/>
          <cell r="AU963"/>
          <cell r="AV963"/>
          <cell r="AW963"/>
          <cell r="AX963"/>
          <cell r="AY963"/>
          <cell r="AZ963"/>
        </row>
        <row r="964">
          <cell r="A964"/>
          <cell r="B964"/>
          <cell r="C964"/>
          <cell r="D964"/>
          <cell r="E964"/>
          <cell r="F964"/>
          <cell r="G964"/>
          <cell r="H964"/>
          <cell r="I964"/>
          <cell r="J964"/>
          <cell r="K964"/>
          <cell r="L964"/>
          <cell r="M964"/>
          <cell r="N964"/>
          <cell r="O964"/>
          <cell r="P964"/>
          <cell r="Q964"/>
          <cell r="R964"/>
          <cell r="S964"/>
          <cell r="T964"/>
          <cell r="U964"/>
          <cell r="V964"/>
          <cell r="W964"/>
          <cell r="X964"/>
          <cell r="Y964"/>
          <cell r="Z964"/>
          <cell r="AA964"/>
          <cell r="AB964"/>
          <cell r="AC964"/>
          <cell r="AD964"/>
          <cell r="AE964"/>
          <cell r="AF964"/>
          <cell r="AG964"/>
          <cell r="AH964"/>
          <cell r="AI964"/>
          <cell r="AJ964"/>
          <cell r="AK964"/>
          <cell r="AL964"/>
          <cell r="AM964"/>
          <cell r="AN964"/>
          <cell r="AO964"/>
          <cell r="AP964"/>
          <cell r="AQ964"/>
          <cell r="AR964"/>
          <cell r="AS964"/>
          <cell r="AT964"/>
          <cell r="AU964"/>
          <cell r="AV964"/>
          <cell r="AW964"/>
          <cell r="AX964"/>
          <cell r="AY964"/>
          <cell r="AZ964"/>
        </row>
        <row r="965">
          <cell r="A965"/>
          <cell r="B965"/>
          <cell r="C965"/>
          <cell r="D965"/>
          <cell r="E965"/>
          <cell r="F965"/>
          <cell r="G965"/>
          <cell r="H965"/>
          <cell r="I965"/>
          <cell r="J965"/>
          <cell r="K965"/>
          <cell r="L965"/>
          <cell r="M965"/>
          <cell r="N965"/>
          <cell r="O965"/>
          <cell r="P965"/>
          <cell r="Q965"/>
          <cell r="R965"/>
          <cell r="S965"/>
          <cell r="T965"/>
          <cell r="U965"/>
          <cell r="V965"/>
          <cell r="W965"/>
          <cell r="X965"/>
          <cell r="Y965"/>
          <cell r="Z965"/>
          <cell r="AA965"/>
          <cell r="AB965"/>
          <cell r="AC965"/>
          <cell r="AD965"/>
          <cell r="AE965"/>
          <cell r="AF965"/>
          <cell r="AG965"/>
          <cell r="AH965"/>
          <cell r="AI965"/>
          <cell r="AJ965"/>
          <cell r="AK965"/>
          <cell r="AL965"/>
          <cell r="AM965"/>
          <cell r="AN965"/>
          <cell r="AO965"/>
          <cell r="AP965"/>
          <cell r="AQ965"/>
          <cell r="AR965"/>
          <cell r="AS965"/>
          <cell r="AT965"/>
          <cell r="AU965"/>
          <cell r="AV965"/>
          <cell r="AW965"/>
          <cell r="AX965"/>
          <cell r="AY965"/>
          <cell r="AZ965"/>
        </row>
        <row r="966">
          <cell r="A966"/>
          <cell r="B966"/>
          <cell r="C966"/>
          <cell r="D966"/>
          <cell r="E966"/>
          <cell r="F966"/>
          <cell r="G966"/>
          <cell r="H966"/>
          <cell r="I966"/>
          <cell r="J966"/>
          <cell r="K966"/>
          <cell r="L966"/>
          <cell r="M966"/>
          <cell r="N966"/>
          <cell r="O966"/>
          <cell r="P966"/>
          <cell r="Q966"/>
          <cell r="R966"/>
          <cell r="S966"/>
          <cell r="T966"/>
          <cell r="U966"/>
          <cell r="V966"/>
          <cell r="W966"/>
          <cell r="X966"/>
          <cell r="Y966"/>
          <cell r="Z966"/>
          <cell r="AA966"/>
          <cell r="AB966"/>
          <cell r="AC966"/>
          <cell r="AD966"/>
          <cell r="AE966"/>
          <cell r="AF966"/>
          <cell r="AG966"/>
          <cell r="AH966"/>
          <cell r="AI966"/>
          <cell r="AJ966"/>
          <cell r="AK966"/>
          <cell r="AL966"/>
          <cell r="AM966"/>
          <cell r="AN966"/>
          <cell r="AO966"/>
          <cell r="AP966"/>
          <cell r="AQ966"/>
          <cell r="AR966"/>
          <cell r="AS966"/>
          <cell r="AT966"/>
          <cell r="AU966"/>
          <cell r="AV966"/>
          <cell r="AW966"/>
          <cell r="AX966"/>
          <cell r="AY966"/>
          <cell r="AZ966"/>
        </row>
        <row r="967">
          <cell r="A967"/>
          <cell r="B967"/>
          <cell r="C967"/>
          <cell r="D967"/>
          <cell r="E967"/>
          <cell r="F967"/>
          <cell r="G967"/>
          <cell r="H967"/>
          <cell r="I967"/>
          <cell r="J967"/>
          <cell r="K967"/>
          <cell r="L967"/>
          <cell r="M967"/>
          <cell r="N967"/>
          <cell r="O967"/>
          <cell r="P967"/>
          <cell r="Q967"/>
          <cell r="R967"/>
          <cell r="S967"/>
          <cell r="T967"/>
          <cell r="U967"/>
          <cell r="V967"/>
          <cell r="W967"/>
          <cell r="X967"/>
          <cell r="Y967"/>
          <cell r="Z967"/>
          <cell r="AA967"/>
          <cell r="AB967"/>
          <cell r="AC967"/>
          <cell r="AD967"/>
          <cell r="AE967"/>
          <cell r="AF967"/>
          <cell r="AG967"/>
          <cell r="AH967"/>
          <cell r="AI967"/>
          <cell r="AJ967"/>
          <cell r="AK967"/>
          <cell r="AL967"/>
          <cell r="AM967"/>
          <cell r="AN967"/>
          <cell r="AO967"/>
          <cell r="AP967"/>
          <cell r="AQ967"/>
          <cell r="AR967"/>
          <cell r="AS967"/>
          <cell r="AT967"/>
          <cell r="AU967"/>
          <cell r="AV967"/>
          <cell r="AW967"/>
          <cell r="AX967"/>
          <cell r="AY967"/>
          <cell r="AZ967"/>
        </row>
        <row r="968">
          <cell r="A968"/>
          <cell r="B968"/>
          <cell r="C968"/>
          <cell r="D968"/>
          <cell r="E968"/>
          <cell r="F968"/>
          <cell r="G968"/>
          <cell r="H968"/>
          <cell r="I968"/>
          <cell r="J968"/>
          <cell r="K968"/>
          <cell r="L968"/>
          <cell r="M968"/>
          <cell r="N968"/>
          <cell r="O968"/>
          <cell r="P968"/>
          <cell r="Q968"/>
          <cell r="R968"/>
          <cell r="S968"/>
          <cell r="T968"/>
          <cell r="U968"/>
          <cell r="V968"/>
          <cell r="W968"/>
          <cell r="X968"/>
          <cell r="Y968"/>
          <cell r="Z968"/>
          <cell r="AA968"/>
          <cell r="AB968"/>
          <cell r="AC968"/>
          <cell r="AD968"/>
          <cell r="AE968"/>
          <cell r="AF968"/>
          <cell r="AG968"/>
          <cell r="AH968"/>
          <cell r="AI968"/>
          <cell r="AJ968"/>
          <cell r="AK968"/>
          <cell r="AL968"/>
          <cell r="AM968"/>
          <cell r="AN968"/>
          <cell r="AO968"/>
          <cell r="AP968"/>
          <cell r="AQ968"/>
          <cell r="AR968"/>
          <cell r="AS968"/>
          <cell r="AT968"/>
          <cell r="AU968"/>
          <cell r="AV968"/>
          <cell r="AW968"/>
          <cell r="AX968"/>
          <cell r="AY968"/>
          <cell r="AZ968"/>
        </row>
        <row r="969">
          <cell r="A969"/>
          <cell r="B969"/>
          <cell r="C969"/>
          <cell r="D969"/>
          <cell r="E969"/>
          <cell r="F969"/>
          <cell r="G969"/>
          <cell r="H969"/>
          <cell r="I969"/>
          <cell r="J969"/>
          <cell r="K969"/>
          <cell r="L969"/>
          <cell r="M969"/>
          <cell r="N969"/>
          <cell r="O969"/>
          <cell r="P969"/>
          <cell r="Q969"/>
          <cell r="R969"/>
          <cell r="S969"/>
          <cell r="T969"/>
          <cell r="U969"/>
          <cell r="V969"/>
          <cell r="W969"/>
          <cell r="X969"/>
          <cell r="Y969"/>
          <cell r="Z969"/>
          <cell r="AA969"/>
          <cell r="AB969"/>
          <cell r="AC969"/>
          <cell r="AD969"/>
          <cell r="AE969"/>
          <cell r="AF969"/>
          <cell r="AG969"/>
          <cell r="AH969"/>
          <cell r="AI969"/>
          <cell r="AJ969"/>
          <cell r="AK969"/>
          <cell r="AL969"/>
          <cell r="AM969"/>
          <cell r="AN969"/>
          <cell r="AO969"/>
          <cell r="AP969"/>
          <cell r="AQ969"/>
          <cell r="AR969"/>
          <cell r="AS969"/>
          <cell r="AT969"/>
          <cell r="AU969"/>
          <cell r="AV969"/>
          <cell r="AW969"/>
          <cell r="AX969"/>
          <cell r="AY969"/>
          <cell r="AZ969"/>
        </row>
        <row r="970">
          <cell r="A970"/>
          <cell r="B970"/>
          <cell r="C970"/>
          <cell r="D970"/>
          <cell r="E970"/>
          <cell r="F970"/>
          <cell r="G970"/>
          <cell r="H970"/>
          <cell r="I970"/>
          <cell r="J970"/>
          <cell r="K970"/>
          <cell r="L970"/>
          <cell r="M970"/>
          <cell r="N970"/>
          <cell r="O970"/>
          <cell r="P970"/>
          <cell r="Q970"/>
          <cell r="R970"/>
          <cell r="S970"/>
          <cell r="T970"/>
          <cell r="U970"/>
          <cell r="V970"/>
          <cell r="W970"/>
          <cell r="X970"/>
          <cell r="Y970"/>
          <cell r="Z970"/>
          <cell r="AA970"/>
          <cell r="AB970"/>
          <cell r="AC970"/>
          <cell r="AD970"/>
          <cell r="AE970"/>
          <cell r="AF970"/>
          <cell r="AG970"/>
          <cell r="AH970"/>
          <cell r="AI970"/>
          <cell r="AJ970"/>
          <cell r="AK970"/>
          <cell r="AL970"/>
          <cell r="AM970"/>
          <cell r="AN970"/>
          <cell r="AO970"/>
          <cell r="AP970"/>
          <cell r="AQ970"/>
          <cell r="AR970"/>
          <cell r="AS970"/>
          <cell r="AT970"/>
          <cell r="AU970"/>
          <cell r="AV970"/>
          <cell r="AW970"/>
          <cell r="AX970"/>
          <cell r="AY970"/>
          <cell r="AZ970"/>
        </row>
        <row r="971">
          <cell r="A971"/>
          <cell r="B971"/>
          <cell r="C971"/>
          <cell r="D971"/>
          <cell r="E971"/>
          <cell r="F971"/>
          <cell r="G971"/>
          <cell r="H971"/>
          <cell r="I971"/>
          <cell r="J971"/>
          <cell r="K971"/>
          <cell r="L971"/>
          <cell r="M971"/>
          <cell r="N971"/>
          <cell r="O971"/>
          <cell r="P971"/>
          <cell r="Q971"/>
          <cell r="R971"/>
          <cell r="S971"/>
          <cell r="T971"/>
          <cell r="U971"/>
          <cell r="V971"/>
          <cell r="W971"/>
          <cell r="X971"/>
          <cell r="Y971"/>
          <cell r="Z971"/>
          <cell r="AA971"/>
          <cell r="AB971"/>
          <cell r="AC971"/>
          <cell r="AD971"/>
          <cell r="AE971"/>
          <cell r="AF971"/>
          <cell r="AG971"/>
          <cell r="AH971"/>
          <cell r="AI971"/>
          <cell r="AJ971"/>
          <cell r="AK971"/>
          <cell r="AL971"/>
          <cell r="AM971"/>
          <cell r="AN971"/>
          <cell r="AO971"/>
          <cell r="AP971"/>
          <cell r="AQ971"/>
          <cell r="AR971"/>
          <cell r="AS971"/>
          <cell r="AT971"/>
          <cell r="AU971"/>
          <cell r="AV971"/>
          <cell r="AW971"/>
          <cell r="AX971"/>
          <cell r="AY971"/>
          <cell r="AZ971"/>
        </row>
        <row r="972">
          <cell r="A972"/>
          <cell r="B972"/>
          <cell r="C972"/>
          <cell r="D972"/>
          <cell r="E972"/>
          <cell r="F972"/>
          <cell r="G972"/>
          <cell r="H972"/>
          <cell r="I972"/>
          <cell r="J972"/>
          <cell r="K972"/>
          <cell r="L972"/>
          <cell r="M972"/>
          <cell r="N972"/>
          <cell r="O972"/>
          <cell r="P972"/>
          <cell r="Q972"/>
          <cell r="R972"/>
          <cell r="S972"/>
          <cell r="T972"/>
          <cell r="U972"/>
          <cell r="V972"/>
          <cell r="W972"/>
          <cell r="X972"/>
          <cell r="Y972"/>
          <cell r="Z972"/>
          <cell r="AA972"/>
          <cell r="AB972"/>
          <cell r="AC972"/>
          <cell r="AD972"/>
          <cell r="AE972"/>
          <cell r="AF972"/>
          <cell r="AG972"/>
          <cell r="AH972"/>
          <cell r="AI972"/>
          <cell r="AJ972"/>
          <cell r="AK972"/>
          <cell r="AL972"/>
          <cell r="AM972"/>
          <cell r="AN972"/>
          <cell r="AO972"/>
          <cell r="AP972"/>
          <cell r="AQ972"/>
          <cell r="AR972"/>
          <cell r="AS972"/>
          <cell r="AT972"/>
          <cell r="AU972"/>
          <cell r="AV972"/>
          <cell r="AW972"/>
          <cell r="AX972"/>
          <cell r="AY972"/>
          <cell r="AZ972"/>
        </row>
        <row r="973">
          <cell r="A973"/>
          <cell r="B973"/>
          <cell r="C973"/>
          <cell r="D973"/>
          <cell r="E973"/>
          <cell r="F973"/>
          <cell r="G973"/>
          <cell r="H973"/>
          <cell r="I973"/>
          <cell r="J973"/>
          <cell r="K973"/>
          <cell r="L973"/>
          <cell r="M973"/>
          <cell r="N973"/>
          <cell r="O973"/>
          <cell r="P973"/>
          <cell r="Q973"/>
          <cell r="R973"/>
          <cell r="S973"/>
          <cell r="T973"/>
          <cell r="U973"/>
          <cell r="V973"/>
          <cell r="W973"/>
          <cell r="X973"/>
          <cell r="Y973"/>
          <cell r="Z973"/>
          <cell r="AA973"/>
          <cell r="AB973"/>
          <cell r="AC973"/>
          <cell r="AD973"/>
          <cell r="AE973"/>
          <cell r="AF973"/>
          <cell r="AG973"/>
          <cell r="AH973"/>
          <cell r="AI973"/>
          <cell r="AJ973"/>
          <cell r="AK973"/>
          <cell r="AL973"/>
          <cell r="AM973"/>
          <cell r="AN973"/>
          <cell r="AO973"/>
          <cell r="AP973"/>
          <cell r="AQ973"/>
          <cell r="AR973"/>
          <cell r="AS973"/>
          <cell r="AT973"/>
          <cell r="AU973"/>
          <cell r="AV973"/>
          <cell r="AW973"/>
          <cell r="AX973"/>
          <cell r="AY973"/>
          <cell r="AZ973"/>
        </row>
        <row r="974">
          <cell r="A974"/>
          <cell r="B974"/>
          <cell r="C974"/>
          <cell r="D974"/>
          <cell r="E974"/>
          <cell r="F974"/>
          <cell r="G974"/>
          <cell r="H974"/>
          <cell r="I974"/>
          <cell r="J974"/>
          <cell r="K974"/>
          <cell r="L974"/>
          <cell r="M974"/>
          <cell r="N974"/>
          <cell r="O974"/>
          <cell r="P974"/>
          <cell r="Q974"/>
          <cell r="R974"/>
          <cell r="S974"/>
          <cell r="T974"/>
          <cell r="U974"/>
          <cell r="V974"/>
          <cell r="W974"/>
          <cell r="X974"/>
          <cell r="Y974"/>
          <cell r="Z974"/>
          <cell r="AA974"/>
          <cell r="AB974"/>
          <cell r="AC974"/>
          <cell r="AD974"/>
          <cell r="AE974"/>
          <cell r="AF974"/>
          <cell r="AG974"/>
          <cell r="AH974"/>
          <cell r="AI974"/>
          <cell r="AJ974"/>
          <cell r="AK974"/>
          <cell r="AL974"/>
          <cell r="AM974"/>
          <cell r="AN974"/>
          <cell r="AO974"/>
          <cell r="AP974"/>
          <cell r="AQ974"/>
          <cell r="AR974"/>
          <cell r="AS974"/>
          <cell r="AT974"/>
          <cell r="AU974"/>
          <cell r="AV974"/>
          <cell r="AW974"/>
          <cell r="AX974"/>
          <cell r="AY974"/>
          <cell r="AZ974"/>
        </row>
        <row r="975">
          <cell r="A975"/>
          <cell r="B975"/>
          <cell r="C975"/>
          <cell r="D975"/>
          <cell r="E975"/>
          <cell r="F975"/>
          <cell r="G975"/>
          <cell r="H975"/>
          <cell r="I975"/>
          <cell r="J975"/>
          <cell r="K975"/>
          <cell r="L975"/>
          <cell r="M975"/>
          <cell r="N975"/>
          <cell r="O975"/>
          <cell r="P975"/>
          <cell r="Q975"/>
          <cell r="R975"/>
          <cell r="S975"/>
          <cell r="T975"/>
          <cell r="U975"/>
          <cell r="V975"/>
          <cell r="W975"/>
          <cell r="X975"/>
          <cell r="Y975"/>
          <cell r="Z975"/>
          <cell r="AA975"/>
          <cell r="AB975"/>
          <cell r="AC975"/>
          <cell r="AD975"/>
          <cell r="AE975"/>
          <cell r="AF975"/>
          <cell r="AG975"/>
          <cell r="AH975"/>
          <cell r="AI975"/>
          <cell r="AJ975"/>
          <cell r="AK975"/>
          <cell r="AL975"/>
          <cell r="AM975"/>
          <cell r="AN975"/>
          <cell r="AO975"/>
          <cell r="AP975"/>
          <cell r="AQ975"/>
          <cell r="AR975"/>
          <cell r="AS975"/>
          <cell r="AT975"/>
          <cell r="AU975"/>
          <cell r="AV975"/>
          <cell r="AW975"/>
          <cell r="AX975"/>
          <cell r="AY975"/>
          <cell r="AZ975"/>
        </row>
        <row r="976">
          <cell r="A976"/>
          <cell r="B976"/>
          <cell r="C976"/>
          <cell r="D976"/>
          <cell r="E976"/>
          <cell r="F976"/>
          <cell r="G976"/>
          <cell r="H976"/>
          <cell r="I976"/>
          <cell r="J976"/>
          <cell r="K976"/>
          <cell r="L976"/>
          <cell r="M976"/>
          <cell r="N976"/>
          <cell r="O976"/>
          <cell r="P976"/>
          <cell r="Q976"/>
          <cell r="R976"/>
          <cell r="S976"/>
          <cell r="T976"/>
          <cell r="U976"/>
          <cell r="V976"/>
          <cell r="W976"/>
          <cell r="X976"/>
          <cell r="Y976"/>
          <cell r="Z976"/>
          <cell r="AA976"/>
          <cell r="AB976"/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/>
          <cell r="AS976"/>
          <cell r="AT976"/>
          <cell r="AU976"/>
          <cell r="AV976"/>
          <cell r="AW976"/>
          <cell r="AX976"/>
          <cell r="AY976"/>
          <cell r="AZ976"/>
        </row>
        <row r="977">
          <cell r="A977"/>
          <cell r="B977"/>
          <cell r="C977"/>
          <cell r="D977"/>
          <cell r="E977"/>
          <cell r="F977"/>
          <cell r="G977"/>
          <cell r="H977"/>
          <cell r="I977"/>
          <cell r="J977"/>
          <cell r="K977"/>
          <cell r="L977"/>
          <cell r="M977"/>
          <cell r="N977"/>
          <cell r="O977"/>
          <cell r="P977"/>
          <cell r="Q977"/>
          <cell r="R977"/>
          <cell r="S977"/>
          <cell r="T977"/>
          <cell r="U977"/>
          <cell r="V977"/>
          <cell r="W977"/>
          <cell r="X977"/>
          <cell r="Y977"/>
          <cell r="Z977"/>
          <cell r="AA977"/>
          <cell r="AB977"/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/>
          <cell r="AS977"/>
          <cell r="AT977"/>
          <cell r="AU977"/>
          <cell r="AV977"/>
          <cell r="AW977"/>
          <cell r="AX977"/>
          <cell r="AY977"/>
          <cell r="AZ977"/>
        </row>
        <row r="978">
          <cell r="A978"/>
          <cell r="B978"/>
          <cell r="C978"/>
          <cell r="D978"/>
          <cell r="E978"/>
          <cell r="F978"/>
          <cell r="G978"/>
          <cell r="H978"/>
          <cell r="I978"/>
          <cell r="J978"/>
          <cell r="K978"/>
          <cell r="L978"/>
          <cell r="M978"/>
          <cell r="N978"/>
          <cell r="O978"/>
          <cell r="P978"/>
          <cell r="Q978"/>
          <cell r="R978"/>
          <cell r="S978"/>
          <cell r="T978"/>
          <cell r="U978"/>
          <cell r="V978"/>
          <cell r="W978"/>
          <cell r="X978"/>
          <cell r="Y978"/>
          <cell r="Z978"/>
          <cell r="AA978"/>
          <cell r="AB978"/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/>
          <cell r="AS978"/>
          <cell r="AT978"/>
          <cell r="AU978"/>
          <cell r="AV978"/>
          <cell r="AW978"/>
          <cell r="AX978"/>
          <cell r="AY978"/>
          <cell r="AZ978"/>
        </row>
        <row r="979">
          <cell r="A979"/>
          <cell r="B979"/>
          <cell r="C979"/>
          <cell r="D979"/>
          <cell r="E979"/>
          <cell r="F979"/>
          <cell r="G979"/>
          <cell r="H979"/>
          <cell r="I979"/>
          <cell r="J979"/>
          <cell r="K979"/>
          <cell r="L979"/>
          <cell r="M979"/>
          <cell r="N979"/>
          <cell r="O979"/>
          <cell r="P979"/>
          <cell r="Q979"/>
          <cell r="R979"/>
          <cell r="S979"/>
          <cell r="T979"/>
          <cell r="U979"/>
          <cell r="V979"/>
          <cell r="W979"/>
          <cell r="X979"/>
          <cell r="Y979"/>
          <cell r="Z979"/>
          <cell r="AA979"/>
          <cell r="AB979"/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/>
          <cell r="AS979"/>
          <cell r="AT979"/>
          <cell r="AU979"/>
          <cell r="AV979"/>
          <cell r="AW979"/>
          <cell r="AX979"/>
          <cell r="AY979"/>
          <cell r="AZ979"/>
        </row>
        <row r="980">
          <cell r="A980"/>
          <cell r="B980"/>
          <cell r="C980"/>
          <cell r="D980"/>
          <cell r="E980"/>
          <cell r="F980"/>
          <cell r="G980"/>
          <cell r="H980"/>
          <cell r="I980"/>
          <cell r="J980"/>
          <cell r="K980"/>
          <cell r="L980"/>
          <cell r="M980"/>
          <cell r="N980"/>
          <cell r="O980"/>
          <cell r="P980"/>
          <cell r="Q980"/>
          <cell r="R980"/>
          <cell r="S980"/>
          <cell r="T980"/>
          <cell r="U980"/>
          <cell r="V980"/>
          <cell r="W980"/>
          <cell r="X980"/>
          <cell r="Y980"/>
          <cell r="Z980"/>
          <cell r="AA980"/>
          <cell r="AB980"/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/>
          <cell r="AS980"/>
          <cell r="AT980"/>
          <cell r="AU980"/>
          <cell r="AV980"/>
          <cell r="AW980"/>
          <cell r="AX980"/>
          <cell r="AY980"/>
          <cell r="AZ980"/>
        </row>
        <row r="981">
          <cell r="A981"/>
          <cell r="B981"/>
          <cell r="C981"/>
          <cell r="D981"/>
          <cell r="E981"/>
          <cell r="F981"/>
          <cell r="G981"/>
          <cell r="H981"/>
          <cell r="I981"/>
          <cell r="J981"/>
          <cell r="K981"/>
          <cell r="L981"/>
          <cell r="M981"/>
          <cell r="N981"/>
          <cell r="O981"/>
          <cell r="P981"/>
          <cell r="Q981"/>
          <cell r="R981"/>
          <cell r="S981"/>
          <cell r="T981"/>
          <cell r="U981"/>
          <cell r="V981"/>
          <cell r="W981"/>
          <cell r="X981"/>
          <cell r="Y981"/>
          <cell r="Z981"/>
          <cell r="AA981"/>
          <cell r="AB981"/>
          <cell r="AC981"/>
          <cell r="AD981"/>
          <cell r="AE981"/>
          <cell r="AF981"/>
          <cell r="AG981"/>
          <cell r="AH981"/>
          <cell r="AI981"/>
          <cell r="AJ981"/>
          <cell r="AK981"/>
          <cell r="AL981"/>
          <cell r="AM981"/>
          <cell r="AN981"/>
          <cell r="AO981"/>
          <cell r="AP981"/>
          <cell r="AQ981"/>
          <cell r="AR981"/>
          <cell r="AS981"/>
          <cell r="AT981"/>
          <cell r="AU981"/>
          <cell r="AV981"/>
          <cell r="AW981"/>
          <cell r="AX981"/>
          <cell r="AY981"/>
          <cell r="AZ981"/>
        </row>
        <row r="982">
          <cell r="A982"/>
          <cell r="B982"/>
          <cell r="C982"/>
          <cell r="D982"/>
          <cell r="E982"/>
          <cell r="F982"/>
          <cell r="G982"/>
          <cell r="H982"/>
          <cell r="I982"/>
          <cell r="J982"/>
          <cell r="K982"/>
          <cell r="L982"/>
          <cell r="M982"/>
          <cell r="N982"/>
          <cell r="O982"/>
          <cell r="P982"/>
          <cell r="Q982"/>
          <cell r="R982"/>
          <cell r="S982"/>
          <cell r="T982"/>
          <cell r="U982"/>
          <cell r="V982"/>
          <cell r="W982"/>
          <cell r="X982"/>
          <cell r="Y982"/>
          <cell r="Z982"/>
          <cell r="AA982"/>
          <cell r="AB982"/>
          <cell r="AC982"/>
          <cell r="AD982"/>
          <cell r="AE982"/>
          <cell r="AF982"/>
          <cell r="AG982"/>
          <cell r="AH982"/>
          <cell r="AI982"/>
          <cell r="AJ982"/>
          <cell r="AK982"/>
          <cell r="AL982"/>
          <cell r="AM982"/>
          <cell r="AN982"/>
          <cell r="AO982"/>
          <cell r="AP982"/>
          <cell r="AQ982"/>
          <cell r="AR982"/>
          <cell r="AS982"/>
          <cell r="AT982"/>
          <cell r="AU982"/>
          <cell r="AV982"/>
          <cell r="AW982"/>
          <cell r="AX982"/>
          <cell r="AY982"/>
          <cell r="AZ982"/>
        </row>
        <row r="983">
          <cell r="A983"/>
          <cell r="B983"/>
          <cell r="C983"/>
          <cell r="D983"/>
          <cell r="E983"/>
          <cell r="F983"/>
          <cell r="G983"/>
          <cell r="H983"/>
          <cell r="I983"/>
          <cell r="J983"/>
          <cell r="K983"/>
          <cell r="L983"/>
          <cell r="M983"/>
          <cell r="N983"/>
          <cell r="O983"/>
          <cell r="P983"/>
          <cell r="Q983"/>
          <cell r="R983"/>
          <cell r="S983"/>
          <cell r="T983"/>
          <cell r="U983"/>
          <cell r="V983"/>
          <cell r="W983"/>
          <cell r="X983"/>
          <cell r="Y983"/>
          <cell r="Z983"/>
          <cell r="AA983"/>
          <cell r="AB983"/>
          <cell r="AC983"/>
          <cell r="AD983"/>
          <cell r="AE983"/>
          <cell r="AF983"/>
          <cell r="AG983"/>
          <cell r="AH983"/>
          <cell r="AI983"/>
          <cell r="AJ983"/>
          <cell r="AK983"/>
          <cell r="AL983"/>
          <cell r="AM983"/>
          <cell r="AN983"/>
          <cell r="AO983"/>
          <cell r="AP983"/>
          <cell r="AQ983"/>
          <cell r="AR983"/>
          <cell r="AS983"/>
          <cell r="AT983"/>
          <cell r="AU983"/>
          <cell r="AV983"/>
          <cell r="AW983"/>
          <cell r="AX983"/>
          <cell r="AY983"/>
          <cell r="AZ983"/>
        </row>
        <row r="984">
          <cell r="A984"/>
          <cell r="B984"/>
          <cell r="C984"/>
          <cell r="D984"/>
          <cell r="E984"/>
          <cell r="F984"/>
          <cell r="G984"/>
          <cell r="H984"/>
          <cell r="I984"/>
          <cell r="J984"/>
          <cell r="K984"/>
          <cell r="L984"/>
          <cell r="M984"/>
          <cell r="N984"/>
          <cell r="O984"/>
          <cell r="P984"/>
          <cell r="Q984"/>
          <cell r="R984"/>
          <cell r="S984"/>
          <cell r="T984"/>
          <cell r="U984"/>
          <cell r="V984"/>
          <cell r="W984"/>
          <cell r="X984"/>
          <cell r="Y984"/>
          <cell r="Z984"/>
          <cell r="AA984"/>
          <cell r="AB984"/>
          <cell r="AC984"/>
          <cell r="AD984"/>
          <cell r="AE984"/>
          <cell r="AF984"/>
          <cell r="AG984"/>
          <cell r="AH984"/>
          <cell r="AI984"/>
          <cell r="AJ984"/>
          <cell r="AK984"/>
          <cell r="AL984"/>
          <cell r="AM984"/>
          <cell r="AN984"/>
          <cell r="AO984"/>
          <cell r="AP984"/>
          <cell r="AQ984"/>
          <cell r="AR984"/>
          <cell r="AS984"/>
          <cell r="AT984"/>
          <cell r="AU984"/>
          <cell r="AV984"/>
          <cell r="AW984"/>
          <cell r="AX984"/>
          <cell r="AY984"/>
          <cell r="AZ984"/>
        </row>
        <row r="985">
          <cell r="A985"/>
          <cell r="B985"/>
          <cell r="C985"/>
          <cell r="D985"/>
          <cell r="E985"/>
          <cell r="F985"/>
          <cell r="G985"/>
          <cell r="H985"/>
          <cell r="I985"/>
          <cell r="J985"/>
          <cell r="K985"/>
          <cell r="L985"/>
          <cell r="M985"/>
          <cell r="N985"/>
          <cell r="O985"/>
          <cell r="P985"/>
          <cell r="Q985"/>
          <cell r="R985"/>
          <cell r="S985"/>
          <cell r="T985"/>
          <cell r="U985"/>
          <cell r="V985"/>
          <cell r="W985"/>
          <cell r="X985"/>
          <cell r="Y985"/>
          <cell r="Z985"/>
          <cell r="AA985"/>
          <cell r="AB985"/>
          <cell r="AC985"/>
          <cell r="AD985"/>
          <cell r="AE985"/>
          <cell r="AF985"/>
          <cell r="AG985"/>
          <cell r="AH985"/>
          <cell r="AI985"/>
          <cell r="AJ985"/>
          <cell r="AK985"/>
          <cell r="AL985"/>
          <cell r="AM985"/>
          <cell r="AN985"/>
          <cell r="AO985"/>
          <cell r="AP985"/>
          <cell r="AQ985"/>
          <cell r="AR985"/>
          <cell r="AS985"/>
          <cell r="AT985"/>
          <cell r="AU985"/>
          <cell r="AV985"/>
          <cell r="AW985"/>
          <cell r="AX985"/>
          <cell r="AY985"/>
          <cell r="AZ985"/>
        </row>
        <row r="986">
          <cell r="A986"/>
          <cell r="B986"/>
          <cell r="C986"/>
          <cell r="D986"/>
          <cell r="E986"/>
          <cell r="F986"/>
          <cell r="G986"/>
          <cell r="H986"/>
          <cell r="I986"/>
          <cell r="J986"/>
          <cell r="K986"/>
          <cell r="L986"/>
          <cell r="M986"/>
          <cell r="N986"/>
          <cell r="O986"/>
          <cell r="P986"/>
          <cell r="Q986"/>
          <cell r="R986"/>
          <cell r="S986"/>
          <cell r="T986"/>
          <cell r="U986"/>
          <cell r="V986"/>
          <cell r="W986"/>
          <cell r="X986"/>
          <cell r="Y986"/>
          <cell r="Z986"/>
          <cell r="AA986"/>
          <cell r="AB986"/>
          <cell r="AC986"/>
          <cell r="AD986"/>
          <cell r="AE986"/>
          <cell r="AF986"/>
          <cell r="AG986"/>
          <cell r="AH986"/>
          <cell r="AI986"/>
          <cell r="AJ986"/>
          <cell r="AK986"/>
          <cell r="AL986"/>
          <cell r="AM986"/>
          <cell r="AN986"/>
          <cell r="AO986"/>
          <cell r="AP986"/>
          <cell r="AQ986"/>
          <cell r="AR986"/>
          <cell r="AS986"/>
          <cell r="AT986"/>
          <cell r="AU986"/>
          <cell r="AV986"/>
          <cell r="AW986"/>
          <cell r="AX986"/>
          <cell r="AY986"/>
          <cell r="AZ986"/>
        </row>
        <row r="987">
          <cell r="A987"/>
          <cell r="B987"/>
          <cell r="C987"/>
          <cell r="D987"/>
          <cell r="E987"/>
          <cell r="F987"/>
          <cell r="G987"/>
          <cell r="H987"/>
          <cell r="I987"/>
          <cell r="J987"/>
          <cell r="K987"/>
          <cell r="L987"/>
          <cell r="M987"/>
          <cell r="N987"/>
          <cell r="O987"/>
          <cell r="P987"/>
          <cell r="Q987"/>
          <cell r="R987"/>
          <cell r="S987"/>
          <cell r="T987"/>
          <cell r="U987"/>
          <cell r="V987"/>
          <cell r="W987"/>
          <cell r="X987"/>
          <cell r="Y987"/>
          <cell r="Z987"/>
          <cell r="AA987"/>
          <cell r="AB987"/>
          <cell r="AC987"/>
          <cell r="AD987"/>
          <cell r="AE987"/>
          <cell r="AF987"/>
          <cell r="AG987"/>
          <cell r="AH987"/>
          <cell r="AI987"/>
          <cell r="AJ987"/>
          <cell r="AK987"/>
          <cell r="AL987"/>
          <cell r="AM987"/>
          <cell r="AN987"/>
          <cell r="AO987"/>
          <cell r="AP987"/>
          <cell r="AQ987"/>
          <cell r="AR987"/>
          <cell r="AS987"/>
          <cell r="AT987"/>
          <cell r="AU987"/>
          <cell r="AV987"/>
          <cell r="AW987"/>
          <cell r="AX987"/>
          <cell r="AY987"/>
          <cell r="AZ987"/>
        </row>
        <row r="988">
          <cell r="A988"/>
          <cell r="B988"/>
          <cell r="C988"/>
          <cell r="D988"/>
          <cell r="E988"/>
          <cell r="F988"/>
          <cell r="G988"/>
          <cell r="H988"/>
          <cell r="I988"/>
          <cell r="J988"/>
          <cell r="K988"/>
          <cell r="L988"/>
          <cell r="M988"/>
          <cell r="N988"/>
          <cell r="O988"/>
          <cell r="P988"/>
          <cell r="Q988"/>
          <cell r="R988"/>
          <cell r="S988"/>
          <cell r="T988"/>
          <cell r="U988"/>
          <cell r="V988"/>
          <cell r="W988"/>
          <cell r="X988"/>
          <cell r="Y988"/>
          <cell r="Z988"/>
          <cell r="AA988"/>
          <cell r="AB988"/>
          <cell r="AC988"/>
          <cell r="AD988"/>
          <cell r="AE988"/>
          <cell r="AF988"/>
          <cell r="AG988"/>
          <cell r="AH988"/>
          <cell r="AI988"/>
          <cell r="AJ988"/>
          <cell r="AK988"/>
          <cell r="AL988"/>
          <cell r="AM988"/>
          <cell r="AN988"/>
          <cell r="AO988"/>
          <cell r="AP988"/>
          <cell r="AQ988"/>
          <cell r="AR988"/>
          <cell r="AS988"/>
          <cell r="AT988"/>
          <cell r="AU988"/>
          <cell r="AV988"/>
          <cell r="AW988"/>
          <cell r="AX988"/>
          <cell r="AY988"/>
          <cell r="AZ988"/>
        </row>
        <row r="989">
          <cell r="A989"/>
          <cell r="B989"/>
          <cell r="C989"/>
          <cell r="D989"/>
          <cell r="E989"/>
          <cell r="F989"/>
          <cell r="G989"/>
          <cell r="H989"/>
          <cell r="I989"/>
          <cell r="J989"/>
          <cell r="K989"/>
          <cell r="L989"/>
          <cell r="M989"/>
          <cell r="N989"/>
          <cell r="O989"/>
          <cell r="P989"/>
          <cell r="Q989"/>
          <cell r="R989"/>
          <cell r="S989"/>
          <cell r="T989"/>
          <cell r="U989"/>
          <cell r="V989"/>
          <cell r="W989"/>
          <cell r="X989"/>
          <cell r="Y989"/>
          <cell r="Z989"/>
          <cell r="AA989"/>
          <cell r="AB989"/>
          <cell r="AC989"/>
          <cell r="AD989"/>
          <cell r="AE989"/>
          <cell r="AF989"/>
          <cell r="AG989"/>
          <cell r="AH989"/>
          <cell r="AI989"/>
          <cell r="AJ989"/>
          <cell r="AK989"/>
          <cell r="AL989"/>
          <cell r="AM989"/>
          <cell r="AN989"/>
          <cell r="AO989"/>
          <cell r="AP989"/>
          <cell r="AQ989"/>
          <cell r="AR989"/>
          <cell r="AS989"/>
          <cell r="AT989"/>
          <cell r="AU989"/>
          <cell r="AV989"/>
          <cell r="AW989"/>
          <cell r="AX989"/>
          <cell r="AY989"/>
          <cell r="AZ989"/>
        </row>
        <row r="990">
          <cell r="A990"/>
          <cell r="B990"/>
          <cell r="C990"/>
          <cell r="D990"/>
          <cell r="E990"/>
          <cell r="F990"/>
          <cell r="G990"/>
          <cell r="H990"/>
          <cell r="I990"/>
          <cell r="J990"/>
          <cell r="K990"/>
          <cell r="L990"/>
          <cell r="M990"/>
          <cell r="N990"/>
          <cell r="O990"/>
          <cell r="P990"/>
          <cell r="Q990"/>
          <cell r="R990"/>
          <cell r="S990"/>
          <cell r="T990"/>
          <cell r="U990"/>
          <cell r="V990"/>
          <cell r="W990"/>
          <cell r="X990"/>
          <cell r="Y990"/>
          <cell r="Z990"/>
          <cell r="AA990"/>
          <cell r="AB990"/>
          <cell r="AC990"/>
          <cell r="AD990"/>
          <cell r="AE990"/>
          <cell r="AF990"/>
          <cell r="AG990"/>
          <cell r="AH990"/>
          <cell r="AI990"/>
          <cell r="AJ990"/>
          <cell r="AK990"/>
          <cell r="AL990"/>
          <cell r="AM990"/>
          <cell r="AN990"/>
          <cell r="AO990"/>
          <cell r="AP990"/>
          <cell r="AQ990"/>
          <cell r="AR990"/>
          <cell r="AS990"/>
          <cell r="AT990"/>
          <cell r="AU990"/>
          <cell r="AV990"/>
          <cell r="AW990"/>
          <cell r="AX990"/>
          <cell r="AY990"/>
          <cell r="AZ990"/>
        </row>
        <row r="991">
          <cell r="A991"/>
          <cell r="B991"/>
          <cell r="C991"/>
          <cell r="D991"/>
          <cell r="E991"/>
          <cell r="F991"/>
          <cell r="G991"/>
          <cell r="H991"/>
          <cell r="I991"/>
          <cell r="J991"/>
          <cell r="K991"/>
          <cell r="L991"/>
          <cell r="M991"/>
          <cell r="N991"/>
          <cell r="O991"/>
          <cell r="P991"/>
          <cell r="Q991"/>
          <cell r="R991"/>
          <cell r="S991"/>
          <cell r="T991"/>
          <cell r="U991"/>
          <cell r="V991"/>
          <cell r="W991"/>
          <cell r="X991"/>
          <cell r="Y991"/>
          <cell r="Z991"/>
          <cell r="AA991"/>
          <cell r="AB991"/>
          <cell r="AC991"/>
          <cell r="AD991"/>
          <cell r="AE991"/>
          <cell r="AF991"/>
          <cell r="AG991"/>
          <cell r="AH991"/>
          <cell r="AI991"/>
          <cell r="AJ991"/>
          <cell r="AK991"/>
          <cell r="AL991"/>
          <cell r="AM991"/>
          <cell r="AN991"/>
          <cell r="AO991"/>
          <cell r="AP991"/>
          <cell r="AQ991"/>
          <cell r="AR991"/>
          <cell r="AS991"/>
          <cell r="AT991"/>
          <cell r="AU991"/>
          <cell r="AV991"/>
          <cell r="AW991"/>
          <cell r="AX991"/>
          <cell r="AY991"/>
          <cell r="AZ991"/>
        </row>
        <row r="992">
          <cell r="A992"/>
          <cell r="B992"/>
          <cell r="C992"/>
          <cell r="D992"/>
          <cell r="E992"/>
          <cell r="F992"/>
          <cell r="G992"/>
          <cell r="H992"/>
          <cell r="I992"/>
          <cell r="J992"/>
          <cell r="K992"/>
          <cell r="L992"/>
          <cell r="M992"/>
          <cell r="N992"/>
          <cell r="O992"/>
          <cell r="P992"/>
          <cell r="Q992"/>
          <cell r="R992"/>
          <cell r="S992"/>
          <cell r="T992"/>
          <cell r="U992"/>
          <cell r="V992"/>
          <cell r="W992"/>
          <cell r="X992"/>
          <cell r="Y992"/>
          <cell r="Z992"/>
          <cell r="AA992"/>
          <cell r="AB992"/>
          <cell r="AC992"/>
          <cell r="AD992"/>
          <cell r="AE992"/>
          <cell r="AF992"/>
          <cell r="AG992"/>
          <cell r="AH992"/>
          <cell r="AI992"/>
          <cell r="AJ992"/>
          <cell r="AK992"/>
          <cell r="AL992"/>
          <cell r="AM992"/>
          <cell r="AN992"/>
          <cell r="AO992"/>
          <cell r="AP992"/>
          <cell r="AQ992"/>
          <cell r="AR992"/>
          <cell r="AS992"/>
          <cell r="AT992"/>
          <cell r="AU992"/>
          <cell r="AV992"/>
          <cell r="AW992"/>
          <cell r="AX992"/>
          <cell r="AY992"/>
          <cell r="AZ992"/>
        </row>
        <row r="993">
          <cell r="A993"/>
          <cell r="B993"/>
          <cell r="C993"/>
          <cell r="D993"/>
          <cell r="E993"/>
          <cell r="F993"/>
          <cell r="G993"/>
          <cell r="H993"/>
          <cell r="I993"/>
          <cell r="J993"/>
          <cell r="K993"/>
          <cell r="L993"/>
          <cell r="M993"/>
          <cell r="N993"/>
          <cell r="O993"/>
          <cell r="P993"/>
          <cell r="Q993"/>
          <cell r="R993"/>
          <cell r="S993"/>
          <cell r="T993"/>
          <cell r="U993"/>
          <cell r="V993"/>
          <cell r="W993"/>
          <cell r="X993"/>
          <cell r="Y993"/>
          <cell r="Z993"/>
          <cell r="AA993"/>
          <cell r="AB993"/>
          <cell r="AC993"/>
          <cell r="AD993"/>
          <cell r="AE993"/>
          <cell r="AF993"/>
          <cell r="AG993"/>
          <cell r="AH993"/>
          <cell r="AI993"/>
          <cell r="AJ993"/>
          <cell r="AK993"/>
          <cell r="AL993"/>
          <cell r="AM993"/>
          <cell r="AN993"/>
          <cell r="AO993"/>
          <cell r="AP993"/>
          <cell r="AQ993"/>
          <cell r="AR993"/>
          <cell r="AS993"/>
          <cell r="AT993"/>
          <cell r="AU993"/>
          <cell r="AV993"/>
          <cell r="AW993"/>
          <cell r="AX993"/>
          <cell r="AY993"/>
          <cell r="AZ993"/>
        </row>
        <row r="994">
          <cell r="A994"/>
          <cell r="B994"/>
          <cell r="C994"/>
          <cell r="D994"/>
          <cell r="E994"/>
          <cell r="F994"/>
          <cell r="G994"/>
          <cell r="H994"/>
          <cell r="I994"/>
          <cell r="J994"/>
          <cell r="K994"/>
          <cell r="L994"/>
          <cell r="M994"/>
          <cell r="N994"/>
          <cell r="O994"/>
          <cell r="P994"/>
          <cell r="Q994"/>
          <cell r="R994"/>
          <cell r="S994"/>
          <cell r="T994"/>
          <cell r="U994"/>
          <cell r="V994"/>
          <cell r="W994"/>
          <cell r="X994"/>
          <cell r="Y994"/>
          <cell r="Z994"/>
          <cell r="AA994"/>
          <cell r="AB994"/>
          <cell r="AC994"/>
          <cell r="AD994"/>
          <cell r="AE994"/>
          <cell r="AF994"/>
          <cell r="AG994"/>
          <cell r="AH994"/>
          <cell r="AI994"/>
          <cell r="AJ994"/>
          <cell r="AK994"/>
          <cell r="AL994"/>
          <cell r="AM994"/>
          <cell r="AN994"/>
          <cell r="AO994"/>
          <cell r="AP994"/>
          <cell r="AQ994"/>
          <cell r="AR994"/>
          <cell r="AS994"/>
          <cell r="AT994"/>
          <cell r="AU994"/>
          <cell r="AV994"/>
          <cell r="AW994"/>
          <cell r="AX994"/>
          <cell r="AY994"/>
          <cell r="AZ994"/>
        </row>
        <row r="995">
          <cell r="A995"/>
          <cell r="B995"/>
          <cell r="C995"/>
          <cell r="D995"/>
          <cell r="E995"/>
          <cell r="F995"/>
          <cell r="G995"/>
          <cell r="H995"/>
          <cell r="I995"/>
          <cell r="J995"/>
          <cell r="K995"/>
          <cell r="L995"/>
          <cell r="M995"/>
          <cell r="N995"/>
          <cell r="O995"/>
          <cell r="P995"/>
          <cell r="Q995"/>
          <cell r="R995"/>
          <cell r="S995"/>
          <cell r="T995"/>
          <cell r="U995"/>
          <cell r="V995"/>
          <cell r="W995"/>
          <cell r="X995"/>
          <cell r="Y995"/>
          <cell r="Z995"/>
          <cell r="AA995"/>
          <cell r="AB995"/>
          <cell r="AC995"/>
          <cell r="AD995"/>
          <cell r="AE995"/>
          <cell r="AF995"/>
          <cell r="AG995"/>
          <cell r="AH995"/>
          <cell r="AI995"/>
          <cell r="AJ995"/>
          <cell r="AK995"/>
          <cell r="AL995"/>
          <cell r="AM995"/>
          <cell r="AN995"/>
          <cell r="AO995"/>
          <cell r="AP995"/>
          <cell r="AQ995"/>
          <cell r="AR995"/>
          <cell r="AS995"/>
          <cell r="AT995"/>
          <cell r="AU995"/>
          <cell r="AV995"/>
          <cell r="AW995"/>
          <cell r="AX995"/>
          <cell r="AY995"/>
          <cell r="AZ995"/>
        </row>
        <row r="996">
          <cell r="A996"/>
          <cell r="B996"/>
          <cell r="C996"/>
          <cell r="D996"/>
          <cell r="E996"/>
          <cell r="F996"/>
          <cell r="G996"/>
          <cell r="H996"/>
          <cell r="I996"/>
          <cell r="J996"/>
          <cell r="K996"/>
          <cell r="L996"/>
          <cell r="M996"/>
          <cell r="N996"/>
          <cell r="O996"/>
          <cell r="P996"/>
          <cell r="Q996"/>
          <cell r="R996"/>
          <cell r="S996"/>
          <cell r="T996"/>
          <cell r="U996"/>
          <cell r="V996"/>
          <cell r="W996"/>
          <cell r="X996"/>
          <cell r="Y996"/>
          <cell r="Z996"/>
          <cell r="AA996"/>
          <cell r="AB996"/>
          <cell r="AC996"/>
          <cell r="AD996"/>
          <cell r="AE996"/>
          <cell r="AF996"/>
          <cell r="AG996"/>
          <cell r="AH996"/>
          <cell r="AI996"/>
          <cell r="AJ996"/>
          <cell r="AK996"/>
          <cell r="AL996"/>
          <cell r="AM996"/>
          <cell r="AN996"/>
          <cell r="AO996"/>
          <cell r="AP996"/>
          <cell r="AQ996"/>
          <cell r="AR996"/>
          <cell r="AS996"/>
          <cell r="AT996"/>
          <cell r="AU996"/>
          <cell r="AV996"/>
          <cell r="AW996"/>
          <cell r="AX996"/>
          <cell r="AY996"/>
          <cell r="AZ996"/>
        </row>
        <row r="997">
          <cell r="A997"/>
          <cell r="B997"/>
          <cell r="C997"/>
          <cell r="D997"/>
          <cell r="E997"/>
          <cell r="F997"/>
          <cell r="G997"/>
          <cell r="H997"/>
          <cell r="I997"/>
          <cell r="J997"/>
          <cell r="K997"/>
          <cell r="L997"/>
          <cell r="M997"/>
          <cell r="N997"/>
          <cell r="O997"/>
          <cell r="P997"/>
          <cell r="Q997"/>
          <cell r="R997"/>
          <cell r="S997"/>
          <cell r="T997"/>
          <cell r="U997"/>
          <cell r="V997"/>
          <cell r="W997"/>
          <cell r="X997"/>
          <cell r="Y997"/>
          <cell r="Z997"/>
          <cell r="AA997"/>
          <cell r="AB997"/>
          <cell r="AC997"/>
          <cell r="AD997"/>
          <cell r="AE997"/>
          <cell r="AF997"/>
          <cell r="AG997"/>
          <cell r="AH997"/>
          <cell r="AI997"/>
          <cell r="AJ997"/>
          <cell r="AK997"/>
          <cell r="AL997"/>
          <cell r="AM997"/>
          <cell r="AN997"/>
          <cell r="AO997"/>
          <cell r="AP997"/>
          <cell r="AQ997"/>
          <cell r="AR997"/>
          <cell r="AS997"/>
          <cell r="AT997"/>
          <cell r="AU997"/>
          <cell r="AV997"/>
          <cell r="AW997"/>
          <cell r="AX997"/>
          <cell r="AY997"/>
          <cell r="AZ997"/>
        </row>
        <row r="998">
          <cell r="A998"/>
          <cell r="B998"/>
          <cell r="C998"/>
          <cell r="D998"/>
          <cell r="E998"/>
          <cell r="F998"/>
          <cell r="G998"/>
          <cell r="H998"/>
          <cell r="I998"/>
          <cell r="J998"/>
          <cell r="K998"/>
          <cell r="L998"/>
          <cell r="M998"/>
          <cell r="N998"/>
          <cell r="O998"/>
          <cell r="P998"/>
          <cell r="Q998"/>
          <cell r="R998"/>
          <cell r="S998"/>
          <cell r="T998"/>
          <cell r="U998"/>
          <cell r="V998"/>
          <cell r="W998"/>
          <cell r="X998"/>
          <cell r="Y998"/>
          <cell r="Z998"/>
          <cell r="AA998"/>
          <cell r="AB998"/>
          <cell r="AC998"/>
          <cell r="AD998"/>
          <cell r="AE998"/>
          <cell r="AF998"/>
          <cell r="AG998"/>
          <cell r="AH998"/>
          <cell r="AI998"/>
          <cell r="AJ998"/>
          <cell r="AK998"/>
          <cell r="AL998"/>
          <cell r="AM998"/>
          <cell r="AN998"/>
          <cell r="AO998"/>
          <cell r="AP998"/>
          <cell r="AQ998"/>
          <cell r="AR998"/>
          <cell r="AS998"/>
          <cell r="AT998"/>
          <cell r="AU998"/>
          <cell r="AV998"/>
          <cell r="AW998"/>
          <cell r="AX998"/>
          <cell r="AY998"/>
          <cell r="AZ998"/>
        </row>
        <row r="999">
          <cell r="A999"/>
          <cell r="B999"/>
          <cell r="C999"/>
          <cell r="D999"/>
          <cell r="E999"/>
          <cell r="F999"/>
          <cell r="G999"/>
          <cell r="H999"/>
          <cell r="I999"/>
          <cell r="J999"/>
          <cell r="K999"/>
          <cell r="L999"/>
          <cell r="M999"/>
          <cell r="N999"/>
          <cell r="O999"/>
          <cell r="P999"/>
          <cell r="Q999"/>
          <cell r="R999"/>
          <cell r="S999"/>
          <cell r="T999"/>
          <cell r="U999"/>
          <cell r="V999"/>
          <cell r="W999"/>
          <cell r="X999"/>
          <cell r="Y999"/>
          <cell r="Z999"/>
          <cell r="AA999"/>
          <cell r="AB999"/>
          <cell r="AC999"/>
          <cell r="AD999"/>
          <cell r="AE999"/>
          <cell r="AF999"/>
          <cell r="AG999"/>
          <cell r="AH999"/>
          <cell r="AI999"/>
          <cell r="AJ999"/>
          <cell r="AK999"/>
          <cell r="AL999"/>
          <cell r="AM999"/>
          <cell r="AN999"/>
          <cell r="AO999"/>
          <cell r="AP999"/>
          <cell r="AQ999"/>
          <cell r="AR999"/>
          <cell r="AS999"/>
          <cell r="AT999"/>
          <cell r="AU999"/>
          <cell r="AV999"/>
          <cell r="AW999"/>
          <cell r="AX999"/>
          <cell r="AY999"/>
          <cell r="AZ999"/>
        </row>
        <row r="1000">
          <cell r="A1000"/>
          <cell r="B1000"/>
          <cell r="C1000"/>
          <cell r="D1000"/>
          <cell r="E1000"/>
          <cell r="F1000"/>
          <cell r="G1000"/>
          <cell r="H1000"/>
          <cell r="I1000"/>
          <cell r="J1000"/>
          <cell r="K1000"/>
          <cell r="L1000"/>
          <cell r="M1000"/>
          <cell r="N1000"/>
          <cell r="O1000"/>
          <cell r="P1000"/>
          <cell r="Q1000"/>
          <cell r="R1000"/>
          <cell r="S1000"/>
          <cell r="T1000"/>
          <cell r="U1000"/>
          <cell r="V1000"/>
          <cell r="W1000"/>
          <cell r="X1000"/>
          <cell r="Y1000"/>
          <cell r="Z1000"/>
          <cell r="AA1000"/>
          <cell r="AB1000"/>
          <cell r="AC1000"/>
          <cell r="AD1000"/>
          <cell r="AE1000"/>
          <cell r="AF1000"/>
          <cell r="AG1000"/>
          <cell r="AH1000"/>
          <cell r="AI1000"/>
          <cell r="AJ1000"/>
          <cell r="AK1000"/>
          <cell r="AL1000"/>
          <cell r="AM1000"/>
          <cell r="AN1000"/>
          <cell r="AO1000"/>
          <cell r="AP1000"/>
          <cell r="AQ1000"/>
          <cell r="AR1000"/>
          <cell r="AS1000"/>
          <cell r="AT1000"/>
          <cell r="AU1000"/>
          <cell r="AV1000"/>
          <cell r="AW1000"/>
          <cell r="AX1000"/>
          <cell r="AY1000"/>
          <cell r="AZ1000"/>
        </row>
        <row r="1001">
          <cell r="A1001"/>
          <cell r="B1001"/>
          <cell r="C1001"/>
          <cell r="D1001"/>
          <cell r="E1001"/>
          <cell r="F1001"/>
          <cell r="G1001"/>
          <cell r="H1001"/>
          <cell r="I1001"/>
          <cell r="J1001"/>
          <cell r="K1001"/>
          <cell r="L1001"/>
          <cell r="M1001"/>
          <cell r="N1001"/>
          <cell r="O1001"/>
          <cell r="P1001"/>
          <cell r="Q1001"/>
          <cell r="R1001"/>
          <cell r="S1001"/>
          <cell r="T1001"/>
          <cell r="U1001"/>
          <cell r="V1001"/>
          <cell r="W1001"/>
          <cell r="X1001"/>
          <cell r="Y1001"/>
          <cell r="Z1001"/>
          <cell r="AA1001"/>
          <cell r="AB1001"/>
          <cell r="AC1001"/>
          <cell r="AD1001"/>
          <cell r="AE1001"/>
          <cell r="AF1001"/>
          <cell r="AG1001"/>
          <cell r="AH1001"/>
          <cell r="AI1001"/>
          <cell r="AJ1001"/>
          <cell r="AK1001"/>
          <cell r="AL1001"/>
          <cell r="AM1001"/>
          <cell r="AN1001"/>
          <cell r="AO1001"/>
          <cell r="AP1001"/>
          <cell r="AQ1001"/>
          <cell r="AR1001"/>
          <cell r="AS1001"/>
          <cell r="AT1001"/>
          <cell r="AU1001"/>
          <cell r="AV1001"/>
          <cell r="AW1001"/>
          <cell r="AX1001"/>
          <cell r="AY1001"/>
          <cell r="AZ1001"/>
        </row>
        <row r="1002">
          <cell r="A1002"/>
          <cell r="B1002"/>
          <cell r="C1002"/>
          <cell r="D1002"/>
          <cell r="E1002"/>
          <cell r="F1002"/>
          <cell r="G1002"/>
          <cell r="H1002"/>
          <cell r="I1002"/>
          <cell r="J1002"/>
          <cell r="K1002"/>
          <cell r="L1002"/>
          <cell r="M1002"/>
          <cell r="N1002"/>
          <cell r="O1002"/>
          <cell r="P1002"/>
          <cell r="Q1002"/>
          <cell r="R1002"/>
          <cell r="S1002"/>
          <cell r="T1002"/>
          <cell r="U1002"/>
          <cell r="V1002"/>
          <cell r="W1002"/>
          <cell r="X1002"/>
          <cell r="Y1002"/>
          <cell r="Z1002"/>
          <cell r="AA1002"/>
          <cell r="AB1002"/>
          <cell r="AC1002"/>
          <cell r="AD1002"/>
          <cell r="AE1002"/>
          <cell r="AF1002"/>
          <cell r="AG1002"/>
          <cell r="AH1002"/>
          <cell r="AI1002"/>
          <cell r="AJ1002"/>
          <cell r="AK1002"/>
          <cell r="AL1002"/>
          <cell r="AM1002"/>
          <cell r="AN1002"/>
          <cell r="AO1002"/>
          <cell r="AP1002"/>
          <cell r="AQ1002"/>
          <cell r="AR1002"/>
          <cell r="AS1002"/>
          <cell r="AT1002"/>
          <cell r="AU1002"/>
          <cell r="AV1002"/>
          <cell r="AW1002"/>
          <cell r="AX1002"/>
          <cell r="AY1002"/>
          <cell r="AZ1002"/>
        </row>
        <row r="1003">
          <cell r="A1003"/>
          <cell r="B1003"/>
          <cell r="C1003"/>
          <cell r="D1003"/>
          <cell r="E1003"/>
          <cell r="F1003"/>
          <cell r="G1003"/>
          <cell r="H1003"/>
          <cell r="I1003"/>
          <cell r="J1003"/>
          <cell r="K1003"/>
          <cell r="L1003"/>
          <cell r="M1003"/>
          <cell r="N1003"/>
          <cell r="O1003"/>
          <cell r="P1003"/>
          <cell r="Q1003"/>
          <cell r="R1003"/>
          <cell r="S1003"/>
          <cell r="T1003"/>
          <cell r="U1003"/>
          <cell r="V1003"/>
          <cell r="W1003"/>
          <cell r="X1003"/>
          <cell r="Y1003"/>
          <cell r="Z1003"/>
          <cell r="AA1003"/>
          <cell r="AB1003"/>
          <cell r="AC1003"/>
          <cell r="AD1003"/>
          <cell r="AE1003"/>
          <cell r="AF1003"/>
          <cell r="AG1003"/>
          <cell r="AH1003"/>
          <cell r="AI1003"/>
          <cell r="AJ1003"/>
          <cell r="AK1003"/>
          <cell r="AL1003"/>
          <cell r="AM1003"/>
          <cell r="AN1003"/>
          <cell r="AO1003"/>
          <cell r="AP1003"/>
          <cell r="AQ1003"/>
          <cell r="AR1003"/>
          <cell r="AS1003"/>
          <cell r="AT1003"/>
          <cell r="AU1003"/>
          <cell r="AV1003"/>
          <cell r="AW1003"/>
          <cell r="AX1003"/>
          <cell r="AY1003"/>
          <cell r="AZ1003"/>
        </row>
        <row r="1004">
          <cell r="A1004"/>
          <cell r="B1004"/>
          <cell r="C1004"/>
          <cell r="D1004"/>
          <cell r="E1004"/>
          <cell r="F1004"/>
          <cell r="G1004"/>
          <cell r="H1004"/>
          <cell r="I1004"/>
          <cell r="J1004"/>
          <cell r="K1004"/>
          <cell r="L1004"/>
          <cell r="M1004"/>
          <cell r="N1004"/>
          <cell r="O1004"/>
          <cell r="P1004"/>
          <cell r="Q1004"/>
          <cell r="R1004"/>
          <cell r="S1004"/>
          <cell r="T1004"/>
          <cell r="U1004"/>
          <cell r="V1004"/>
          <cell r="W1004"/>
          <cell r="X1004"/>
          <cell r="Y1004"/>
          <cell r="Z1004"/>
          <cell r="AA1004"/>
          <cell r="AB1004"/>
          <cell r="AC1004"/>
          <cell r="AD1004"/>
          <cell r="AE1004"/>
          <cell r="AF1004"/>
          <cell r="AG1004"/>
          <cell r="AH1004"/>
          <cell r="AI1004"/>
          <cell r="AJ1004"/>
          <cell r="AK1004"/>
          <cell r="AL1004"/>
          <cell r="AM1004"/>
          <cell r="AN1004"/>
          <cell r="AO1004"/>
          <cell r="AP1004"/>
          <cell r="AQ1004"/>
          <cell r="AR1004"/>
          <cell r="AS1004"/>
          <cell r="AT1004"/>
          <cell r="AU1004"/>
          <cell r="AV1004"/>
          <cell r="AW1004"/>
          <cell r="AX1004"/>
          <cell r="AY1004"/>
          <cell r="AZ1004"/>
        </row>
        <row r="1005">
          <cell r="A1005"/>
          <cell r="B1005"/>
          <cell r="C1005"/>
          <cell r="D1005"/>
          <cell r="E1005"/>
          <cell r="F1005"/>
          <cell r="G1005"/>
          <cell r="H1005"/>
          <cell r="I1005"/>
          <cell r="J1005"/>
          <cell r="K1005"/>
          <cell r="L1005"/>
          <cell r="M1005"/>
          <cell r="N1005"/>
          <cell r="O1005"/>
          <cell r="P1005"/>
          <cell r="Q1005"/>
          <cell r="R1005"/>
          <cell r="S1005"/>
          <cell r="T1005"/>
          <cell r="U1005"/>
          <cell r="V1005"/>
          <cell r="W1005"/>
          <cell r="X1005"/>
          <cell r="Y1005"/>
          <cell r="Z1005"/>
          <cell r="AA1005"/>
          <cell r="AB1005"/>
          <cell r="AC1005"/>
          <cell r="AD1005"/>
          <cell r="AE1005"/>
          <cell r="AF1005"/>
          <cell r="AG1005"/>
          <cell r="AH1005"/>
          <cell r="AI1005"/>
          <cell r="AJ1005"/>
          <cell r="AK1005"/>
          <cell r="AL1005"/>
          <cell r="AM1005"/>
          <cell r="AN1005"/>
          <cell r="AO1005"/>
          <cell r="AP1005"/>
          <cell r="AQ1005"/>
          <cell r="AR1005"/>
          <cell r="AS1005"/>
          <cell r="AT1005"/>
          <cell r="AU1005"/>
          <cell r="AV1005"/>
          <cell r="AW1005"/>
          <cell r="AX1005"/>
          <cell r="AY1005"/>
          <cell r="AZ1005"/>
        </row>
        <row r="1006">
          <cell r="A1006"/>
          <cell r="B1006"/>
          <cell r="C1006"/>
          <cell r="D1006"/>
          <cell r="E1006"/>
          <cell r="F1006"/>
          <cell r="G1006"/>
          <cell r="H1006"/>
          <cell r="I1006"/>
          <cell r="J1006"/>
          <cell r="K1006"/>
          <cell r="L1006"/>
          <cell r="M1006"/>
          <cell r="N1006"/>
          <cell r="O1006"/>
          <cell r="P1006"/>
          <cell r="Q1006"/>
          <cell r="R1006"/>
          <cell r="S1006"/>
          <cell r="T1006"/>
          <cell r="U1006"/>
          <cell r="V1006"/>
          <cell r="W1006"/>
          <cell r="X1006"/>
          <cell r="Y1006"/>
          <cell r="Z1006"/>
          <cell r="AA1006"/>
          <cell r="AB1006"/>
          <cell r="AC1006"/>
          <cell r="AD1006"/>
          <cell r="AE1006"/>
          <cell r="AF1006"/>
          <cell r="AG1006"/>
          <cell r="AH1006"/>
          <cell r="AI1006"/>
          <cell r="AJ1006"/>
          <cell r="AK1006"/>
          <cell r="AL1006"/>
          <cell r="AM1006"/>
          <cell r="AN1006"/>
          <cell r="AO1006"/>
          <cell r="AP1006"/>
          <cell r="AQ1006"/>
          <cell r="AR1006"/>
          <cell r="AS1006"/>
          <cell r="AT1006"/>
          <cell r="AU1006"/>
          <cell r="AV1006"/>
          <cell r="AW1006"/>
          <cell r="AX1006"/>
          <cell r="AY1006"/>
          <cell r="AZ1006"/>
        </row>
        <row r="1007">
          <cell r="A1007"/>
          <cell r="B1007"/>
          <cell r="C1007"/>
          <cell r="D1007"/>
          <cell r="E1007"/>
          <cell r="F1007"/>
          <cell r="G1007"/>
          <cell r="H1007"/>
          <cell r="I1007"/>
          <cell r="J1007"/>
          <cell r="K1007"/>
          <cell r="L1007"/>
          <cell r="M1007"/>
          <cell r="N1007"/>
          <cell r="O1007"/>
          <cell r="P1007"/>
          <cell r="Q1007"/>
          <cell r="R1007"/>
          <cell r="S1007"/>
          <cell r="T1007"/>
          <cell r="U1007"/>
          <cell r="V1007"/>
          <cell r="W1007"/>
          <cell r="X1007"/>
          <cell r="Y1007"/>
          <cell r="Z1007"/>
          <cell r="AA1007"/>
          <cell r="AB1007"/>
          <cell r="AC1007"/>
          <cell r="AD1007"/>
          <cell r="AE1007"/>
          <cell r="AF1007"/>
          <cell r="AG1007"/>
          <cell r="AH1007"/>
          <cell r="AI1007"/>
          <cell r="AJ1007"/>
          <cell r="AK1007"/>
          <cell r="AL1007"/>
          <cell r="AM1007"/>
          <cell r="AN1007"/>
          <cell r="AO1007"/>
          <cell r="AP1007"/>
          <cell r="AQ1007"/>
          <cell r="AR1007"/>
          <cell r="AS1007"/>
          <cell r="AT1007"/>
          <cell r="AU1007"/>
          <cell r="AV1007"/>
          <cell r="AW1007"/>
          <cell r="AX1007"/>
          <cell r="AY1007"/>
          <cell r="AZ1007"/>
        </row>
        <row r="1008">
          <cell r="A1008"/>
          <cell r="B1008"/>
          <cell r="C1008"/>
          <cell r="D1008"/>
          <cell r="E1008"/>
          <cell r="F1008"/>
          <cell r="G1008"/>
          <cell r="H1008"/>
          <cell r="I1008"/>
          <cell r="J1008"/>
          <cell r="K1008"/>
          <cell r="L1008"/>
          <cell r="M1008"/>
          <cell r="N1008"/>
          <cell r="O1008"/>
          <cell r="P1008"/>
          <cell r="Q1008"/>
          <cell r="R1008"/>
          <cell r="S1008"/>
          <cell r="T1008"/>
          <cell r="U1008"/>
          <cell r="V1008"/>
          <cell r="W1008"/>
          <cell r="X1008"/>
          <cell r="Y1008"/>
          <cell r="Z1008"/>
          <cell r="AA1008"/>
          <cell r="AB1008"/>
          <cell r="AC1008"/>
          <cell r="AD1008"/>
          <cell r="AE1008"/>
          <cell r="AF1008"/>
          <cell r="AG1008"/>
          <cell r="AH1008"/>
          <cell r="AI1008"/>
          <cell r="AJ1008"/>
          <cell r="AK1008"/>
          <cell r="AL1008"/>
          <cell r="AM1008"/>
          <cell r="AN1008"/>
          <cell r="AO1008"/>
          <cell r="AP1008"/>
          <cell r="AQ1008"/>
          <cell r="AR1008"/>
          <cell r="AS1008"/>
          <cell r="AT1008"/>
          <cell r="AU1008"/>
          <cell r="AV1008"/>
          <cell r="AW1008"/>
          <cell r="AX1008"/>
          <cell r="AY1008"/>
          <cell r="AZ1008"/>
        </row>
        <row r="1009">
          <cell r="A1009"/>
          <cell r="B1009"/>
          <cell r="C1009"/>
          <cell r="D1009"/>
          <cell r="E1009"/>
          <cell r="F1009"/>
          <cell r="G1009"/>
          <cell r="H1009"/>
          <cell r="I1009"/>
          <cell r="J1009"/>
          <cell r="K1009"/>
          <cell r="L1009"/>
          <cell r="M1009"/>
          <cell r="N1009"/>
          <cell r="O1009"/>
          <cell r="P1009"/>
          <cell r="Q1009"/>
          <cell r="R1009"/>
          <cell r="S1009"/>
          <cell r="T1009"/>
          <cell r="U1009"/>
          <cell r="V1009"/>
          <cell r="W1009"/>
          <cell r="X1009"/>
          <cell r="Y1009"/>
          <cell r="Z1009"/>
          <cell r="AA1009"/>
          <cell r="AB1009"/>
          <cell r="AC1009"/>
          <cell r="AD1009"/>
          <cell r="AE1009"/>
          <cell r="AF1009"/>
          <cell r="AG1009"/>
          <cell r="AH1009"/>
          <cell r="AI1009"/>
          <cell r="AJ1009"/>
          <cell r="AK1009"/>
          <cell r="AL1009"/>
          <cell r="AM1009"/>
          <cell r="AN1009"/>
          <cell r="AO1009"/>
          <cell r="AP1009"/>
          <cell r="AQ1009"/>
          <cell r="AR1009"/>
          <cell r="AS1009"/>
          <cell r="AT1009"/>
          <cell r="AU1009"/>
          <cell r="AV1009"/>
          <cell r="AW1009"/>
          <cell r="AX1009"/>
          <cell r="AY1009"/>
          <cell r="AZ1009"/>
        </row>
        <row r="1010">
          <cell r="A1010"/>
          <cell r="B1010"/>
          <cell r="C1010"/>
          <cell r="D1010"/>
          <cell r="E1010"/>
          <cell r="F1010"/>
          <cell r="G1010"/>
          <cell r="H1010"/>
          <cell r="I1010"/>
          <cell r="J1010"/>
          <cell r="K1010"/>
          <cell r="L1010"/>
          <cell r="M1010"/>
          <cell r="N1010"/>
          <cell r="O1010"/>
          <cell r="P1010"/>
          <cell r="Q1010"/>
          <cell r="R1010"/>
          <cell r="S1010"/>
          <cell r="T1010"/>
          <cell r="U1010"/>
          <cell r="V1010"/>
          <cell r="W1010"/>
          <cell r="X1010"/>
          <cell r="Y1010"/>
          <cell r="Z1010"/>
          <cell r="AA1010"/>
          <cell r="AB1010"/>
          <cell r="AC1010"/>
          <cell r="AD1010"/>
          <cell r="AE1010"/>
          <cell r="AF1010"/>
          <cell r="AG1010"/>
          <cell r="AH1010"/>
          <cell r="AI1010"/>
          <cell r="AJ1010"/>
          <cell r="AK1010"/>
          <cell r="AL1010"/>
          <cell r="AM1010"/>
          <cell r="AN1010"/>
          <cell r="AO1010"/>
          <cell r="AP1010"/>
          <cell r="AQ1010"/>
          <cell r="AR1010"/>
          <cell r="AS1010"/>
          <cell r="AT1010"/>
          <cell r="AU1010"/>
          <cell r="AV1010"/>
          <cell r="AW1010"/>
          <cell r="AX1010"/>
          <cell r="AY1010"/>
          <cell r="AZ1010"/>
        </row>
        <row r="1011">
          <cell r="A1011"/>
          <cell r="B1011"/>
          <cell r="C1011"/>
          <cell r="D1011"/>
          <cell r="E1011"/>
          <cell r="F1011"/>
          <cell r="G1011"/>
          <cell r="H1011"/>
          <cell r="I1011"/>
          <cell r="J1011"/>
          <cell r="K1011"/>
          <cell r="L1011"/>
          <cell r="M1011"/>
          <cell r="N1011"/>
          <cell r="O1011"/>
          <cell r="P1011"/>
          <cell r="Q1011"/>
          <cell r="R1011"/>
          <cell r="S1011"/>
          <cell r="T1011"/>
          <cell r="U1011"/>
          <cell r="V1011"/>
          <cell r="W1011"/>
          <cell r="X1011"/>
          <cell r="Y1011"/>
          <cell r="Z1011"/>
          <cell r="AA1011"/>
          <cell r="AB1011"/>
          <cell r="AC1011"/>
          <cell r="AD1011"/>
          <cell r="AE1011"/>
          <cell r="AF1011"/>
          <cell r="AG1011"/>
          <cell r="AH1011"/>
          <cell r="AI1011"/>
          <cell r="AJ1011"/>
          <cell r="AK1011"/>
          <cell r="AL1011"/>
          <cell r="AM1011"/>
          <cell r="AN1011"/>
          <cell r="AO1011"/>
          <cell r="AP1011"/>
          <cell r="AQ1011"/>
          <cell r="AR1011"/>
          <cell r="AS1011"/>
          <cell r="AT1011"/>
          <cell r="AU1011"/>
          <cell r="AV1011"/>
          <cell r="AW1011"/>
          <cell r="AX1011"/>
          <cell r="AY1011"/>
          <cell r="AZ1011"/>
        </row>
        <row r="1012">
          <cell r="A1012"/>
          <cell r="B1012"/>
          <cell r="C1012"/>
          <cell r="D1012"/>
          <cell r="E1012"/>
          <cell r="F1012"/>
          <cell r="G1012"/>
          <cell r="H1012"/>
          <cell r="I1012"/>
          <cell r="J1012"/>
          <cell r="K1012"/>
          <cell r="L1012"/>
          <cell r="M1012"/>
          <cell r="N1012"/>
          <cell r="O1012"/>
          <cell r="P1012"/>
          <cell r="Q1012"/>
          <cell r="R1012"/>
          <cell r="S1012"/>
          <cell r="T1012"/>
          <cell r="U1012"/>
          <cell r="V1012"/>
          <cell r="W1012"/>
          <cell r="X1012"/>
          <cell r="Y1012"/>
          <cell r="Z1012"/>
          <cell r="AA1012"/>
          <cell r="AB1012"/>
          <cell r="AC1012"/>
          <cell r="AD1012"/>
          <cell r="AE1012"/>
          <cell r="AF1012"/>
          <cell r="AG1012"/>
          <cell r="AH1012"/>
          <cell r="AI1012"/>
          <cell r="AJ1012"/>
          <cell r="AK1012"/>
          <cell r="AL1012"/>
          <cell r="AM1012"/>
          <cell r="AN1012"/>
          <cell r="AO1012"/>
          <cell r="AP1012"/>
          <cell r="AQ1012"/>
          <cell r="AR1012"/>
          <cell r="AS1012"/>
          <cell r="AT1012"/>
          <cell r="AU1012"/>
          <cell r="AV1012"/>
          <cell r="AW1012"/>
          <cell r="AX1012"/>
          <cell r="AY1012"/>
          <cell r="AZ1012"/>
        </row>
        <row r="1013">
          <cell r="A1013"/>
          <cell r="B1013"/>
          <cell r="C1013"/>
          <cell r="D1013"/>
          <cell r="E1013"/>
          <cell r="F1013"/>
          <cell r="G1013"/>
          <cell r="H1013"/>
          <cell r="I1013"/>
          <cell r="J1013"/>
          <cell r="K1013"/>
          <cell r="L1013"/>
          <cell r="M1013"/>
          <cell r="N1013"/>
          <cell r="O1013"/>
          <cell r="P1013"/>
          <cell r="Q1013"/>
          <cell r="R1013"/>
          <cell r="S1013"/>
          <cell r="T1013"/>
          <cell r="U1013"/>
          <cell r="V1013"/>
          <cell r="W1013"/>
          <cell r="X1013"/>
          <cell r="Y1013"/>
          <cell r="Z1013"/>
          <cell r="AA1013"/>
          <cell r="AB1013"/>
          <cell r="AC1013"/>
          <cell r="AD1013"/>
          <cell r="AE1013"/>
          <cell r="AF1013"/>
          <cell r="AG1013"/>
          <cell r="AH1013"/>
          <cell r="AI1013"/>
          <cell r="AJ1013"/>
          <cell r="AK1013"/>
          <cell r="AL1013"/>
          <cell r="AM1013"/>
          <cell r="AN1013"/>
          <cell r="AO1013"/>
          <cell r="AP1013"/>
          <cell r="AQ1013"/>
          <cell r="AR1013"/>
          <cell r="AS1013"/>
          <cell r="AT1013"/>
          <cell r="AU1013"/>
          <cell r="AV1013"/>
          <cell r="AW1013"/>
          <cell r="AX1013"/>
          <cell r="AY1013"/>
          <cell r="AZ1013"/>
        </row>
        <row r="1014">
          <cell r="A1014"/>
          <cell r="B1014"/>
          <cell r="C1014"/>
          <cell r="D1014"/>
          <cell r="E1014"/>
          <cell r="F1014"/>
          <cell r="G1014"/>
          <cell r="H1014"/>
          <cell r="I1014"/>
          <cell r="J1014"/>
          <cell r="K1014"/>
          <cell r="L1014"/>
          <cell r="M1014"/>
          <cell r="N1014"/>
          <cell r="O1014"/>
          <cell r="P1014"/>
          <cell r="Q1014"/>
          <cell r="R1014"/>
          <cell r="S1014"/>
          <cell r="T1014"/>
          <cell r="U1014"/>
          <cell r="V1014"/>
          <cell r="W1014"/>
          <cell r="X1014"/>
          <cell r="Y1014"/>
          <cell r="Z1014"/>
          <cell r="AA1014"/>
          <cell r="AB1014"/>
          <cell r="AC1014"/>
          <cell r="AD1014"/>
          <cell r="AE1014"/>
          <cell r="AF1014"/>
          <cell r="AG1014"/>
          <cell r="AH1014"/>
          <cell r="AI1014"/>
          <cell r="AJ1014"/>
          <cell r="AK1014"/>
          <cell r="AL1014"/>
          <cell r="AM1014"/>
          <cell r="AN1014"/>
          <cell r="AO1014"/>
          <cell r="AP1014"/>
          <cell r="AQ1014"/>
          <cell r="AR1014"/>
          <cell r="AS1014"/>
          <cell r="AT1014"/>
          <cell r="AU1014"/>
          <cell r="AV1014"/>
          <cell r="AW1014"/>
          <cell r="AX1014"/>
          <cell r="AY1014"/>
          <cell r="AZ1014"/>
        </row>
        <row r="1015">
          <cell r="A1015"/>
          <cell r="B1015"/>
          <cell r="C1015"/>
          <cell r="D1015"/>
          <cell r="E1015"/>
          <cell r="F1015"/>
          <cell r="G1015"/>
          <cell r="H1015"/>
          <cell r="I1015"/>
          <cell r="J1015"/>
          <cell r="K1015"/>
          <cell r="L1015"/>
          <cell r="M1015"/>
          <cell r="N1015"/>
          <cell r="O1015"/>
          <cell r="P1015"/>
          <cell r="Q1015"/>
          <cell r="R1015"/>
          <cell r="S1015"/>
          <cell r="T1015"/>
          <cell r="U1015"/>
          <cell r="V1015"/>
          <cell r="W1015"/>
          <cell r="X1015"/>
          <cell r="Y1015"/>
          <cell r="Z1015"/>
          <cell r="AA1015"/>
          <cell r="AB1015"/>
          <cell r="AC1015"/>
          <cell r="AD1015"/>
          <cell r="AE1015"/>
          <cell r="AF1015"/>
          <cell r="AG1015"/>
          <cell r="AH1015"/>
          <cell r="AI1015"/>
          <cell r="AJ1015"/>
          <cell r="AK1015"/>
          <cell r="AL1015"/>
          <cell r="AM1015"/>
          <cell r="AN1015"/>
          <cell r="AO1015"/>
          <cell r="AP1015"/>
          <cell r="AQ1015"/>
          <cell r="AR1015"/>
          <cell r="AS1015"/>
          <cell r="AT1015"/>
          <cell r="AU1015"/>
          <cell r="AV1015"/>
          <cell r="AW1015"/>
          <cell r="AX1015"/>
          <cell r="AY1015"/>
          <cell r="AZ1015"/>
        </row>
        <row r="1016">
          <cell r="A1016"/>
          <cell r="B1016"/>
          <cell r="C1016"/>
          <cell r="D1016"/>
          <cell r="E1016"/>
          <cell r="F1016"/>
          <cell r="G1016"/>
          <cell r="H1016"/>
          <cell r="I1016"/>
          <cell r="J1016"/>
          <cell r="K1016"/>
          <cell r="L1016"/>
          <cell r="M1016"/>
          <cell r="N1016"/>
          <cell r="O1016"/>
          <cell r="P1016"/>
          <cell r="Q1016"/>
          <cell r="R1016"/>
          <cell r="S1016"/>
          <cell r="T1016"/>
          <cell r="U1016"/>
          <cell r="V1016"/>
          <cell r="W1016"/>
          <cell r="X1016"/>
          <cell r="Y1016"/>
          <cell r="Z1016"/>
          <cell r="AA1016"/>
          <cell r="AB1016"/>
          <cell r="AC1016"/>
          <cell r="AD1016"/>
          <cell r="AE1016"/>
          <cell r="AF1016"/>
          <cell r="AG1016"/>
          <cell r="AH1016"/>
          <cell r="AI1016"/>
          <cell r="AJ1016"/>
          <cell r="AK1016"/>
          <cell r="AL1016"/>
          <cell r="AM1016"/>
          <cell r="AN1016"/>
          <cell r="AO1016"/>
          <cell r="AP1016"/>
          <cell r="AQ1016"/>
          <cell r="AR1016"/>
          <cell r="AS1016"/>
          <cell r="AT1016"/>
          <cell r="AU1016"/>
          <cell r="AV1016"/>
          <cell r="AW1016"/>
          <cell r="AX1016"/>
          <cell r="AY1016"/>
          <cell r="AZ1016"/>
        </row>
        <row r="1017">
          <cell r="A1017"/>
          <cell r="B1017"/>
          <cell r="C1017"/>
          <cell r="D1017"/>
          <cell r="E1017"/>
          <cell r="F1017"/>
          <cell r="G1017"/>
          <cell r="H1017"/>
          <cell r="I1017"/>
          <cell r="J1017"/>
          <cell r="K1017"/>
          <cell r="L1017"/>
          <cell r="M1017"/>
          <cell r="N1017"/>
          <cell r="O1017"/>
          <cell r="P1017"/>
          <cell r="Q1017"/>
          <cell r="R1017"/>
          <cell r="S1017"/>
          <cell r="T1017"/>
          <cell r="U1017"/>
          <cell r="V1017"/>
          <cell r="W1017"/>
          <cell r="X1017"/>
          <cell r="Y1017"/>
          <cell r="Z1017"/>
          <cell r="AA1017"/>
          <cell r="AB1017"/>
          <cell r="AC1017"/>
          <cell r="AD1017"/>
          <cell r="AE1017"/>
          <cell r="AF1017"/>
          <cell r="AG1017"/>
          <cell r="AH1017"/>
          <cell r="AI1017"/>
          <cell r="AJ1017"/>
          <cell r="AK1017"/>
          <cell r="AL1017"/>
          <cell r="AM1017"/>
          <cell r="AN1017"/>
          <cell r="AO1017"/>
          <cell r="AP1017"/>
          <cell r="AQ1017"/>
          <cell r="AR1017"/>
          <cell r="AS1017"/>
          <cell r="AT1017"/>
          <cell r="AU1017"/>
          <cell r="AV1017"/>
          <cell r="AW1017"/>
          <cell r="AX1017"/>
          <cell r="AY1017"/>
          <cell r="AZ1017"/>
        </row>
        <row r="1018">
          <cell r="A1018"/>
          <cell r="B1018"/>
          <cell r="C1018"/>
          <cell r="D1018"/>
          <cell r="E1018"/>
          <cell r="F1018"/>
          <cell r="G1018"/>
          <cell r="H1018"/>
          <cell r="I1018"/>
          <cell r="J1018"/>
          <cell r="K1018"/>
          <cell r="L1018"/>
          <cell r="M1018"/>
          <cell r="N1018"/>
          <cell r="O1018"/>
          <cell r="P1018"/>
          <cell r="Q1018"/>
          <cell r="R1018"/>
          <cell r="S1018"/>
          <cell r="T1018"/>
          <cell r="U1018"/>
          <cell r="V1018"/>
          <cell r="W1018"/>
          <cell r="X1018"/>
          <cell r="Y1018"/>
          <cell r="Z1018"/>
          <cell r="AA1018"/>
          <cell r="AB1018"/>
          <cell r="AC1018"/>
          <cell r="AD1018"/>
          <cell r="AE1018"/>
          <cell r="AF1018"/>
          <cell r="AG1018"/>
          <cell r="AH1018"/>
          <cell r="AI1018"/>
          <cell r="AJ1018"/>
          <cell r="AK1018"/>
          <cell r="AL1018"/>
          <cell r="AM1018"/>
          <cell r="AN1018"/>
          <cell r="AO1018"/>
          <cell r="AP1018"/>
          <cell r="AQ1018"/>
          <cell r="AR1018"/>
          <cell r="AS1018"/>
          <cell r="AT1018"/>
          <cell r="AU1018"/>
          <cell r="AV1018"/>
          <cell r="AW1018"/>
          <cell r="AX1018"/>
          <cell r="AY1018"/>
          <cell r="AZ1018"/>
        </row>
        <row r="1019">
          <cell r="A1019"/>
          <cell r="B1019"/>
          <cell r="C1019"/>
          <cell r="D1019"/>
          <cell r="E1019"/>
          <cell r="F1019"/>
          <cell r="G1019"/>
          <cell r="H1019"/>
          <cell r="I1019"/>
          <cell r="J1019"/>
          <cell r="K1019"/>
          <cell r="L1019"/>
          <cell r="M1019"/>
          <cell r="N1019"/>
          <cell r="O1019"/>
          <cell r="P1019"/>
          <cell r="Q1019"/>
          <cell r="R1019"/>
          <cell r="S1019"/>
          <cell r="T1019"/>
          <cell r="U1019"/>
          <cell r="V1019"/>
          <cell r="W1019"/>
          <cell r="X1019"/>
          <cell r="Y1019"/>
          <cell r="Z1019"/>
          <cell r="AA1019"/>
          <cell r="AB1019"/>
          <cell r="AC1019"/>
          <cell r="AD1019"/>
          <cell r="AE1019"/>
          <cell r="AF1019"/>
          <cell r="AG1019"/>
          <cell r="AH1019"/>
          <cell r="AI1019"/>
          <cell r="AJ1019"/>
          <cell r="AK1019"/>
          <cell r="AL1019"/>
          <cell r="AM1019"/>
          <cell r="AN1019"/>
          <cell r="AO1019"/>
          <cell r="AP1019"/>
          <cell r="AQ1019"/>
          <cell r="AR1019"/>
          <cell r="AS1019"/>
          <cell r="AT1019"/>
          <cell r="AU1019"/>
          <cell r="AV1019"/>
          <cell r="AW1019"/>
          <cell r="AX1019"/>
          <cell r="AY1019"/>
          <cell r="AZ1019"/>
        </row>
        <row r="1020">
          <cell r="A1020"/>
          <cell r="B1020"/>
          <cell r="C1020"/>
          <cell r="D1020"/>
          <cell r="E1020"/>
          <cell r="F1020"/>
          <cell r="G1020"/>
          <cell r="H1020"/>
          <cell r="I1020"/>
          <cell r="J1020"/>
          <cell r="K1020"/>
          <cell r="L1020"/>
          <cell r="M1020"/>
          <cell r="N1020"/>
          <cell r="O1020"/>
          <cell r="P1020"/>
          <cell r="Q1020"/>
          <cell r="R1020"/>
          <cell r="S1020"/>
          <cell r="T1020"/>
          <cell r="U1020"/>
          <cell r="V1020"/>
          <cell r="W1020"/>
          <cell r="X1020"/>
          <cell r="Y1020"/>
          <cell r="Z1020"/>
          <cell r="AA1020"/>
          <cell r="AB1020"/>
          <cell r="AC1020"/>
          <cell r="AD1020"/>
          <cell r="AE1020"/>
          <cell r="AF1020"/>
          <cell r="AG1020"/>
          <cell r="AH1020"/>
          <cell r="AI1020"/>
          <cell r="AJ1020"/>
          <cell r="AK1020"/>
          <cell r="AL1020"/>
          <cell r="AM1020"/>
          <cell r="AN1020"/>
          <cell r="AO1020"/>
          <cell r="AP1020"/>
          <cell r="AQ1020"/>
          <cell r="AR1020"/>
          <cell r="AS1020"/>
          <cell r="AT1020"/>
          <cell r="AU1020"/>
          <cell r="AV1020"/>
          <cell r="AW1020"/>
          <cell r="AX1020"/>
          <cell r="AY1020"/>
          <cell r="AZ1020"/>
        </row>
        <row r="1021">
          <cell r="A1021"/>
          <cell r="B1021"/>
          <cell r="C1021"/>
          <cell r="D1021"/>
          <cell r="E1021"/>
          <cell r="F1021"/>
          <cell r="G1021"/>
          <cell r="H1021"/>
          <cell r="I1021"/>
          <cell r="J1021"/>
          <cell r="K1021"/>
          <cell r="L1021"/>
          <cell r="M1021"/>
          <cell r="N1021"/>
          <cell r="O1021"/>
          <cell r="P1021"/>
          <cell r="Q1021"/>
          <cell r="R1021"/>
          <cell r="S1021"/>
          <cell r="T1021"/>
          <cell r="U1021"/>
          <cell r="V1021"/>
          <cell r="W1021"/>
          <cell r="X1021"/>
          <cell r="Y1021"/>
          <cell r="Z1021"/>
          <cell r="AA1021"/>
          <cell r="AB1021"/>
          <cell r="AC1021"/>
          <cell r="AD1021"/>
          <cell r="AE1021"/>
          <cell r="AF1021"/>
          <cell r="AG1021"/>
          <cell r="AH1021"/>
          <cell r="AI1021"/>
          <cell r="AJ1021"/>
          <cell r="AK1021"/>
          <cell r="AL1021"/>
          <cell r="AM1021"/>
          <cell r="AN1021"/>
          <cell r="AO1021"/>
          <cell r="AP1021"/>
          <cell r="AQ1021"/>
          <cell r="AR1021"/>
          <cell r="AS1021"/>
          <cell r="AT1021"/>
          <cell r="AU1021"/>
          <cell r="AV1021"/>
          <cell r="AW1021"/>
          <cell r="AX1021"/>
          <cell r="AY1021"/>
          <cell r="AZ1021"/>
        </row>
        <row r="1022">
          <cell r="A1022"/>
          <cell r="B1022"/>
          <cell r="C1022"/>
          <cell r="D1022"/>
          <cell r="E1022"/>
          <cell r="F1022"/>
          <cell r="G1022"/>
          <cell r="H1022"/>
          <cell r="I1022"/>
          <cell r="J1022"/>
          <cell r="K1022"/>
          <cell r="L1022"/>
          <cell r="M1022"/>
          <cell r="N1022"/>
          <cell r="O1022"/>
          <cell r="P1022"/>
          <cell r="Q1022"/>
          <cell r="R1022"/>
          <cell r="S1022"/>
          <cell r="T1022"/>
          <cell r="U1022"/>
          <cell r="V1022"/>
          <cell r="W1022"/>
          <cell r="X1022"/>
          <cell r="Y1022"/>
          <cell r="Z1022"/>
          <cell r="AA1022"/>
          <cell r="AB1022"/>
          <cell r="AC1022"/>
          <cell r="AD1022"/>
          <cell r="AE1022"/>
          <cell r="AF1022"/>
          <cell r="AG1022"/>
          <cell r="AH1022"/>
          <cell r="AI1022"/>
          <cell r="AJ1022"/>
          <cell r="AK1022"/>
          <cell r="AL1022"/>
          <cell r="AM1022"/>
          <cell r="AN1022"/>
          <cell r="AO1022"/>
          <cell r="AP1022"/>
          <cell r="AQ1022"/>
          <cell r="AR1022"/>
          <cell r="AS1022"/>
          <cell r="AT1022"/>
          <cell r="AU1022"/>
          <cell r="AV1022"/>
          <cell r="AW1022"/>
          <cell r="AX1022"/>
          <cell r="AY1022"/>
          <cell r="AZ1022"/>
        </row>
        <row r="1023">
          <cell r="A1023"/>
          <cell r="B1023"/>
          <cell r="C1023"/>
          <cell r="D1023"/>
          <cell r="E1023"/>
          <cell r="F1023"/>
          <cell r="G1023"/>
          <cell r="H1023"/>
          <cell r="I1023"/>
          <cell r="J1023"/>
          <cell r="K1023"/>
          <cell r="L1023"/>
          <cell r="M1023"/>
          <cell r="N1023"/>
          <cell r="O1023"/>
          <cell r="P1023"/>
          <cell r="Q1023"/>
          <cell r="R1023"/>
          <cell r="S1023"/>
          <cell r="T1023"/>
          <cell r="U1023"/>
          <cell r="V1023"/>
          <cell r="W1023"/>
          <cell r="X1023"/>
          <cell r="Y1023"/>
          <cell r="Z1023"/>
          <cell r="AA1023"/>
          <cell r="AB1023"/>
          <cell r="AC1023"/>
          <cell r="AD1023"/>
          <cell r="AE1023"/>
          <cell r="AF1023"/>
          <cell r="AG1023"/>
          <cell r="AH1023"/>
          <cell r="AI1023"/>
          <cell r="AJ1023"/>
          <cell r="AK1023"/>
          <cell r="AL1023"/>
          <cell r="AM1023"/>
          <cell r="AN1023"/>
          <cell r="AO1023"/>
          <cell r="AP1023"/>
          <cell r="AQ1023"/>
          <cell r="AR1023"/>
          <cell r="AS1023"/>
          <cell r="AT1023"/>
          <cell r="AU1023"/>
          <cell r="AV1023"/>
          <cell r="AW1023"/>
          <cell r="AX1023"/>
          <cell r="AY1023"/>
          <cell r="AZ1023"/>
        </row>
        <row r="1024">
          <cell r="A1024"/>
          <cell r="B1024"/>
          <cell r="C1024"/>
          <cell r="D1024"/>
          <cell r="E1024"/>
          <cell r="F1024"/>
          <cell r="G1024"/>
          <cell r="H1024"/>
          <cell r="I1024"/>
          <cell r="J1024"/>
          <cell r="K1024"/>
          <cell r="L1024"/>
          <cell r="M1024"/>
          <cell r="N1024"/>
          <cell r="O1024"/>
          <cell r="P1024"/>
          <cell r="Q1024"/>
          <cell r="R1024"/>
          <cell r="S1024"/>
          <cell r="T1024"/>
          <cell r="U1024"/>
          <cell r="V1024"/>
          <cell r="W1024"/>
          <cell r="X1024"/>
          <cell r="Y1024"/>
          <cell r="Z1024"/>
          <cell r="AA1024"/>
          <cell r="AB1024"/>
          <cell r="AC1024"/>
          <cell r="AD1024"/>
          <cell r="AE1024"/>
          <cell r="AF1024"/>
          <cell r="AG1024"/>
          <cell r="AH1024"/>
          <cell r="AI1024"/>
          <cell r="AJ1024"/>
          <cell r="AK1024"/>
          <cell r="AL1024"/>
          <cell r="AM1024"/>
          <cell r="AN1024"/>
          <cell r="AO1024"/>
          <cell r="AP1024"/>
          <cell r="AQ1024"/>
          <cell r="AR1024"/>
          <cell r="AS1024"/>
          <cell r="AT1024"/>
          <cell r="AU1024"/>
          <cell r="AV1024"/>
          <cell r="AW1024"/>
          <cell r="AX1024"/>
          <cell r="AY1024"/>
          <cell r="AZ1024"/>
        </row>
        <row r="1025">
          <cell r="A1025"/>
          <cell r="B1025"/>
          <cell r="C1025"/>
          <cell r="D1025"/>
          <cell r="E1025"/>
          <cell r="F1025"/>
          <cell r="G1025"/>
          <cell r="H1025"/>
          <cell r="I1025"/>
          <cell r="J1025"/>
          <cell r="K1025"/>
          <cell r="L1025"/>
          <cell r="M1025"/>
          <cell r="N1025"/>
          <cell r="O1025"/>
          <cell r="P1025"/>
          <cell r="Q1025"/>
          <cell r="R1025"/>
          <cell r="S1025"/>
          <cell r="T1025"/>
          <cell r="U1025"/>
          <cell r="V1025"/>
          <cell r="W1025"/>
          <cell r="X1025"/>
          <cell r="Y1025"/>
          <cell r="Z1025"/>
          <cell r="AA1025"/>
          <cell r="AB1025"/>
          <cell r="AC1025"/>
          <cell r="AD1025"/>
          <cell r="AE1025"/>
          <cell r="AF1025"/>
          <cell r="AG1025"/>
          <cell r="AH1025"/>
          <cell r="AI1025"/>
          <cell r="AJ1025"/>
          <cell r="AK1025"/>
          <cell r="AL1025"/>
          <cell r="AM1025"/>
          <cell r="AN1025"/>
          <cell r="AO1025"/>
          <cell r="AP1025"/>
          <cell r="AQ1025"/>
          <cell r="AR1025"/>
          <cell r="AS1025"/>
          <cell r="AT1025"/>
          <cell r="AU1025"/>
          <cell r="AV1025"/>
          <cell r="AW1025"/>
          <cell r="AX1025"/>
          <cell r="AY1025"/>
          <cell r="AZ1025"/>
        </row>
        <row r="1026">
          <cell r="A1026"/>
          <cell r="B1026"/>
          <cell r="C1026"/>
          <cell r="D1026"/>
          <cell r="E1026"/>
          <cell r="F1026"/>
          <cell r="G1026"/>
          <cell r="H1026"/>
          <cell r="I1026"/>
          <cell r="J1026"/>
          <cell r="K1026"/>
          <cell r="L1026"/>
          <cell r="M1026"/>
          <cell r="N1026"/>
          <cell r="O1026"/>
          <cell r="P1026"/>
          <cell r="Q1026"/>
          <cell r="R1026"/>
          <cell r="S1026"/>
          <cell r="T1026"/>
          <cell r="U1026"/>
          <cell r="V1026"/>
          <cell r="W1026"/>
          <cell r="X1026"/>
          <cell r="Y1026"/>
          <cell r="Z1026"/>
          <cell r="AA1026"/>
          <cell r="AB1026"/>
          <cell r="AC1026"/>
          <cell r="AD1026"/>
          <cell r="AE1026"/>
          <cell r="AF1026"/>
          <cell r="AG1026"/>
          <cell r="AH1026"/>
          <cell r="AI1026"/>
          <cell r="AJ1026"/>
          <cell r="AK1026"/>
          <cell r="AL1026"/>
          <cell r="AM1026"/>
          <cell r="AN1026"/>
          <cell r="AO1026"/>
          <cell r="AP1026"/>
          <cell r="AQ1026"/>
          <cell r="AR1026"/>
          <cell r="AS1026"/>
          <cell r="AT1026"/>
          <cell r="AU1026"/>
          <cell r="AV1026"/>
          <cell r="AW1026"/>
          <cell r="AX1026"/>
          <cell r="AY1026"/>
          <cell r="AZ1026"/>
        </row>
        <row r="1027">
          <cell r="A1027"/>
          <cell r="B1027"/>
          <cell r="C1027"/>
          <cell r="D1027"/>
          <cell r="E1027"/>
          <cell r="F1027"/>
          <cell r="G1027"/>
          <cell r="H1027"/>
          <cell r="I1027"/>
          <cell r="J1027"/>
          <cell r="K1027"/>
          <cell r="L1027"/>
          <cell r="M1027"/>
          <cell r="N1027"/>
          <cell r="O1027"/>
          <cell r="P1027"/>
          <cell r="Q1027"/>
          <cell r="R1027"/>
          <cell r="S1027"/>
          <cell r="T1027"/>
          <cell r="U1027"/>
          <cell r="V1027"/>
          <cell r="W1027"/>
          <cell r="X1027"/>
          <cell r="Y1027"/>
          <cell r="Z1027"/>
          <cell r="AA1027"/>
          <cell r="AB1027"/>
          <cell r="AC1027"/>
          <cell r="AD1027"/>
          <cell r="AE1027"/>
          <cell r="AF1027"/>
          <cell r="AG1027"/>
          <cell r="AH1027"/>
          <cell r="AI1027"/>
          <cell r="AJ1027"/>
          <cell r="AK1027"/>
          <cell r="AL1027"/>
          <cell r="AM1027"/>
          <cell r="AN1027"/>
          <cell r="AO1027"/>
          <cell r="AP1027"/>
          <cell r="AQ1027"/>
          <cell r="AR1027"/>
          <cell r="AS1027"/>
          <cell r="AT1027"/>
          <cell r="AU1027"/>
          <cell r="AV1027"/>
          <cell r="AW1027"/>
          <cell r="AX1027"/>
          <cell r="AY1027"/>
          <cell r="AZ1027"/>
        </row>
        <row r="1028">
          <cell r="A1028"/>
          <cell r="B1028"/>
          <cell r="C1028"/>
          <cell r="D1028"/>
          <cell r="E1028"/>
          <cell r="F1028"/>
          <cell r="G1028"/>
          <cell r="H1028"/>
          <cell r="I1028"/>
          <cell r="J1028"/>
          <cell r="K1028"/>
          <cell r="L1028"/>
          <cell r="M1028"/>
          <cell r="N1028"/>
          <cell r="O1028"/>
          <cell r="P1028"/>
          <cell r="Q1028"/>
          <cell r="R1028"/>
          <cell r="S1028"/>
          <cell r="T1028"/>
          <cell r="U1028"/>
          <cell r="V1028"/>
          <cell r="W1028"/>
          <cell r="X1028"/>
          <cell r="Y1028"/>
          <cell r="Z1028"/>
          <cell r="AA1028"/>
          <cell r="AB1028"/>
          <cell r="AC1028"/>
          <cell r="AD1028"/>
          <cell r="AE1028"/>
          <cell r="AF1028"/>
          <cell r="AG1028"/>
          <cell r="AH1028"/>
          <cell r="AI1028"/>
          <cell r="AJ1028"/>
          <cell r="AK1028"/>
          <cell r="AL1028"/>
          <cell r="AM1028"/>
          <cell r="AN1028"/>
          <cell r="AO1028"/>
          <cell r="AP1028"/>
          <cell r="AQ1028"/>
          <cell r="AR1028"/>
          <cell r="AS1028"/>
          <cell r="AT1028"/>
          <cell r="AU1028"/>
          <cell r="AV1028"/>
          <cell r="AW1028"/>
          <cell r="AX1028"/>
          <cell r="AY1028"/>
          <cell r="AZ1028"/>
        </row>
        <row r="1029">
          <cell r="A1029"/>
          <cell r="B1029"/>
          <cell r="C1029"/>
          <cell r="D1029"/>
          <cell r="E1029"/>
          <cell r="F1029"/>
          <cell r="G1029"/>
          <cell r="H1029"/>
          <cell r="I1029"/>
          <cell r="J1029"/>
          <cell r="K1029"/>
          <cell r="L1029"/>
          <cell r="M1029"/>
          <cell r="N1029"/>
          <cell r="O1029"/>
          <cell r="P1029"/>
          <cell r="Q1029"/>
          <cell r="R1029"/>
          <cell r="S1029"/>
          <cell r="T1029"/>
          <cell r="U1029"/>
          <cell r="V1029"/>
          <cell r="W1029"/>
          <cell r="X1029"/>
          <cell r="Y1029"/>
          <cell r="Z1029"/>
          <cell r="AA1029"/>
          <cell r="AB1029"/>
          <cell r="AC1029"/>
          <cell r="AD1029"/>
          <cell r="AE1029"/>
          <cell r="AF1029"/>
          <cell r="AG1029"/>
          <cell r="AH1029"/>
          <cell r="AI1029"/>
          <cell r="AJ1029"/>
          <cell r="AK1029"/>
          <cell r="AL1029"/>
          <cell r="AM1029"/>
          <cell r="AN1029"/>
          <cell r="AO1029"/>
          <cell r="AP1029"/>
          <cell r="AQ1029"/>
          <cell r="AR1029"/>
          <cell r="AS1029"/>
          <cell r="AT1029"/>
          <cell r="AU1029"/>
          <cell r="AV1029"/>
          <cell r="AW1029"/>
          <cell r="AX1029"/>
          <cell r="AY1029"/>
          <cell r="AZ1029"/>
        </row>
        <row r="1030">
          <cell r="A1030"/>
          <cell r="B1030"/>
          <cell r="C1030"/>
          <cell r="D1030"/>
          <cell r="E1030"/>
          <cell r="F1030"/>
          <cell r="G1030"/>
          <cell r="H1030"/>
          <cell r="I1030"/>
          <cell r="J1030"/>
          <cell r="K1030"/>
          <cell r="L1030"/>
          <cell r="M1030"/>
          <cell r="N1030"/>
          <cell r="O1030"/>
          <cell r="P1030"/>
          <cell r="Q1030"/>
          <cell r="R1030"/>
          <cell r="S1030"/>
          <cell r="T1030"/>
          <cell r="U1030"/>
          <cell r="V1030"/>
          <cell r="W1030"/>
          <cell r="X1030"/>
          <cell r="Y1030"/>
          <cell r="Z1030"/>
          <cell r="AA1030"/>
          <cell r="AB1030"/>
          <cell r="AC1030"/>
          <cell r="AD1030"/>
          <cell r="AE1030"/>
          <cell r="AF1030"/>
          <cell r="AG1030"/>
          <cell r="AH1030"/>
          <cell r="AI1030"/>
          <cell r="AJ1030"/>
          <cell r="AK1030"/>
          <cell r="AL1030"/>
          <cell r="AM1030"/>
          <cell r="AN1030"/>
          <cell r="AO1030"/>
          <cell r="AP1030"/>
          <cell r="AQ1030"/>
          <cell r="AR1030"/>
          <cell r="AS1030"/>
          <cell r="AT1030"/>
          <cell r="AU1030"/>
          <cell r="AV1030"/>
          <cell r="AW1030"/>
          <cell r="AX1030"/>
          <cell r="AY1030"/>
          <cell r="AZ1030"/>
        </row>
        <row r="1031">
          <cell r="A1031"/>
          <cell r="B1031"/>
          <cell r="C1031"/>
          <cell r="D1031"/>
          <cell r="E1031"/>
          <cell r="F1031"/>
          <cell r="G1031"/>
          <cell r="H1031"/>
          <cell r="I1031"/>
          <cell r="J1031"/>
          <cell r="K1031"/>
          <cell r="L1031"/>
          <cell r="M1031"/>
          <cell r="N1031"/>
          <cell r="O1031"/>
          <cell r="P1031"/>
          <cell r="Q1031"/>
          <cell r="R1031"/>
          <cell r="S1031"/>
          <cell r="T1031"/>
          <cell r="U1031"/>
          <cell r="V1031"/>
          <cell r="W1031"/>
          <cell r="X1031"/>
          <cell r="Y1031"/>
          <cell r="Z1031"/>
          <cell r="AA1031"/>
          <cell r="AB1031"/>
          <cell r="AC1031"/>
          <cell r="AD1031"/>
          <cell r="AE1031"/>
          <cell r="AF1031"/>
          <cell r="AG1031"/>
          <cell r="AH1031"/>
          <cell r="AI1031"/>
          <cell r="AJ1031"/>
          <cell r="AK1031"/>
          <cell r="AL1031"/>
          <cell r="AM1031"/>
          <cell r="AN1031"/>
          <cell r="AO1031"/>
          <cell r="AP1031"/>
          <cell r="AQ1031"/>
          <cell r="AR1031"/>
          <cell r="AS1031"/>
          <cell r="AT1031"/>
          <cell r="AU1031"/>
          <cell r="AV1031"/>
          <cell r="AW1031"/>
          <cell r="AX1031"/>
          <cell r="AY1031"/>
          <cell r="AZ1031"/>
        </row>
        <row r="1032">
          <cell r="A1032"/>
          <cell r="B1032"/>
          <cell r="C1032"/>
          <cell r="D1032"/>
          <cell r="E1032"/>
          <cell r="F1032"/>
          <cell r="G1032"/>
          <cell r="H1032"/>
          <cell r="I1032"/>
          <cell r="J1032"/>
          <cell r="K1032"/>
          <cell r="L1032"/>
          <cell r="M1032"/>
          <cell r="N1032"/>
          <cell r="O1032"/>
          <cell r="P1032"/>
          <cell r="Q1032"/>
          <cell r="R1032"/>
          <cell r="S1032"/>
          <cell r="T1032"/>
          <cell r="U1032"/>
          <cell r="V1032"/>
          <cell r="W1032"/>
          <cell r="X1032"/>
          <cell r="Y1032"/>
          <cell r="Z1032"/>
          <cell r="AA1032"/>
          <cell r="AB1032"/>
          <cell r="AC1032"/>
          <cell r="AD1032"/>
          <cell r="AE1032"/>
          <cell r="AF1032"/>
          <cell r="AG1032"/>
          <cell r="AH1032"/>
          <cell r="AI1032"/>
          <cell r="AJ1032"/>
          <cell r="AK1032"/>
          <cell r="AL1032"/>
          <cell r="AM1032"/>
          <cell r="AN1032"/>
          <cell r="AO1032"/>
          <cell r="AP1032"/>
          <cell r="AQ1032"/>
          <cell r="AR1032"/>
          <cell r="AS1032"/>
          <cell r="AT1032"/>
          <cell r="AU1032"/>
          <cell r="AV1032"/>
          <cell r="AW1032"/>
          <cell r="AX1032"/>
          <cell r="AY1032"/>
          <cell r="AZ1032"/>
        </row>
        <row r="1033">
          <cell r="A1033"/>
          <cell r="B1033"/>
          <cell r="C1033"/>
          <cell r="D1033"/>
          <cell r="E1033"/>
          <cell r="F1033"/>
          <cell r="G1033"/>
          <cell r="H1033"/>
          <cell r="I1033"/>
          <cell r="J1033"/>
          <cell r="K1033"/>
          <cell r="L1033"/>
          <cell r="M1033"/>
          <cell r="N1033"/>
          <cell r="O1033"/>
          <cell r="P1033"/>
          <cell r="Q1033"/>
          <cell r="R1033"/>
          <cell r="S1033"/>
          <cell r="T1033"/>
          <cell r="U1033"/>
          <cell r="V1033"/>
          <cell r="W1033"/>
          <cell r="X1033"/>
          <cell r="Y1033"/>
          <cell r="Z1033"/>
          <cell r="AA1033"/>
          <cell r="AB1033"/>
          <cell r="AC1033"/>
          <cell r="AD1033"/>
          <cell r="AE1033"/>
          <cell r="AF1033"/>
          <cell r="AG1033"/>
          <cell r="AH1033"/>
          <cell r="AI1033"/>
          <cell r="AJ1033"/>
          <cell r="AK1033"/>
          <cell r="AL1033"/>
          <cell r="AM1033"/>
          <cell r="AN1033"/>
          <cell r="AO1033"/>
          <cell r="AP1033"/>
          <cell r="AQ1033"/>
          <cell r="AR1033"/>
          <cell r="AS1033"/>
          <cell r="AT1033"/>
          <cell r="AU1033"/>
          <cell r="AV1033"/>
          <cell r="AW1033"/>
          <cell r="AX1033"/>
          <cell r="AY1033"/>
          <cell r="AZ1033"/>
        </row>
        <row r="1034">
          <cell r="A1034"/>
          <cell r="B1034"/>
          <cell r="C1034"/>
          <cell r="D1034"/>
          <cell r="E1034"/>
          <cell r="F1034"/>
          <cell r="G1034"/>
          <cell r="H1034"/>
          <cell r="I1034"/>
          <cell r="J1034"/>
          <cell r="K1034"/>
          <cell r="L1034"/>
          <cell r="M1034"/>
          <cell r="N1034"/>
          <cell r="O1034"/>
          <cell r="P1034"/>
          <cell r="Q1034"/>
          <cell r="R1034"/>
          <cell r="S1034"/>
          <cell r="T1034"/>
          <cell r="U1034"/>
          <cell r="V1034"/>
          <cell r="W1034"/>
          <cell r="X1034"/>
          <cell r="Y1034"/>
          <cell r="Z1034"/>
          <cell r="AA1034"/>
          <cell r="AB1034"/>
          <cell r="AC1034"/>
          <cell r="AD1034"/>
          <cell r="AE1034"/>
          <cell r="AF1034"/>
          <cell r="AG1034"/>
          <cell r="AH1034"/>
          <cell r="AI1034"/>
          <cell r="AJ1034"/>
          <cell r="AK1034"/>
          <cell r="AL1034"/>
          <cell r="AM1034"/>
          <cell r="AN1034"/>
          <cell r="AO1034"/>
          <cell r="AP1034"/>
          <cell r="AQ1034"/>
          <cell r="AR1034"/>
          <cell r="AS1034"/>
          <cell r="AT1034"/>
          <cell r="AU1034"/>
          <cell r="AV1034"/>
          <cell r="AW1034"/>
          <cell r="AX1034"/>
          <cell r="AY1034"/>
          <cell r="AZ1034"/>
        </row>
        <row r="1035">
          <cell r="A1035"/>
          <cell r="B1035"/>
          <cell r="C1035"/>
          <cell r="D1035"/>
          <cell r="E1035"/>
          <cell r="F1035"/>
          <cell r="G1035"/>
          <cell r="H1035"/>
          <cell r="I1035"/>
          <cell r="J1035"/>
          <cell r="K1035"/>
          <cell r="L1035"/>
          <cell r="M1035"/>
          <cell r="N1035"/>
          <cell r="O1035"/>
          <cell r="P1035"/>
          <cell r="Q1035"/>
          <cell r="R1035"/>
          <cell r="S1035"/>
          <cell r="T1035"/>
          <cell r="U1035"/>
          <cell r="V1035"/>
          <cell r="W1035"/>
          <cell r="X1035"/>
          <cell r="Y1035"/>
          <cell r="Z1035"/>
          <cell r="AA1035"/>
          <cell r="AB1035"/>
          <cell r="AC1035"/>
          <cell r="AD1035"/>
          <cell r="AE1035"/>
          <cell r="AF1035"/>
          <cell r="AG1035"/>
          <cell r="AH1035"/>
          <cell r="AI1035"/>
          <cell r="AJ1035"/>
          <cell r="AK1035"/>
          <cell r="AL1035"/>
          <cell r="AM1035"/>
          <cell r="AN1035"/>
          <cell r="AO1035"/>
          <cell r="AP1035"/>
          <cell r="AQ1035"/>
          <cell r="AR1035"/>
          <cell r="AS1035"/>
          <cell r="AT1035"/>
          <cell r="AU1035"/>
          <cell r="AV1035"/>
          <cell r="AW1035"/>
          <cell r="AX1035"/>
          <cell r="AY1035"/>
          <cell r="AZ1035"/>
        </row>
        <row r="1036">
          <cell r="A1036"/>
          <cell r="B1036"/>
          <cell r="C1036"/>
          <cell r="D1036"/>
          <cell r="E1036"/>
          <cell r="F1036"/>
          <cell r="G1036"/>
          <cell r="H1036"/>
          <cell r="I1036"/>
          <cell r="J1036"/>
          <cell r="K1036"/>
          <cell r="L1036"/>
          <cell r="M1036"/>
          <cell r="N1036"/>
          <cell r="O1036"/>
          <cell r="P1036"/>
          <cell r="Q1036"/>
          <cell r="R1036"/>
          <cell r="S1036"/>
          <cell r="T1036"/>
          <cell r="U1036"/>
          <cell r="V1036"/>
          <cell r="W1036"/>
          <cell r="X1036"/>
          <cell r="Y1036"/>
          <cell r="Z1036"/>
          <cell r="AA1036"/>
          <cell r="AB1036"/>
          <cell r="AC1036"/>
          <cell r="AD1036"/>
          <cell r="AE1036"/>
          <cell r="AF1036"/>
          <cell r="AG1036"/>
          <cell r="AH1036"/>
          <cell r="AI1036"/>
          <cell r="AJ1036"/>
          <cell r="AK1036"/>
          <cell r="AL1036"/>
          <cell r="AM1036"/>
          <cell r="AN1036"/>
          <cell r="AO1036"/>
          <cell r="AP1036"/>
          <cell r="AQ1036"/>
          <cell r="AR1036"/>
          <cell r="AS1036"/>
          <cell r="AT1036"/>
          <cell r="AU1036"/>
          <cell r="AV1036"/>
          <cell r="AW1036"/>
          <cell r="AX1036"/>
          <cell r="AY1036"/>
          <cell r="AZ1036"/>
        </row>
        <row r="1037">
          <cell r="A1037"/>
          <cell r="B1037"/>
          <cell r="C1037"/>
          <cell r="D1037"/>
          <cell r="E1037"/>
          <cell r="F1037"/>
          <cell r="G1037"/>
          <cell r="H1037"/>
          <cell r="I1037"/>
          <cell r="J1037"/>
          <cell r="K1037"/>
          <cell r="L1037"/>
          <cell r="M1037"/>
          <cell r="N1037"/>
          <cell r="O1037"/>
          <cell r="P1037"/>
          <cell r="Q1037"/>
          <cell r="R1037"/>
          <cell r="S1037"/>
          <cell r="T1037"/>
          <cell r="U1037"/>
          <cell r="V1037"/>
          <cell r="W1037"/>
          <cell r="X1037"/>
          <cell r="Y1037"/>
          <cell r="Z1037"/>
          <cell r="AA1037"/>
          <cell r="AB1037"/>
          <cell r="AC1037"/>
          <cell r="AD1037"/>
          <cell r="AE1037"/>
          <cell r="AF1037"/>
          <cell r="AG1037"/>
          <cell r="AH1037"/>
          <cell r="AI1037"/>
          <cell r="AJ1037"/>
          <cell r="AK1037"/>
          <cell r="AL1037"/>
          <cell r="AM1037"/>
          <cell r="AN1037"/>
          <cell r="AO1037"/>
          <cell r="AP1037"/>
          <cell r="AQ1037"/>
          <cell r="AR1037"/>
          <cell r="AS1037"/>
          <cell r="AT1037"/>
          <cell r="AU1037"/>
          <cell r="AV1037"/>
          <cell r="AW1037"/>
          <cell r="AX1037"/>
          <cell r="AY1037"/>
          <cell r="AZ1037"/>
        </row>
        <row r="1038">
          <cell r="A1038"/>
          <cell r="B1038"/>
          <cell r="C1038"/>
          <cell r="D1038"/>
          <cell r="E1038"/>
          <cell r="F1038"/>
          <cell r="G1038"/>
          <cell r="H1038"/>
          <cell r="I1038"/>
          <cell r="J1038"/>
          <cell r="K1038"/>
          <cell r="L1038"/>
          <cell r="M1038"/>
          <cell r="N1038"/>
          <cell r="O1038"/>
          <cell r="P1038"/>
          <cell r="Q1038"/>
          <cell r="R1038"/>
          <cell r="S1038"/>
          <cell r="T1038"/>
          <cell r="U1038"/>
          <cell r="V1038"/>
          <cell r="W1038"/>
          <cell r="X1038"/>
          <cell r="Y1038"/>
          <cell r="Z1038"/>
          <cell r="AA1038"/>
          <cell r="AB1038"/>
          <cell r="AC1038"/>
          <cell r="AD1038"/>
          <cell r="AE1038"/>
          <cell r="AF1038"/>
          <cell r="AG1038"/>
          <cell r="AH1038"/>
          <cell r="AI1038"/>
          <cell r="AJ1038"/>
          <cell r="AK1038"/>
          <cell r="AL1038"/>
          <cell r="AM1038"/>
          <cell r="AN1038"/>
          <cell r="AO1038"/>
          <cell r="AP1038"/>
          <cell r="AQ1038"/>
          <cell r="AR1038"/>
          <cell r="AS1038"/>
          <cell r="AT1038"/>
          <cell r="AU1038"/>
          <cell r="AV1038"/>
          <cell r="AW1038"/>
          <cell r="AX1038"/>
          <cell r="AY1038"/>
          <cell r="AZ1038"/>
        </row>
        <row r="1039">
          <cell r="A1039"/>
          <cell r="B1039"/>
          <cell r="C1039"/>
          <cell r="D1039"/>
          <cell r="E1039"/>
          <cell r="F1039"/>
          <cell r="G1039"/>
          <cell r="H1039"/>
          <cell r="I1039"/>
          <cell r="J1039"/>
          <cell r="K1039"/>
          <cell r="L1039"/>
          <cell r="M1039"/>
          <cell r="N1039"/>
          <cell r="O1039"/>
          <cell r="P1039"/>
          <cell r="Q1039"/>
          <cell r="R1039"/>
          <cell r="S1039"/>
          <cell r="T1039"/>
          <cell r="U1039"/>
          <cell r="V1039"/>
          <cell r="W1039"/>
          <cell r="X1039"/>
          <cell r="Y1039"/>
          <cell r="Z1039"/>
          <cell r="AA1039"/>
          <cell r="AB1039"/>
          <cell r="AC1039"/>
          <cell r="AD1039"/>
          <cell r="AE1039"/>
          <cell r="AF1039"/>
          <cell r="AG1039"/>
          <cell r="AH1039"/>
          <cell r="AI1039"/>
          <cell r="AJ1039"/>
          <cell r="AK1039"/>
          <cell r="AL1039"/>
          <cell r="AM1039"/>
          <cell r="AN1039"/>
          <cell r="AO1039"/>
          <cell r="AP1039"/>
          <cell r="AQ1039"/>
          <cell r="AR1039"/>
          <cell r="AS1039"/>
          <cell r="AT1039"/>
          <cell r="AU1039"/>
          <cell r="AV1039"/>
          <cell r="AW1039"/>
          <cell r="AX1039"/>
          <cell r="AY1039"/>
          <cell r="AZ1039"/>
        </row>
        <row r="1040">
          <cell r="A1040"/>
          <cell r="B1040"/>
          <cell r="C1040"/>
          <cell r="D1040"/>
          <cell r="E1040"/>
          <cell r="F1040"/>
          <cell r="G1040"/>
          <cell r="H1040"/>
          <cell r="I1040"/>
          <cell r="J1040"/>
          <cell r="K1040"/>
          <cell r="L1040"/>
          <cell r="M1040"/>
          <cell r="N1040"/>
          <cell r="O1040"/>
          <cell r="P1040"/>
          <cell r="Q1040"/>
          <cell r="R1040"/>
          <cell r="S1040"/>
          <cell r="T1040"/>
          <cell r="U1040"/>
          <cell r="V1040"/>
          <cell r="W1040"/>
          <cell r="X1040"/>
          <cell r="Y1040"/>
          <cell r="Z1040"/>
          <cell r="AA1040"/>
          <cell r="AB1040"/>
          <cell r="AC1040"/>
          <cell r="AD1040"/>
          <cell r="AE1040"/>
          <cell r="AF1040"/>
          <cell r="AG1040"/>
          <cell r="AH1040"/>
          <cell r="AI1040"/>
          <cell r="AJ1040"/>
          <cell r="AK1040"/>
          <cell r="AL1040"/>
          <cell r="AM1040"/>
          <cell r="AN1040"/>
          <cell r="AO1040"/>
          <cell r="AP1040"/>
          <cell r="AQ1040"/>
          <cell r="AR1040"/>
          <cell r="AS1040"/>
          <cell r="AT1040"/>
          <cell r="AU1040"/>
          <cell r="AV1040"/>
          <cell r="AW1040"/>
          <cell r="AX1040"/>
          <cell r="AY1040"/>
          <cell r="AZ1040"/>
        </row>
        <row r="1041">
          <cell r="A1041"/>
          <cell r="B1041"/>
          <cell r="C1041"/>
          <cell r="D1041"/>
          <cell r="E1041"/>
          <cell r="F1041"/>
          <cell r="G1041"/>
          <cell r="H1041"/>
          <cell r="I1041"/>
          <cell r="J1041"/>
          <cell r="K1041"/>
          <cell r="L1041"/>
          <cell r="M1041"/>
          <cell r="N1041"/>
          <cell r="O1041"/>
          <cell r="P1041"/>
          <cell r="Q1041"/>
          <cell r="R1041"/>
          <cell r="S1041"/>
          <cell r="T1041"/>
          <cell r="U1041"/>
          <cell r="V1041"/>
          <cell r="W1041"/>
          <cell r="X1041"/>
          <cell r="Y1041"/>
          <cell r="Z1041"/>
          <cell r="AA1041"/>
          <cell r="AB1041"/>
          <cell r="AC1041"/>
          <cell r="AD1041"/>
          <cell r="AE1041"/>
          <cell r="AF1041"/>
          <cell r="AG1041"/>
          <cell r="AH1041"/>
          <cell r="AI1041"/>
          <cell r="AJ1041"/>
          <cell r="AK1041"/>
          <cell r="AL1041"/>
          <cell r="AM1041"/>
          <cell r="AN1041"/>
          <cell r="AO1041"/>
          <cell r="AP1041"/>
          <cell r="AQ1041"/>
          <cell r="AR1041"/>
          <cell r="AS1041"/>
          <cell r="AT1041"/>
          <cell r="AU1041"/>
          <cell r="AV1041"/>
          <cell r="AW1041"/>
          <cell r="AX1041"/>
          <cell r="AY1041"/>
          <cell r="AZ1041"/>
        </row>
        <row r="1042">
          <cell r="A1042"/>
          <cell r="B1042"/>
          <cell r="C1042"/>
          <cell r="D1042"/>
          <cell r="E1042"/>
          <cell r="F1042"/>
          <cell r="G1042"/>
          <cell r="H1042"/>
          <cell r="I1042"/>
          <cell r="J1042"/>
          <cell r="K1042"/>
          <cell r="L1042"/>
          <cell r="M1042"/>
          <cell r="N1042"/>
          <cell r="O1042"/>
          <cell r="P1042"/>
          <cell r="Q1042"/>
          <cell r="R1042"/>
          <cell r="S1042"/>
          <cell r="T1042"/>
          <cell r="U1042"/>
          <cell r="V1042"/>
          <cell r="W1042"/>
          <cell r="X1042"/>
          <cell r="Y1042"/>
          <cell r="Z1042"/>
          <cell r="AA1042"/>
          <cell r="AB1042"/>
          <cell r="AC1042"/>
          <cell r="AD1042"/>
          <cell r="AE1042"/>
          <cell r="AF1042"/>
          <cell r="AG1042"/>
          <cell r="AH1042"/>
          <cell r="AI1042"/>
          <cell r="AJ1042"/>
          <cell r="AK1042"/>
          <cell r="AL1042"/>
          <cell r="AM1042"/>
          <cell r="AN1042"/>
          <cell r="AO1042"/>
          <cell r="AP1042"/>
          <cell r="AQ1042"/>
          <cell r="AR1042"/>
          <cell r="AS1042"/>
          <cell r="AT1042"/>
          <cell r="AU1042"/>
          <cell r="AV1042"/>
          <cell r="AW1042"/>
          <cell r="AX1042"/>
          <cell r="AY1042"/>
          <cell r="AZ1042"/>
        </row>
        <row r="1043">
          <cell r="A1043"/>
          <cell r="B1043"/>
          <cell r="C1043"/>
          <cell r="D1043"/>
          <cell r="E1043"/>
          <cell r="F1043"/>
          <cell r="G1043"/>
          <cell r="H1043"/>
          <cell r="I1043"/>
          <cell r="J1043"/>
          <cell r="K1043"/>
          <cell r="L1043"/>
          <cell r="M1043"/>
          <cell r="N1043"/>
          <cell r="O1043"/>
          <cell r="P1043"/>
          <cell r="Q1043"/>
          <cell r="R1043"/>
          <cell r="S1043"/>
          <cell r="T1043"/>
          <cell r="U1043"/>
          <cell r="V1043"/>
          <cell r="W1043"/>
          <cell r="X1043"/>
          <cell r="Y1043"/>
          <cell r="Z1043"/>
          <cell r="AA1043"/>
          <cell r="AB1043"/>
          <cell r="AC1043"/>
          <cell r="AD1043"/>
          <cell r="AE1043"/>
          <cell r="AF1043"/>
          <cell r="AG1043"/>
          <cell r="AH1043"/>
          <cell r="AI1043"/>
          <cell r="AJ1043"/>
          <cell r="AK1043"/>
          <cell r="AL1043"/>
          <cell r="AM1043"/>
          <cell r="AN1043"/>
          <cell r="AO1043"/>
          <cell r="AP1043"/>
          <cell r="AQ1043"/>
          <cell r="AR1043"/>
          <cell r="AS1043"/>
          <cell r="AT1043"/>
          <cell r="AU1043"/>
          <cell r="AV1043"/>
          <cell r="AW1043"/>
          <cell r="AX1043"/>
          <cell r="AY1043"/>
          <cell r="AZ1043"/>
        </row>
        <row r="1044">
          <cell r="A1044"/>
          <cell r="B1044"/>
          <cell r="C1044"/>
          <cell r="D1044"/>
          <cell r="E1044"/>
          <cell r="F1044"/>
          <cell r="G1044"/>
          <cell r="H1044"/>
          <cell r="I1044"/>
          <cell r="J1044"/>
          <cell r="K1044"/>
          <cell r="L1044"/>
          <cell r="M1044"/>
          <cell r="N1044"/>
          <cell r="O1044"/>
          <cell r="P1044"/>
          <cell r="Q1044"/>
          <cell r="R1044"/>
          <cell r="S1044"/>
          <cell r="T1044"/>
          <cell r="U1044"/>
          <cell r="V1044"/>
          <cell r="W1044"/>
          <cell r="X1044"/>
          <cell r="Y1044"/>
          <cell r="Z1044"/>
          <cell r="AA1044"/>
          <cell r="AB1044"/>
          <cell r="AC1044"/>
          <cell r="AD1044"/>
          <cell r="AE1044"/>
          <cell r="AF1044"/>
          <cell r="AG1044"/>
          <cell r="AH1044"/>
          <cell r="AI1044"/>
          <cell r="AJ1044"/>
          <cell r="AK1044"/>
          <cell r="AL1044"/>
          <cell r="AM1044"/>
          <cell r="AN1044"/>
          <cell r="AO1044"/>
          <cell r="AP1044"/>
          <cell r="AQ1044"/>
          <cell r="AR1044"/>
          <cell r="AS1044"/>
          <cell r="AT1044"/>
          <cell r="AU1044"/>
          <cell r="AV1044"/>
          <cell r="AW1044"/>
          <cell r="AX1044"/>
          <cell r="AY1044"/>
          <cell r="AZ1044"/>
        </row>
        <row r="1045">
          <cell r="A1045"/>
          <cell r="B1045"/>
          <cell r="C1045"/>
          <cell r="D1045"/>
          <cell r="E1045"/>
          <cell r="F1045"/>
          <cell r="G1045"/>
          <cell r="H1045"/>
          <cell r="I1045"/>
          <cell r="J1045"/>
          <cell r="K1045"/>
          <cell r="L1045"/>
          <cell r="M1045"/>
          <cell r="N1045"/>
          <cell r="O1045"/>
          <cell r="P1045"/>
          <cell r="Q1045"/>
          <cell r="R1045"/>
          <cell r="S1045"/>
          <cell r="T1045"/>
          <cell r="U1045"/>
          <cell r="V1045"/>
          <cell r="W1045"/>
          <cell r="X1045"/>
          <cell r="Y1045"/>
          <cell r="Z1045"/>
          <cell r="AA1045"/>
          <cell r="AB1045"/>
          <cell r="AC1045"/>
          <cell r="AD1045"/>
          <cell r="AE1045"/>
          <cell r="AF1045"/>
          <cell r="AG1045"/>
          <cell r="AH1045"/>
          <cell r="AI1045"/>
          <cell r="AJ1045"/>
          <cell r="AK1045"/>
          <cell r="AL1045"/>
          <cell r="AM1045"/>
          <cell r="AN1045"/>
          <cell r="AO1045"/>
          <cell r="AP1045"/>
          <cell r="AQ1045"/>
          <cell r="AR1045"/>
          <cell r="AS1045"/>
          <cell r="AT1045"/>
          <cell r="AU1045"/>
          <cell r="AV1045"/>
          <cell r="AW1045"/>
          <cell r="AX1045"/>
          <cell r="AY1045"/>
          <cell r="AZ1045"/>
        </row>
        <row r="1046">
          <cell r="A1046"/>
          <cell r="B1046"/>
          <cell r="C1046"/>
          <cell r="D1046"/>
          <cell r="E1046"/>
          <cell r="F1046"/>
          <cell r="G1046"/>
          <cell r="H1046"/>
          <cell r="I1046"/>
          <cell r="J1046"/>
          <cell r="K1046"/>
          <cell r="L1046"/>
          <cell r="M1046"/>
          <cell r="N1046"/>
          <cell r="O1046"/>
          <cell r="P1046"/>
          <cell r="Q1046"/>
          <cell r="R1046"/>
          <cell r="S1046"/>
          <cell r="T1046"/>
          <cell r="U1046"/>
          <cell r="V1046"/>
          <cell r="W1046"/>
          <cell r="X1046"/>
          <cell r="Y1046"/>
          <cell r="Z1046"/>
          <cell r="AA1046"/>
          <cell r="AB1046"/>
          <cell r="AC1046"/>
          <cell r="AD1046"/>
          <cell r="AE1046"/>
          <cell r="AF1046"/>
          <cell r="AG1046"/>
          <cell r="AH1046"/>
          <cell r="AI1046"/>
          <cell r="AJ1046"/>
          <cell r="AK1046"/>
          <cell r="AL1046"/>
          <cell r="AM1046"/>
          <cell r="AN1046"/>
          <cell r="AO1046"/>
          <cell r="AP1046"/>
          <cell r="AQ1046"/>
          <cell r="AR1046"/>
          <cell r="AS1046"/>
          <cell r="AT1046"/>
          <cell r="AU1046"/>
          <cell r="AV1046"/>
          <cell r="AW1046"/>
          <cell r="AX1046"/>
          <cell r="AY1046"/>
          <cell r="AZ1046"/>
        </row>
        <row r="1047">
          <cell r="A1047"/>
          <cell r="B1047"/>
          <cell r="C1047"/>
          <cell r="D1047"/>
          <cell r="E1047"/>
          <cell r="F1047"/>
          <cell r="G1047"/>
          <cell r="H1047"/>
          <cell r="I1047"/>
          <cell r="J1047"/>
          <cell r="K1047"/>
          <cell r="L1047"/>
          <cell r="M1047"/>
          <cell r="N1047"/>
          <cell r="O1047"/>
          <cell r="P1047"/>
          <cell r="Q1047"/>
          <cell r="R1047"/>
          <cell r="S1047"/>
          <cell r="T1047"/>
          <cell r="U1047"/>
          <cell r="V1047"/>
          <cell r="W1047"/>
          <cell r="X1047"/>
          <cell r="Y1047"/>
          <cell r="Z1047"/>
          <cell r="AA1047"/>
          <cell r="AB1047"/>
          <cell r="AC1047"/>
          <cell r="AD1047"/>
          <cell r="AE1047"/>
          <cell r="AF1047"/>
          <cell r="AG1047"/>
          <cell r="AH1047"/>
          <cell r="AI1047"/>
          <cell r="AJ1047"/>
          <cell r="AK1047"/>
          <cell r="AL1047"/>
          <cell r="AM1047"/>
          <cell r="AN1047"/>
          <cell r="AO1047"/>
          <cell r="AP1047"/>
          <cell r="AQ1047"/>
          <cell r="AR1047"/>
          <cell r="AS1047"/>
          <cell r="AT1047"/>
          <cell r="AU1047"/>
          <cell r="AV1047"/>
          <cell r="AW1047"/>
          <cell r="AX1047"/>
          <cell r="AY1047"/>
          <cell r="AZ1047"/>
        </row>
        <row r="1048">
          <cell r="A1048"/>
          <cell r="B1048"/>
          <cell r="C1048"/>
          <cell r="D1048"/>
          <cell r="E1048"/>
          <cell r="F1048"/>
          <cell r="G1048"/>
          <cell r="H1048"/>
          <cell r="I1048"/>
          <cell r="J1048"/>
          <cell r="K1048"/>
          <cell r="L1048"/>
          <cell r="M1048"/>
          <cell r="N1048"/>
          <cell r="O1048"/>
          <cell r="P1048"/>
          <cell r="Q1048"/>
          <cell r="R1048"/>
          <cell r="S1048"/>
          <cell r="T1048"/>
          <cell r="U1048"/>
          <cell r="V1048"/>
          <cell r="W1048"/>
          <cell r="X1048"/>
          <cell r="Y1048"/>
          <cell r="Z1048"/>
          <cell r="AA1048"/>
          <cell r="AB1048"/>
          <cell r="AC1048"/>
          <cell r="AD1048"/>
          <cell r="AE1048"/>
          <cell r="AF1048"/>
          <cell r="AG1048"/>
          <cell r="AH1048"/>
          <cell r="AI1048"/>
          <cell r="AJ1048"/>
          <cell r="AK1048"/>
          <cell r="AL1048"/>
          <cell r="AM1048"/>
          <cell r="AN1048"/>
          <cell r="AO1048"/>
          <cell r="AP1048"/>
          <cell r="AQ1048"/>
          <cell r="AR1048"/>
          <cell r="AS1048"/>
          <cell r="AT1048"/>
          <cell r="AU1048"/>
          <cell r="AV1048"/>
          <cell r="AW1048"/>
          <cell r="AX1048"/>
          <cell r="AY1048"/>
          <cell r="AZ1048"/>
        </row>
        <row r="1049">
          <cell r="A1049"/>
          <cell r="B1049"/>
          <cell r="C1049"/>
          <cell r="D1049"/>
          <cell r="E1049"/>
          <cell r="F1049"/>
          <cell r="G1049"/>
          <cell r="H1049"/>
          <cell r="I1049"/>
          <cell r="J1049"/>
          <cell r="K1049"/>
          <cell r="L1049"/>
          <cell r="M1049"/>
          <cell r="N1049"/>
          <cell r="O1049"/>
          <cell r="P1049"/>
          <cell r="Q1049"/>
          <cell r="R1049"/>
          <cell r="S1049"/>
          <cell r="T1049"/>
          <cell r="U1049"/>
          <cell r="V1049"/>
          <cell r="W1049"/>
          <cell r="X1049"/>
          <cell r="Y1049"/>
          <cell r="Z1049"/>
          <cell r="AA1049"/>
          <cell r="AB1049"/>
          <cell r="AC1049"/>
          <cell r="AD1049"/>
          <cell r="AE1049"/>
          <cell r="AF1049"/>
          <cell r="AG1049"/>
          <cell r="AH1049"/>
          <cell r="AI1049"/>
          <cell r="AJ1049"/>
          <cell r="AK1049"/>
          <cell r="AL1049"/>
          <cell r="AM1049"/>
          <cell r="AN1049"/>
          <cell r="AO1049"/>
          <cell r="AP1049"/>
          <cell r="AQ1049"/>
          <cell r="AR1049"/>
          <cell r="AS1049"/>
          <cell r="AT1049"/>
          <cell r="AU1049"/>
          <cell r="AV1049"/>
          <cell r="AW1049"/>
          <cell r="AX1049"/>
          <cell r="AY1049"/>
          <cell r="AZ1049"/>
        </row>
        <row r="1050">
          <cell r="A1050"/>
          <cell r="B1050"/>
          <cell r="C1050"/>
          <cell r="D1050"/>
          <cell r="E1050"/>
          <cell r="F1050"/>
          <cell r="G1050"/>
          <cell r="H1050"/>
          <cell r="I1050"/>
          <cell r="J1050"/>
          <cell r="K1050"/>
          <cell r="L1050"/>
          <cell r="M1050"/>
          <cell r="N1050"/>
          <cell r="O1050"/>
          <cell r="P1050"/>
          <cell r="Q1050"/>
          <cell r="R1050"/>
          <cell r="S1050"/>
          <cell r="T1050"/>
          <cell r="U1050"/>
          <cell r="V1050"/>
          <cell r="W1050"/>
          <cell r="X1050"/>
          <cell r="Y1050"/>
          <cell r="Z1050"/>
          <cell r="AA1050"/>
          <cell r="AB1050"/>
          <cell r="AC1050"/>
          <cell r="AD1050"/>
          <cell r="AE1050"/>
          <cell r="AF1050"/>
          <cell r="AG1050"/>
          <cell r="AH1050"/>
          <cell r="AI1050"/>
          <cell r="AJ1050"/>
          <cell r="AK1050"/>
          <cell r="AL1050"/>
          <cell r="AM1050"/>
          <cell r="AN1050"/>
          <cell r="AO1050"/>
          <cell r="AP1050"/>
          <cell r="AQ1050"/>
          <cell r="AR1050"/>
          <cell r="AS1050"/>
          <cell r="AT1050"/>
          <cell r="AU1050"/>
          <cell r="AV1050"/>
          <cell r="AW1050"/>
          <cell r="AX1050"/>
          <cell r="AY1050"/>
          <cell r="AZ1050"/>
        </row>
        <row r="1051">
          <cell r="A1051"/>
          <cell r="B1051"/>
          <cell r="C1051"/>
          <cell r="D1051"/>
          <cell r="E1051"/>
          <cell r="F1051"/>
          <cell r="G1051"/>
          <cell r="H1051"/>
          <cell r="I1051"/>
          <cell r="J1051"/>
          <cell r="K1051"/>
          <cell r="L1051"/>
          <cell r="M1051"/>
          <cell r="N1051"/>
          <cell r="O1051"/>
          <cell r="P1051"/>
          <cell r="Q1051"/>
          <cell r="R1051"/>
          <cell r="S1051"/>
          <cell r="T1051"/>
          <cell r="U1051"/>
          <cell r="V1051"/>
          <cell r="W1051"/>
          <cell r="X1051"/>
          <cell r="Y1051"/>
          <cell r="Z1051"/>
          <cell r="AA1051"/>
          <cell r="AB1051"/>
          <cell r="AC1051"/>
          <cell r="AD1051"/>
          <cell r="AE1051"/>
          <cell r="AF1051"/>
          <cell r="AG1051"/>
          <cell r="AH1051"/>
          <cell r="AI1051"/>
          <cell r="AJ1051"/>
          <cell r="AK1051"/>
          <cell r="AL1051"/>
          <cell r="AM1051"/>
          <cell r="AN1051"/>
          <cell r="AO1051"/>
          <cell r="AP1051"/>
          <cell r="AQ1051"/>
          <cell r="AR1051"/>
          <cell r="AS1051"/>
          <cell r="AT1051"/>
          <cell r="AU1051"/>
          <cell r="AV1051"/>
          <cell r="AW1051"/>
          <cell r="AX1051"/>
          <cell r="AY1051"/>
          <cell r="AZ1051"/>
        </row>
        <row r="1052">
          <cell r="A1052"/>
          <cell r="B1052"/>
          <cell r="C1052"/>
          <cell r="D1052"/>
          <cell r="E1052"/>
          <cell r="F1052"/>
          <cell r="G1052"/>
          <cell r="H1052"/>
          <cell r="I1052"/>
          <cell r="J1052"/>
          <cell r="K1052"/>
          <cell r="L1052"/>
          <cell r="M1052"/>
          <cell r="N1052"/>
          <cell r="O1052"/>
          <cell r="P1052"/>
          <cell r="Q1052"/>
          <cell r="R1052"/>
          <cell r="S1052"/>
          <cell r="T1052"/>
          <cell r="U1052"/>
          <cell r="V1052"/>
          <cell r="W1052"/>
          <cell r="X1052"/>
          <cell r="Y1052"/>
          <cell r="Z1052"/>
          <cell r="AA1052"/>
          <cell r="AB1052"/>
          <cell r="AC1052"/>
          <cell r="AD1052"/>
          <cell r="AE1052"/>
          <cell r="AF1052"/>
          <cell r="AG1052"/>
          <cell r="AH1052"/>
          <cell r="AI1052"/>
          <cell r="AJ1052"/>
          <cell r="AK1052"/>
          <cell r="AL1052"/>
          <cell r="AM1052"/>
          <cell r="AN1052"/>
          <cell r="AO1052"/>
          <cell r="AP1052"/>
          <cell r="AQ1052"/>
          <cell r="AR1052"/>
          <cell r="AS1052"/>
          <cell r="AT1052"/>
          <cell r="AU1052"/>
          <cell r="AV1052"/>
          <cell r="AW1052"/>
          <cell r="AX1052"/>
          <cell r="AY1052"/>
          <cell r="AZ1052"/>
        </row>
        <row r="1053">
          <cell r="A1053"/>
          <cell r="B1053"/>
          <cell r="C1053"/>
          <cell r="D1053"/>
          <cell r="E1053"/>
          <cell r="F1053"/>
          <cell r="G1053"/>
          <cell r="H1053"/>
          <cell r="I1053"/>
          <cell r="J1053"/>
          <cell r="K1053"/>
          <cell r="L1053"/>
          <cell r="M1053"/>
          <cell r="N1053"/>
          <cell r="O1053"/>
          <cell r="P1053"/>
          <cell r="Q1053"/>
          <cell r="R1053"/>
          <cell r="S1053"/>
          <cell r="T1053"/>
          <cell r="U1053"/>
          <cell r="V1053"/>
          <cell r="W1053"/>
          <cell r="X1053"/>
          <cell r="Y1053"/>
          <cell r="Z1053"/>
          <cell r="AA1053"/>
          <cell r="AB1053"/>
          <cell r="AC1053"/>
          <cell r="AD1053"/>
          <cell r="AE1053"/>
          <cell r="AF1053"/>
          <cell r="AG1053"/>
          <cell r="AH1053"/>
          <cell r="AI1053"/>
          <cell r="AJ1053"/>
          <cell r="AK1053"/>
          <cell r="AL1053"/>
          <cell r="AM1053"/>
          <cell r="AN1053"/>
          <cell r="AO1053"/>
          <cell r="AP1053"/>
          <cell r="AQ1053"/>
          <cell r="AR1053"/>
          <cell r="AS1053"/>
          <cell r="AT1053"/>
          <cell r="AU1053"/>
          <cell r="AV1053"/>
          <cell r="AW1053"/>
          <cell r="AX1053"/>
          <cell r="AY1053"/>
          <cell r="AZ1053"/>
        </row>
        <row r="1054">
          <cell r="A1054"/>
          <cell r="B1054"/>
          <cell r="C1054"/>
          <cell r="D1054"/>
          <cell r="E1054"/>
          <cell r="F1054"/>
          <cell r="G1054"/>
          <cell r="H1054"/>
          <cell r="I1054"/>
          <cell r="J1054"/>
          <cell r="K1054"/>
          <cell r="L1054"/>
          <cell r="M1054"/>
          <cell r="N1054"/>
          <cell r="O1054"/>
          <cell r="P1054"/>
          <cell r="Q1054"/>
          <cell r="R1054"/>
          <cell r="S1054"/>
          <cell r="T1054"/>
          <cell r="U1054"/>
          <cell r="V1054"/>
          <cell r="W1054"/>
          <cell r="X1054"/>
          <cell r="Y1054"/>
          <cell r="Z1054"/>
          <cell r="AA1054"/>
          <cell r="AB1054"/>
          <cell r="AC1054"/>
          <cell r="AD1054"/>
          <cell r="AE1054"/>
          <cell r="AF1054"/>
          <cell r="AG1054"/>
          <cell r="AH1054"/>
          <cell r="AI1054"/>
          <cell r="AJ1054"/>
          <cell r="AK1054"/>
          <cell r="AL1054"/>
          <cell r="AM1054"/>
          <cell r="AN1054"/>
          <cell r="AO1054"/>
          <cell r="AP1054"/>
          <cell r="AQ1054"/>
          <cell r="AR1054"/>
          <cell r="AS1054"/>
          <cell r="AT1054"/>
          <cell r="AU1054"/>
          <cell r="AV1054"/>
          <cell r="AW1054"/>
          <cell r="AX1054"/>
          <cell r="AY1054"/>
          <cell r="AZ1054"/>
        </row>
        <row r="1055">
          <cell r="A1055"/>
          <cell r="B1055"/>
          <cell r="C1055"/>
          <cell r="D1055"/>
          <cell r="E1055"/>
          <cell r="F1055"/>
          <cell r="G1055"/>
          <cell r="H1055"/>
          <cell r="I1055"/>
          <cell r="J1055"/>
          <cell r="K1055"/>
          <cell r="L1055"/>
          <cell r="M1055"/>
          <cell r="N1055"/>
          <cell r="O1055"/>
          <cell r="P1055"/>
          <cell r="Q1055"/>
          <cell r="R1055"/>
          <cell r="S1055"/>
          <cell r="T1055"/>
          <cell r="U1055"/>
          <cell r="V1055"/>
          <cell r="W1055"/>
          <cell r="X1055"/>
          <cell r="Y1055"/>
          <cell r="Z1055"/>
          <cell r="AA1055"/>
          <cell r="AB1055"/>
          <cell r="AC1055"/>
          <cell r="AD1055"/>
          <cell r="AE1055"/>
          <cell r="AF1055"/>
          <cell r="AG1055"/>
          <cell r="AH1055"/>
          <cell r="AI1055"/>
          <cell r="AJ1055"/>
          <cell r="AK1055"/>
          <cell r="AL1055"/>
          <cell r="AM1055"/>
          <cell r="AN1055"/>
          <cell r="AO1055"/>
          <cell r="AP1055"/>
          <cell r="AQ1055"/>
          <cell r="AR1055"/>
          <cell r="AS1055"/>
          <cell r="AT1055"/>
          <cell r="AU1055"/>
          <cell r="AV1055"/>
          <cell r="AW1055"/>
          <cell r="AX1055"/>
          <cell r="AY1055"/>
          <cell r="AZ1055"/>
        </row>
        <row r="1056">
          <cell r="A1056"/>
          <cell r="B1056"/>
          <cell r="C1056"/>
          <cell r="D1056"/>
          <cell r="E1056"/>
          <cell r="F1056"/>
          <cell r="G1056"/>
          <cell r="H1056"/>
          <cell r="I1056"/>
          <cell r="J1056"/>
          <cell r="K1056"/>
          <cell r="L1056"/>
          <cell r="M1056"/>
          <cell r="N1056"/>
          <cell r="O1056"/>
          <cell r="P1056"/>
          <cell r="Q1056"/>
          <cell r="R1056"/>
          <cell r="S1056"/>
          <cell r="T1056"/>
          <cell r="U1056"/>
          <cell r="V1056"/>
          <cell r="W1056"/>
          <cell r="X1056"/>
          <cell r="Y1056"/>
          <cell r="Z1056"/>
          <cell r="AA1056"/>
          <cell r="AB1056"/>
          <cell r="AC1056"/>
          <cell r="AD1056"/>
          <cell r="AE1056"/>
          <cell r="AF1056"/>
          <cell r="AG1056"/>
          <cell r="AH1056"/>
          <cell r="AI1056"/>
          <cell r="AJ1056"/>
          <cell r="AK1056"/>
          <cell r="AL1056"/>
          <cell r="AM1056"/>
          <cell r="AN1056"/>
          <cell r="AO1056"/>
          <cell r="AP1056"/>
          <cell r="AQ1056"/>
          <cell r="AR1056"/>
          <cell r="AS1056"/>
          <cell r="AT1056"/>
          <cell r="AU1056"/>
          <cell r="AV1056"/>
          <cell r="AW1056"/>
          <cell r="AX1056"/>
          <cell r="AY1056"/>
          <cell r="AZ1056"/>
        </row>
        <row r="1057">
          <cell r="A1057"/>
          <cell r="B1057"/>
          <cell r="C1057"/>
          <cell r="D1057"/>
          <cell r="E1057"/>
          <cell r="F1057"/>
          <cell r="G1057"/>
          <cell r="H1057"/>
          <cell r="I1057"/>
          <cell r="J1057"/>
          <cell r="K1057"/>
          <cell r="L1057"/>
          <cell r="M1057"/>
          <cell r="N1057"/>
          <cell r="O1057"/>
          <cell r="P1057"/>
          <cell r="Q1057"/>
          <cell r="R1057"/>
          <cell r="S1057"/>
          <cell r="T1057"/>
          <cell r="U1057"/>
          <cell r="V1057"/>
          <cell r="W1057"/>
          <cell r="X1057"/>
          <cell r="Y1057"/>
          <cell r="Z1057"/>
          <cell r="AA1057"/>
          <cell r="AB1057"/>
          <cell r="AC1057"/>
          <cell r="AD1057"/>
          <cell r="AE1057"/>
          <cell r="AF1057"/>
          <cell r="AG1057"/>
          <cell r="AH1057"/>
          <cell r="AI1057"/>
          <cell r="AJ1057"/>
          <cell r="AK1057"/>
          <cell r="AL1057"/>
          <cell r="AM1057"/>
          <cell r="AN1057"/>
          <cell r="AO1057"/>
          <cell r="AP1057"/>
          <cell r="AQ1057"/>
          <cell r="AR1057"/>
          <cell r="AS1057"/>
          <cell r="AT1057"/>
          <cell r="AU1057"/>
          <cell r="AV1057"/>
          <cell r="AW1057"/>
          <cell r="AX1057"/>
          <cell r="AY1057"/>
          <cell r="AZ1057"/>
        </row>
        <row r="1058">
          <cell r="A1058"/>
          <cell r="B1058"/>
          <cell r="C1058"/>
          <cell r="D1058"/>
          <cell r="E1058"/>
          <cell r="F1058"/>
          <cell r="G1058"/>
          <cell r="H1058"/>
          <cell r="I1058"/>
          <cell r="J1058"/>
          <cell r="K1058"/>
          <cell r="L1058"/>
          <cell r="M1058"/>
          <cell r="N1058"/>
          <cell r="O1058"/>
          <cell r="P1058"/>
          <cell r="Q1058"/>
          <cell r="R1058"/>
          <cell r="S1058"/>
          <cell r="T1058"/>
          <cell r="U1058"/>
          <cell r="V1058"/>
          <cell r="W1058"/>
          <cell r="X1058"/>
          <cell r="Y1058"/>
          <cell r="Z1058"/>
          <cell r="AA1058"/>
          <cell r="AB1058"/>
          <cell r="AC1058"/>
          <cell r="AD1058"/>
          <cell r="AE1058"/>
          <cell r="AF1058"/>
          <cell r="AG1058"/>
          <cell r="AH1058"/>
          <cell r="AI1058"/>
          <cell r="AJ1058"/>
          <cell r="AK1058"/>
          <cell r="AL1058"/>
          <cell r="AM1058"/>
          <cell r="AN1058"/>
          <cell r="AO1058"/>
          <cell r="AP1058"/>
          <cell r="AQ1058"/>
          <cell r="AR1058"/>
          <cell r="AS1058"/>
          <cell r="AT1058"/>
          <cell r="AU1058"/>
          <cell r="AV1058"/>
          <cell r="AW1058"/>
          <cell r="AX1058"/>
          <cell r="AY1058"/>
          <cell r="AZ1058"/>
        </row>
        <row r="1059">
          <cell r="A1059"/>
          <cell r="B1059"/>
          <cell r="C1059"/>
          <cell r="D1059"/>
          <cell r="E1059"/>
          <cell r="F1059"/>
          <cell r="G1059"/>
          <cell r="H1059"/>
          <cell r="I1059"/>
          <cell r="J1059"/>
          <cell r="K1059"/>
          <cell r="L1059"/>
          <cell r="M1059"/>
          <cell r="N1059"/>
          <cell r="O1059"/>
          <cell r="P1059"/>
          <cell r="Q1059"/>
          <cell r="R1059"/>
          <cell r="S1059"/>
          <cell r="T1059"/>
          <cell r="U1059"/>
          <cell r="V1059"/>
          <cell r="W1059"/>
          <cell r="X1059"/>
          <cell r="Y1059"/>
          <cell r="Z1059"/>
          <cell r="AA1059"/>
          <cell r="AB1059"/>
          <cell r="AC1059"/>
          <cell r="AD1059"/>
          <cell r="AE1059"/>
          <cell r="AF1059"/>
          <cell r="AG1059"/>
          <cell r="AH1059"/>
          <cell r="AI1059"/>
          <cell r="AJ1059"/>
          <cell r="AK1059"/>
          <cell r="AL1059"/>
          <cell r="AM1059"/>
          <cell r="AN1059"/>
          <cell r="AO1059"/>
          <cell r="AP1059"/>
          <cell r="AQ1059"/>
          <cell r="AR1059"/>
          <cell r="AS1059"/>
          <cell r="AT1059"/>
          <cell r="AU1059"/>
          <cell r="AV1059"/>
          <cell r="AW1059"/>
          <cell r="AX1059"/>
          <cell r="AY1059"/>
          <cell r="AZ1059"/>
        </row>
        <row r="1060">
          <cell r="A1060"/>
          <cell r="B1060"/>
          <cell r="C1060"/>
          <cell r="D1060"/>
          <cell r="E1060"/>
          <cell r="F1060"/>
          <cell r="G1060"/>
          <cell r="H1060"/>
          <cell r="I1060"/>
          <cell r="J1060"/>
          <cell r="K1060"/>
          <cell r="L1060"/>
          <cell r="M1060"/>
          <cell r="N1060"/>
          <cell r="O1060"/>
          <cell r="P1060"/>
          <cell r="Q1060"/>
          <cell r="R1060"/>
          <cell r="S1060"/>
          <cell r="T1060"/>
          <cell r="U1060"/>
          <cell r="V1060"/>
          <cell r="W1060"/>
          <cell r="X1060"/>
          <cell r="Y1060"/>
          <cell r="Z1060"/>
          <cell r="AA1060"/>
          <cell r="AB1060"/>
          <cell r="AC1060"/>
          <cell r="AD1060"/>
          <cell r="AE1060"/>
          <cell r="AF1060"/>
          <cell r="AG1060"/>
          <cell r="AH1060"/>
          <cell r="AI1060"/>
          <cell r="AJ1060"/>
          <cell r="AK1060"/>
          <cell r="AL1060"/>
          <cell r="AM1060"/>
          <cell r="AN1060"/>
          <cell r="AO1060"/>
          <cell r="AP1060"/>
          <cell r="AQ1060"/>
          <cell r="AR1060"/>
          <cell r="AS1060"/>
          <cell r="AT1060"/>
          <cell r="AU1060"/>
          <cell r="AV1060"/>
          <cell r="AW1060"/>
          <cell r="AX1060"/>
          <cell r="AY1060"/>
          <cell r="AZ1060"/>
        </row>
        <row r="1061">
          <cell r="A1061"/>
          <cell r="B1061"/>
          <cell r="C1061"/>
          <cell r="D1061"/>
          <cell r="E1061"/>
          <cell r="F1061"/>
          <cell r="G1061"/>
          <cell r="H1061"/>
          <cell r="I1061"/>
          <cell r="J1061"/>
          <cell r="K1061"/>
          <cell r="L1061"/>
          <cell r="M1061"/>
          <cell r="N1061"/>
          <cell r="O1061"/>
          <cell r="P1061"/>
          <cell r="Q1061"/>
          <cell r="R1061"/>
          <cell r="S1061"/>
          <cell r="T1061"/>
          <cell r="U1061"/>
          <cell r="V1061"/>
          <cell r="W1061"/>
          <cell r="X1061"/>
          <cell r="Y1061"/>
          <cell r="Z1061"/>
          <cell r="AA1061"/>
          <cell r="AB1061"/>
          <cell r="AC1061"/>
          <cell r="AD1061"/>
          <cell r="AE1061"/>
          <cell r="AF1061"/>
          <cell r="AG1061"/>
          <cell r="AH1061"/>
          <cell r="AI1061"/>
          <cell r="AJ1061"/>
          <cell r="AK1061"/>
          <cell r="AL1061"/>
          <cell r="AM1061"/>
          <cell r="AN1061"/>
          <cell r="AO1061"/>
          <cell r="AP1061"/>
          <cell r="AQ1061"/>
          <cell r="AR1061"/>
          <cell r="AS1061"/>
          <cell r="AT1061"/>
          <cell r="AU1061"/>
          <cell r="AV1061"/>
          <cell r="AW1061"/>
          <cell r="AX1061"/>
          <cell r="AY1061"/>
          <cell r="AZ1061"/>
        </row>
        <row r="1062">
          <cell r="A1062"/>
          <cell r="B1062"/>
          <cell r="C1062"/>
          <cell r="D1062"/>
          <cell r="E1062"/>
          <cell r="F1062"/>
          <cell r="G1062"/>
          <cell r="H1062"/>
          <cell r="I1062"/>
          <cell r="J1062"/>
          <cell r="K1062"/>
          <cell r="L1062"/>
          <cell r="M1062"/>
          <cell r="N1062"/>
          <cell r="O1062"/>
          <cell r="P1062"/>
          <cell r="Q1062"/>
          <cell r="R1062"/>
          <cell r="S1062"/>
          <cell r="T1062"/>
          <cell r="U1062"/>
          <cell r="V1062"/>
          <cell r="W1062"/>
          <cell r="X1062"/>
          <cell r="Y1062"/>
          <cell r="Z1062"/>
          <cell r="AA1062"/>
          <cell r="AB1062"/>
          <cell r="AC1062"/>
          <cell r="AD1062"/>
          <cell r="AE1062"/>
          <cell r="AF1062"/>
          <cell r="AG1062"/>
          <cell r="AH1062"/>
          <cell r="AI1062"/>
          <cell r="AJ1062"/>
          <cell r="AK1062"/>
          <cell r="AL1062"/>
          <cell r="AM1062"/>
          <cell r="AN1062"/>
          <cell r="AO1062"/>
          <cell r="AP1062"/>
          <cell r="AQ1062"/>
          <cell r="AR1062"/>
          <cell r="AS1062"/>
          <cell r="AT1062"/>
          <cell r="AU1062"/>
          <cell r="AV1062"/>
          <cell r="AW1062"/>
          <cell r="AX1062"/>
          <cell r="AY1062"/>
          <cell r="AZ1062"/>
        </row>
        <row r="1063">
          <cell r="A1063"/>
          <cell r="B1063"/>
          <cell r="C1063"/>
          <cell r="D1063"/>
          <cell r="E1063"/>
          <cell r="F1063"/>
          <cell r="G1063"/>
          <cell r="H1063"/>
          <cell r="I1063"/>
          <cell r="J1063"/>
          <cell r="K1063"/>
          <cell r="L1063"/>
          <cell r="M1063"/>
          <cell r="N1063"/>
          <cell r="O1063"/>
          <cell r="P1063"/>
          <cell r="Q1063"/>
          <cell r="R1063"/>
          <cell r="S1063"/>
          <cell r="T1063"/>
          <cell r="U1063"/>
          <cell r="V1063"/>
          <cell r="W1063"/>
          <cell r="X1063"/>
          <cell r="Y1063"/>
          <cell r="Z1063"/>
          <cell r="AA1063"/>
          <cell r="AB1063"/>
          <cell r="AC1063"/>
          <cell r="AD1063"/>
          <cell r="AE1063"/>
          <cell r="AF1063"/>
          <cell r="AG1063"/>
          <cell r="AH1063"/>
          <cell r="AI1063"/>
          <cell r="AJ1063"/>
          <cell r="AK1063"/>
          <cell r="AL1063"/>
          <cell r="AM1063"/>
          <cell r="AN1063"/>
          <cell r="AO1063"/>
          <cell r="AP1063"/>
          <cell r="AQ1063"/>
          <cell r="AR1063"/>
          <cell r="AS1063"/>
          <cell r="AT1063"/>
          <cell r="AU1063"/>
          <cell r="AV1063"/>
          <cell r="AW1063"/>
          <cell r="AX1063"/>
          <cell r="AY1063"/>
          <cell r="AZ1063"/>
        </row>
        <row r="1064">
          <cell r="A1064"/>
          <cell r="B1064"/>
          <cell r="C1064"/>
          <cell r="D1064"/>
          <cell r="E1064"/>
          <cell r="F1064"/>
          <cell r="G1064"/>
          <cell r="H1064"/>
          <cell r="I1064"/>
          <cell r="J1064"/>
          <cell r="K1064"/>
          <cell r="L1064"/>
          <cell r="M1064"/>
          <cell r="N1064"/>
          <cell r="O1064"/>
          <cell r="P1064"/>
          <cell r="Q1064"/>
          <cell r="R1064"/>
          <cell r="S1064"/>
          <cell r="T1064"/>
          <cell r="U1064"/>
          <cell r="V1064"/>
          <cell r="W1064"/>
          <cell r="X1064"/>
          <cell r="Y1064"/>
          <cell r="Z1064"/>
          <cell r="AA1064"/>
          <cell r="AB1064"/>
          <cell r="AC1064"/>
          <cell r="AD1064"/>
          <cell r="AE1064"/>
          <cell r="AF1064"/>
          <cell r="AG1064"/>
          <cell r="AH1064"/>
          <cell r="AI1064"/>
          <cell r="AJ1064"/>
          <cell r="AK1064"/>
          <cell r="AL1064"/>
          <cell r="AM1064"/>
          <cell r="AN1064"/>
          <cell r="AO1064"/>
          <cell r="AP1064"/>
          <cell r="AQ1064"/>
          <cell r="AR1064"/>
          <cell r="AS1064"/>
          <cell r="AT1064"/>
          <cell r="AU1064"/>
          <cell r="AV1064"/>
          <cell r="AW1064"/>
          <cell r="AX1064"/>
          <cell r="AY1064"/>
          <cell r="AZ1064"/>
        </row>
        <row r="1065">
          <cell r="A1065"/>
          <cell r="B1065"/>
          <cell r="C1065"/>
          <cell r="D1065"/>
          <cell r="E1065"/>
          <cell r="F1065"/>
          <cell r="G1065"/>
          <cell r="H1065"/>
          <cell r="I1065"/>
          <cell r="J1065"/>
          <cell r="K1065"/>
          <cell r="L1065"/>
          <cell r="M1065"/>
          <cell r="N1065"/>
          <cell r="O1065"/>
          <cell r="P1065"/>
          <cell r="Q1065"/>
          <cell r="R1065"/>
          <cell r="S1065"/>
          <cell r="T1065"/>
          <cell r="U1065"/>
          <cell r="V1065"/>
          <cell r="W1065"/>
          <cell r="X1065"/>
          <cell r="Y1065"/>
          <cell r="Z1065"/>
          <cell r="AA1065"/>
          <cell r="AB1065"/>
          <cell r="AC1065"/>
          <cell r="AD1065"/>
          <cell r="AE1065"/>
          <cell r="AF1065"/>
          <cell r="AG1065"/>
          <cell r="AH1065"/>
          <cell r="AI1065"/>
          <cell r="AJ1065"/>
          <cell r="AK1065"/>
          <cell r="AL1065"/>
          <cell r="AM1065"/>
          <cell r="AN1065"/>
          <cell r="AO1065"/>
          <cell r="AP1065"/>
          <cell r="AQ1065"/>
          <cell r="AR1065"/>
          <cell r="AS1065"/>
          <cell r="AT1065"/>
          <cell r="AU1065"/>
          <cell r="AV1065"/>
          <cell r="AW1065"/>
          <cell r="AX1065"/>
          <cell r="AY1065"/>
          <cell r="AZ1065"/>
        </row>
        <row r="1066">
          <cell r="A1066"/>
          <cell r="B1066"/>
          <cell r="C1066"/>
          <cell r="D1066"/>
          <cell r="E1066"/>
          <cell r="F1066"/>
          <cell r="G1066"/>
          <cell r="H1066"/>
          <cell r="I1066"/>
          <cell r="J1066"/>
          <cell r="K1066"/>
          <cell r="L1066"/>
          <cell r="M1066"/>
          <cell r="N1066"/>
          <cell r="O1066"/>
          <cell r="P1066"/>
          <cell r="Q1066"/>
          <cell r="R1066"/>
          <cell r="S1066"/>
          <cell r="T1066"/>
          <cell r="U1066"/>
          <cell r="V1066"/>
          <cell r="W1066"/>
          <cell r="X1066"/>
          <cell r="Y1066"/>
          <cell r="Z1066"/>
          <cell r="AA1066"/>
          <cell r="AB1066"/>
          <cell r="AC1066"/>
          <cell r="AD1066"/>
          <cell r="AE1066"/>
          <cell r="AF1066"/>
          <cell r="AG1066"/>
          <cell r="AH1066"/>
          <cell r="AI1066"/>
          <cell r="AJ1066"/>
          <cell r="AK1066"/>
          <cell r="AL1066"/>
          <cell r="AM1066"/>
          <cell r="AN1066"/>
          <cell r="AO1066"/>
          <cell r="AP1066"/>
          <cell r="AQ1066"/>
          <cell r="AR1066"/>
          <cell r="AS1066"/>
          <cell r="AT1066"/>
          <cell r="AU1066"/>
          <cell r="AV1066"/>
          <cell r="AW1066"/>
          <cell r="AX1066"/>
          <cell r="AY1066"/>
          <cell r="AZ1066"/>
        </row>
        <row r="1067">
          <cell r="A1067"/>
          <cell r="B1067"/>
          <cell r="C1067"/>
          <cell r="D1067"/>
          <cell r="E1067"/>
          <cell r="F1067"/>
          <cell r="G1067"/>
          <cell r="H1067"/>
          <cell r="I1067"/>
          <cell r="J1067"/>
          <cell r="K1067"/>
          <cell r="L1067"/>
          <cell r="M1067"/>
          <cell r="N1067"/>
          <cell r="O1067"/>
          <cell r="P1067"/>
          <cell r="Q1067"/>
          <cell r="R1067"/>
          <cell r="S1067"/>
          <cell r="T1067"/>
          <cell r="U1067"/>
          <cell r="V1067"/>
          <cell r="W1067"/>
          <cell r="X1067"/>
          <cell r="Y1067"/>
          <cell r="Z1067"/>
          <cell r="AA1067"/>
          <cell r="AB1067"/>
          <cell r="AC1067"/>
          <cell r="AD1067"/>
          <cell r="AE1067"/>
          <cell r="AF1067"/>
          <cell r="AG1067"/>
          <cell r="AH1067"/>
          <cell r="AI1067"/>
          <cell r="AJ1067"/>
          <cell r="AK1067"/>
          <cell r="AL1067"/>
          <cell r="AM1067"/>
          <cell r="AN1067"/>
          <cell r="AO1067"/>
          <cell r="AP1067"/>
          <cell r="AQ1067"/>
          <cell r="AR1067"/>
          <cell r="AS1067"/>
          <cell r="AT1067"/>
          <cell r="AU1067"/>
          <cell r="AV1067"/>
          <cell r="AW1067"/>
          <cell r="AX1067"/>
          <cell r="AY1067"/>
          <cell r="AZ1067"/>
        </row>
        <row r="1068">
          <cell r="A1068"/>
          <cell r="B1068"/>
          <cell r="C1068"/>
          <cell r="D1068"/>
          <cell r="E1068"/>
          <cell r="F1068"/>
          <cell r="G1068"/>
          <cell r="H1068"/>
          <cell r="I1068"/>
          <cell r="J1068"/>
          <cell r="K1068"/>
          <cell r="L1068"/>
          <cell r="M1068"/>
          <cell r="N1068"/>
          <cell r="O1068"/>
          <cell r="P1068"/>
          <cell r="Q1068"/>
          <cell r="R1068"/>
          <cell r="S1068"/>
          <cell r="T1068"/>
          <cell r="U1068"/>
          <cell r="V1068"/>
          <cell r="W1068"/>
          <cell r="X1068"/>
          <cell r="Y1068"/>
          <cell r="Z1068"/>
          <cell r="AA1068"/>
          <cell r="AB1068"/>
          <cell r="AC1068"/>
          <cell r="AD1068"/>
          <cell r="AE1068"/>
          <cell r="AF1068"/>
          <cell r="AG1068"/>
          <cell r="AH1068"/>
          <cell r="AI1068"/>
          <cell r="AJ1068"/>
          <cell r="AK1068"/>
          <cell r="AL1068"/>
          <cell r="AM1068"/>
          <cell r="AN1068"/>
          <cell r="AO1068"/>
          <cell r="AP1068"/>
          <cell r="AQ1068"/>
          <cell r="AR1068"/>
          <cell r="AS1068"/>
          <cell r="AT1068"/>
          <cell r="AU1068"/>
          <cell r="AV1068"/>
          <cell r="AW1068"/>
          <cell r="AX1068"/>
          <cell r="AY1068"/>
          <cell r="AZ1068"/>
        </row>
        <row r="1069">
          <cell r="A1069"/>
          <cell r="B1069"/>
          <cell r="C1069"/>
          <cell r="D1069"/>
          <cell r="E1069"/>
          <cell r="F1069"/>
          <cell r="G1069"/>
          <cell r="H1069"/>
          <cell r="I1069"/>
          <cell r="J1069"/>
          <cell r="K1069"/>
          <cell r="L1069"/>
          <cell r="M1069"/>
          <cell r="N1069"/>
          <cell r="O1069"/>
          <cell r="P1069"/>
          <cell r="Q1069"/>
          <cell r="R1069"/>
          <cell r="S1069"/>
          <cell r="T1069"/>
          <cell r="U1069"/>
          <cell r="V1069"/>
          <cell r="W1069"/>
          <cell r="X1069"/>
          <cell r="Y1069"/>
          <cell r="Z1069"/>
          <cell r="AA1069"/>
          <cell r="AB1069"/>
          <cell r="AC1069"/>
          <cell r="AD1069"/>
          <cell r="AE1069"/>
          <cell r="AF1069"/>
          <cell r="AG1069"/>
          <cell r="AH1069"/>
          <cell r="AI1069"/>
          <cell r="AJ1069"/>
          <cell r="AK1069"/>
          <cell r="AL1069"/>
          <cell r="AM1069"/>
          <cell r="AN1069"/>
          <cell r="AO1069"/>
          <cell r="AP1069"/>
          <cell r="AQ1069"/>
          <cell r="AR1069"/>
          <cell r="AS1069"/>
          <cell r="AT1069"/>
          <cell r="AU1069"/>
          <cell r="AV1069"/>
          <cell r="AW1069"/>
          <cell r="AX1069"/>
          <cell r="AY1069"/>
          <cell r="AZ1069"/>
        </row>
        <row r="1070">
          <cell r="A1070"/>
          <cell r="B1070"/>
          <cell r="C1070"/>
          <cell r="D1070"/>
          <cell r="E1070"/>
          <cell r="F1070"/>
          <cell r="G1070"/>
          <cell r="H1070"/>
          <cell r="I1070"/>
          <cell r="J1070"/>
          <cell r="K1070"/>
          <cell r="L1070"/>
          <cell r="M1070"/>
          <cell r="N1070"/>
          <cell r="O1070"/>
          <cell r="P1070"/>
          <cell r="Q1070"/>
          <cell r="R1070"/>
          <cell r="S1070"/>
          <cell r="T1070"/>
          <cell r="U1070"/>
          <cell r="V1070"/>
          <cell r="W1070"/>
          <cell r="X1070"/>
          <cell r="Y1070"/>
          <cell r="Z1070"/>
          <cell r="AA1070"/>
          <cell r="AB1070"/>
          <cell r="AC1070"/>
          <cell r="AD1070"/>
          <cell r="AE1070"/>
          <cell r="AF1070"/>
          <cell r="AG1070"/>
          <cell r="AH1070"/>
          <cell r="AI1070"/>
          <cell r="AJ1070"/>
          <cell r="AK1070"/>
          <cell r="AL1070"/>
          <cell r="AM1070"/>
          <cell r="AN1070"/>
          <cell r="AO1070"/>
          <cell r="AP1070"/>
          <cell r="AQ1070"/>
          <cell r="AR1070"/>
          <cell r="AS1070"/>
          <cell r="AT1070"/>
          <cell r="AU1070"/>
          <cell r="AV1070"/>
          <cell r="AW1070"/>
          <cell r="AX1070"/>
          <cell r="AY1070"/>
          <cell r="AZ1070"/>
        </row>
        <row r="1071">
          <cell r="A1071"/>
          <cell r="B1071"/>
          <cell r="C1071"/>
          <cell r="D1071"/>
          <cell r="E1071"/>
          <cell r="F1071"/>
          <cell r="G1071"/>
          <cell r="H1071"/>
          <cell r="I1071"/>
          <cell r="J1071"/>
          <cell r="K1071"/>
          <cell r="L1071"/>
          <cell r="M1071"/>
          <cell r="N1071"/>
          <cell r="O1071"/>
          <cell r="P1071"/>
          <cell r="Q1071"/>
          <cell r="R1071"/>
          <cell r="S1071"/>
          <cell r="T1071"/>
          <cell r="U1071"/>
          <cell r="V1071"/>
          <cell r="W1071"/>
          <cell r="X1071"/>
          <cell r="Y1071"/>
          <cell r="Z1071"/>
          <cell r="AA1071"/>
          <cell r="AB1071"/>
          <cell r="AC1071"/>
          <cell r="AD1071"/>
          <cell r="AE1071"/>
          <cell r="AF1071"/>
          <cell r="AG1071"/>
          <cell r="AH1071"/>
          <cell r="AI1071"/>
          <cell r="AJ1071"/>
          <cell r="AK1071"/>
          <cell r="AL1071"/>
          <cell r="AM1071"/>
          <cell r="AN1071"/>
          <cell r="AO1071"/>
          <cell r="AP1071"/>
          <cell r="AQ1071"/>
          <cell r="AR1071"/>
          <cell r="AS1071"/>
          <cell r="AT1071"/>
          <cell r="AU1071"/>
          <cell r="AV1071"/>
          <cell r="AW1071"/>
          <cell r="AX1071"/>
          <cell r="AY1071"/>
          <cell r="AZ1071"/>
        </row>
        <row r="1072">
          <cell r="A1072"/>
          <cell r="B1072"/>
          <cell r="C1072"/>
          <cell r="D1072"/>
          <cell r="E1072"/>
          <cell r="F1072"/>
          <cell r="G1072"/>
          <cell r="H1072"/>
          <cell r="I1072"/>
          <cell r="J1072"/>
          <cell r="K1072"/>
          <cell r="L1072"/>
          <cell r="M1072"/>
          <cell r="N1072"/>
          <cell r="O1072"/>
          <cell r="P1072"/>
          <cell r="Q1072"/>
          <cell r="R1072"/>
          <cell r="S1072"/>
          <cell r="T1072"/>
          <cell r="U1072"/>
          <cell r="V1072"/>
          <cell r="W1072"/>
          <cell r="X1072"/>
          <cell r="Y1072"/>
          <cell r="Z1072"/>
          <cell r="AA1072"/>
          <cell r="AB1072"/>
          <cell r="AC1072"/>
          <cell r="AD1072"/>
          <cell r="AE1072"/>
          <cell r="AF1072"/>
          <cell r="AG1072"/>
          <cell r="AH1072"/>
          <cell r="AI1072"/>
          <cell r="AJ1072"/>
          <cell r="AK1072"/>
          <cell r="AL1072"/>
          <cell r="AM1072"/>
          <cell r="AN1072"/>
          <cell r="AO1072"/>
          <cell r="AP1072"/>
          <cell r="AQ1072"/>
          <cell r="AR1072"/>
          <cell r="AS1072"/>
          <cell r="AT1072"/>
          <cell r="AU1072"/>
          <cell r="AV1072"/>
          <cell r="AW1072"/>
          <cell r="AX1072"/>
          <cell r="AY1072"/>
          <cell r="AZ1072"/>
        </row>
        <row r="1073">
          <cell r="A1073"/>
          <cell r="B1073"/>
          <cell r="C1073"/>
          <cell r="D1073"/>
          <cell r="E1073"/>
          <cell r="F1073"/>
          <cell r="G1073"/>
          <cell r="H1073"/>
          <cell r="I1073"/>
          <cell r="J1073"/>
          <cell r="K1073"/>
          <cell r="L1073"/>
          <cell r="M1073"/>
          <cell r="N1073"/>
          <cell r="O1073"/>
          <cell r="P1073"/>
          <cell r="Q1073"/>
          <cell r="R1073"/>
          <cell r="S1073"/>
          <cell r="T1073"/>
          <cell r="U1073"/>
          <cell r="V1073"/>
          <cell r="W1073"/>
          <cell r="X1073"/>
          <cell r="Y1073"/>
          <cell r="Z1073"/>
          <cell r="AA1073"/>
          <cell r="AB1073"/>
          <cell r="AC1073"/>
          <cell r="AD1073"/>
          <cell r="AE1073"/>
          <cell r="AF1073"/>
          <cell r="AG1073"/>
          <cell r="AH1073"/>
          <cell r="AI1073"/>
          <cell r="AJ1073"/>
          <cell r="AK1073"/>
          <cell r="AL1073"/>
          <cell r="AM1073"/>
          <cell r="AN1073"/>
          <cell r="AO1073"/>
          <cell r="AP1073"/>
          <cell r="AQ1073"/>
          <cell r="AR1073"/>
          <cell r="AS1073"/>
          <cell r="AT1073"/>
          <cell r="AU1073"/>
          <cell r="AV1073"/>
          <cell r="AW1073"/>
          <cell r="AX1073"/>
          <cell r="AY1073"/>
          <cell r="AZ1073"/>
        </row>
        <row r="1074">
          <cell r="A1074"/>
          <cell r="B1074"/>
          <cell r="C1074"/>
          <cell r="D1074"/>
          <cell r="E1074"/>
          <cell r="F1074"/>
          <cell r="G1074"/>
          <cell r="H1074"/>
          <cell r="I1074"/>
          <cell r="J1074"/>
          <cell r="K1074"/>
          <cell r="L1074"/>
          <cell r="M1074"/>
          <cell r="N1074"/>
          <cell r="O1074"/>
          <cell r="P1074"/>
          <cell r="Q1074"/>
          <cell r="R1074"/>
          <cell r="S1074"/>
          <cell r="T1074"/>
          <cell r="U1074"/>
          <cell r="V1074"/>
          <cell r="W1074"/>
          <cell r="X1074"/>
          <cell r="Y1074"/>
          <cell r="Z1074"/>
          <cell r="AA1074"/>
          <cell r="AB1074"/>
          <cell r="AC1074"/>
          <cell r="AD1074"/>
          <cell r="AE1074"/>
          <cell r="AF1074"/>
          <cell r="AG1074"/>
          <cell r="AH1074"/>
          <cell r="AI1074"/>
          <cell r="AJ1074"/>
          <cell r="AK1074"/>
          <cell r="AL1074"/>
          <cell r="AM1074"/>
          <cell r="AN1074"/>
          <cell r="AO1074"/>
          <cell r="AP1074"/>
          <cell r="AQ1074"/>
          <cell r="AR1074"/>
          <cell r="AS1074"/>
          <cell r="AT1074"/>
          <cell r="AU1074"/>
          <cell r="AV1074"/>
          <cell r="AW1074"/>
          <cell r="AX1074"/>
          <cell r="AY1074"/>
          <cell r="AZ1074"/>
        </row>
        <row r="1075">
          <cell r="A1075"/>
          <cell r="B1075"/>
          <cell r="C1075"/>
          <cell r="D1075"/>
          <cell r="E1075"/>
          <cell r="F1075"/>
          <cell r="G1075"/>
          <cell r="H1075"/>
          <cell r="I1075"/>
          <cell r="J1075"/>
          <cell r="K1075"/>
          <cell r="L1075"/>
          <cell r="M1075"/>
          <cell r="N1075"/>
          <cell r="O1075"/>
          <cell r="P1075"/>
          <cell r="Q1075"/>
          <cell r="R1075"/>
          <cell r="S1075"/>
          <cell r="T1075"/>
          <cell r="U1075"/>
          <cell r="V1075"/>
          <cell r="W1075"/>
          <cell r="X1075"/>
          <cell r="Y1075"/>
          <cell r="Z1075"/>
          <cell r="AA1075"/>
          <cell r="AB1075"/>
          <cell r="AC1075"/>
          <cell r="AD1075"/>
          <cell r="AE1075"/>
          <cell r="AF1075"/>
          <cell r="AG1075"/>
          <cell r="AH1075"/>
          <cell r="AI1075"/>
          <cell r="AJ1075"/>
          <cell r="AK1075"/>
          <cell r="AL1075"/>
          <cell r="AM1075"/>
          <cell r="AN1075"/>
          <cell r="AO1075"/>
          <cell r="AP1075"/>
          <cell r="AQ1075"/>
          <cell r="AR1075"/>
          <cell r="AS1075"/>
          <cell r="AT1075"/>
          <cell r="AU1075"/>
          <cell r="AV1075"/>
          <cell r="AW1075"/>
          <cell r="AX1075"/>
          <cell r="AY1075"/>
          <cell r="AZ1075"/>
        </row>
        <row r="1076">
          <cell r="A1076"/>
          <cell r="B1076"/>
          <cell r="C1076"/>
          <cell r="D1076"/>
          <cell r="E1076"/>
          <cell r="F1076"/>
          <cell r="G1076"/>
          <cell r="H1076"/>
          <cell r="I1076"/>
          <cell r="J1076"/>
          <cell r="K1076"/>
          <cell r="L1076"/>
          <cell r="M1076"/>
          <cell r="N1076"/>
          <cell r="O1076"/>
          <cell r="P1076"/>
          <cell r="Q1076"/>
          <cell r="R1076"/>
          <cell r="S1076"/>
          <cell r="T1076"/>
          <cell r="U1076"/>
          <cell r="V1076"/>
          <cell r="W1076"/>
          <cell r="X1076"/>
          <cell r="Y1076"/>
          <cell r="Z1076"/>
          <cell r="AA1076"/>
          <cell r="AB1076"/>
          <cell r="AC1076"/>
          <cell r="AD1076"/>
          <cell r="AE1076"/>
          <cell r="AF1076"/>
          <cell r="AG1076"/>
          <cell r="AH1076"/>
          <cell r="AI1076"/>
          <cell r="AJ1076"/>
          <cell r="AK1076"/>
          <cell r="AL1076"/>
          <cell r="AM1076"/>
          <cell r="AN1076"/>
          <cell r="AO1076"/>
          <cell r="AP1076"/>
          <cell r="AQ1076"/>
          <cell r="AR1076"/>
          <cell r="AS1076"/>
          <cell r="AT1076"/>
          <cell r="AU1076"/>
          <cell r="AV1076"/>
          <cell r="AW1076"/>
          <cell r="AX1076"/>
          <cell r="AY1076"/>
          <cell r="AZ1076"/>
        </row>
        <row r="1077">
          <cell r="A1077"/>
          <cell r="B1077"/>
          <cell r="C1077"/>
          <cell r="D1077"/>
          <cell r="E1077"/>
          <cell r="F1077"/>
          <cell r="G1077"/>
          <cell r="H1077"/>
          <cell r="I1077"/>
          <cell r="J1077"/>
          <cell r="K1077"/>
          <cell r="L1077"/>
          <cell r="M1077"/>
          <cell r="N1077"/>
          <cell r="O1077"/>
          <cell r="P1077"/>
          <cell r="Q1077"/>
          <cell r="R1077"/>
          <cell r="S1077"/>
          <cell r="T1077"/>
          <cell r="U1077"/>
          <cell r="V1077"/>
          <cell r="W1077"/>
          <cell r="X1077"/>
          <cell r="Y1077"/>
          <cell r="Z1077"/>
          <cell r="AA1077"/>
          <cell r="AB1077"/>
          <cell r="AC1077"/>
          <cell r="AD1077"/>
          <cell r="AE1077"/>
          <cell r="AF1077"/>
          <cell r="AG1077"/>
          <cell r="AH1077"/>
          <cell r="AI1077"/>
          <cell r="AJ1077"/>
          <cell r="AK1077"/>
          <cell r="AL1077"/>
          <cell r="AM1077"/>
          <cell r="AN1077"/>
          <cell r="AO1077"/>
          <cell r="AP1077"/>
          <cell r="AQ1077"/>
          <cell r="AR1077"/>
          <cell r="AS1077"/>
          <cell r="AT1077"/>
          <cell r="AU1077"/>
          <cell r="AV1077"/>
          <cell r="AW1077"/>
          <cell r="AX1077"/>
          <cell r="AY1077"/>
          <cell r="AZ1077"/>
        </row>
        <row r="1078">
          <cell r="A1078"/>
          <cell r="B1078"/>
          <cell r="C1078"/>
          <cell r="D1078"/>
          <cell r="E1078"/>
          <cell r="F1078"/>
          <cell r="G1078"/>
          <cell r="H1078"/>
          <cell r="I1078"/>
          <cell r="J1078"/>
          <cell r="K1078"/>
          <cell r="L1078"/>
          <cell r="M1078"/>
          <cell r="N1078"/>
          <cell r="O1078"/>
          <cell r="P1078"/>
          <cell r="Q1078"/>
          <cell r="R1078"/>
          <cell r="S1078"/>
          <cell r="T1078"/>
          <cell r="U1078"/>
          <cell r="V1078"/>
          <cell r="W1078"/>
          <cell r="X1078"/>
          <cell r="Y1078"/>
          <cell r="Z1078"/>
          <cell r="AA1078"/>
          <cell r="AB1078"/>
          <cell r="AC1078"/>
          <cell r="AD1078"/>
          <cell r="AE1078"/>
          <cell r="AF1078"/>
          <cell r="AG1078"/>
          <cell r="AH1078"/>
          <cell r="AI1078"/>
          <cell r="AJ1078"/>
          <cell r="AK1078"/>
          <cell r="AL1078"/>
          <cell r="AM1078"/>
          <cell r="AN1078"/>
          <cell r="AO1078"/>
          <cell r="AP1078"/>
          <cell r="AQ1078"/>
          <cell r="AR1078"/>
          <cell r="AS1078"/>
          <cell r="AT1078"/>
          <cell r="AU1078"/>
          <cell r="AV1078"/>
          <cell r="AW1078"/>
          <cell r="AX1078"/>
          <cell r="AY1078"/>
          <cell r="AZ1078"/>
        </row>
        <row r="1079">
          <cell r="A1079"/>
          <cell r="B1079"/>
          <cell r="C1079"/>
          <cell r="D1079"/>
          <cell r="E1079"/>
          <cell r="F1079"/>
          <cell r="G1079"/>
          <cell r="H1079"/>
          <cell r="I1079"/>
          <cell r="J1079"/>
          <cell r="K1079"/>
          <cell r="L1079"/>
          <cell r="M1079"/>
          <cell r="N1079"/>
          <cell r="O1079"/>
          <cell r="P1079"/>
          <cell r="Q1079"/>
          <cell r="R1079"/>
          <cell r="S1079"/>
          <cell r="T1079"/>
          <cell r="U1079"/>
          <cell r="V1079"/>
          <cell r="W1079"/>
          <cell r="X1079"/>
          <cell r="Y1079"/>
          <cell r="Z1079"/>
          <cell r="AA1079"/>
          <cell r="AB1079"/>
          <cell r="AC1079"/>
          <cell r="AD1079"/>
          <cell r="AE1079"/>
          <cell r="AF1079"/>
          <cell r="AG1079"/>
          <cell r="AH1079"/>
          <cell r="AI1079"/>
          <cell r="AJ1079"/>
          <cell r="AK1079"/>
          <cell r="AL1079"/>
          <cell r="AM1079"/>
          <cell r="AN1079"/>
          <cell r="AO1079"/>
          <cell r="AP1079"/>
          <cell r="AQ1079"/>
          <cell r="AR1079"/>
          <cell r="AS1079"/>
          <cell r="AT1079"/>
          <cell r="AU1079"/>
          <cell r="AV1079"/>
          <cell r="AW1079"/>
          <cell r="AX1079"/>
          <cell r="AY1079"/>
          <cell r="AZ1079"/>
        </row>
        <row r="1080">
          <cell r="A1080"/>
          <cell r="B1080"/>
          <cell r="C1080"/>
          <cell r="D1080"/>
          <cell r="E1080"/>
          <cell r="F1080"/>
          <cell r="G1080"/>
          <cell r="H1080"/>
          <cell r="I1080"/>
          <cell r="J1080"/>
          <cell r="K1080"/>
          <cell r="L1080"/>
          <cell r="M1080"/>
          <cell r="N1080"/>
          <cell r="O1080"/>
          <cell r="P1080"/>
          <cell r="Q1080"/>
          <cell r="R1080"/>
          <cell r="S1080"/>
          <cell r="T1080"/>
          <cell r="U1080"/>
          <cell r="V1080"/>
          <cell r="W1080"/>
          <cell r="X1080"/>
          <cell r="Y1080"/>
          <cell r="Z1080"/>
          <cell r="AA1080"/>
          <cell r="AB1080"/>
          <cell r="AC1080"/>
          <cell r="AD1080"/>
          <cell r="AE1080"/>
          <cell r="AF1080"/>
          <cell r="AG1080"/>
          <cell r="AH1080"/>
          <cell r="AI1080"/>
          <cell r="AJ1080"/>
          <cell r="AK1080"/>
          <cell r="AL1080"/>
          <cell r="AM1080"/>
          <cell r="AN1080"/>
          <cell r="AO1080"/>
          <cell r="AP1080"/>
          <cell r="AQ1080"/>
          <cell r="AR1080"/>
          <cell r="AS1080"/>
          <cell r="AT1080"/>
          <cell r="AU1080"/>
          <cell r="AV1080"/>
          <cell r="AW1080"/>
          <cell r="AX1080"/>
          <cell r="AY1080"/>
          <cell r="AZ1080"/>
        </row>
        <row r="1081">
          <cell r="A1081"/>
          <cell r="B1081"/>
          <cell r="C1081"/>
          <cell r="D1081"/>
          <cell r="E1081"/>
          <cell r="F1081"/>
          <cell r="G1081"/>
          <cell r="H1081"/>
          <cell r="I1081"/>
          <cell r="J1081"/>
          <cell r="K1081"/>
          <cell r="L1081"/>
          <cell r="M1081"/>
          <cell r="N1081"/>
          <cell r="O1081"/>
          <cell r="P1081"/>
          <cell r="Q1081"/>
          <cell r="R1081"/>
          <cell r="S1081"/>
          <cell r="T1081"/>
          <cell r="U1081"/>
          <cell r="V1081"/>
          <cell r="W1081"/>
          <cell r="X1081"/>
          <cell r="Y1081"/>
          <cell r="Z1081"/>
          <cell r="AA1081"/>
          <cell r="AB1081"/>
          <cell r="AC1081"/>
          <cell r="AD1081"/>
          <cell r="AE1081"/>
          <cell r="AF1081"/>
          <cell r="AG1081"/>
          <cell r="AH1081"/>
          <cell r="AI1081"/>
          <cell r="AJ1081"/>
          <cell r="AK1081"/>
          <cell r="AL1081"/>
          <cell r="AM1081"/>
          <cell r="AN1081"/>
          <cell r="AO1081"/>
          <cell r="AP1081"/>
          <cell r="AQ1081"/>
          <cell r="AR1081"/>
          <cell r="AS1081"/>
          <cell r="AT1081"/>
          <cell r="AU1081"/>
          <cell r="AV1081"/>
          <cell r="AW1081"/>
          <cell r="AX1081"/>
          <cell r="AY1081"/>
          <cell r="AZ1081"/>
        </row>
        <row r="1082">
          <cell r="A1082"/>
          <cell r="B1082"/>
          <cell r="C1082"/>
          <cell r="D1082"/>
          <cell r="E1082"/>
          <cell r="F1082"/>
          <cell r="G1082"/>
          <cell r="H1082"/>
          <cell r="I1082"/>
          <cell r="J1082"/>
          <cell r="K1082"/>
          <cell r="L1082"/>
          <cell r="M1082"/>
          <cell r="N1082"/>
          <cell r="O1082"/>
          <cell r="P1082"/>
          <cell r="Q1082"/>
          <cell r="R1082"/>
          <cell r="S1082"/>
          <cell r="T1082"/>
          <cell r="U1082"/>
          <cell r="V1082"/>
          <cell r="W1082"/>
          <cell r="X1082"/>
          <cell r="Y1082"/>
          <cell r="Z1082"/>
          <cell r="AA1082"/>
          <cell r="AB1082"/>
          <cell r="AC1082"/>
          <cell r="AD1082"/>
          <cell r="AE1082"/>
          <cell r="AF1082"/>
          <cell r="AG1082"/>
          <cell r="AH1082"/>
          <cell r="AI1082"/>
          <cell r="AJ1082"/>
          <cell r="AK1082"/>
          <cell r="AL1082"/>
          <cell r="AM1082"/>
          <cell r="AN1082"/>
          <cell r="AO1082"/>
          <cell r="AP1082"/>
          <cell r="AQ1082"/>
          <cell r="AR1082"/>
          <cell r="AS1082"/>
          <cell r="AT1082"/>
          <cell r="AU1082"/>
          <cell r="AV1082"/>
          <cell r="AW1082"/>
          <cell r="AX1082"/>
          <cell r="AY1082"/>
          <cell r="AZ1082"/>
        </row>
        <row r="1083">
          <cell r="A1083"/>
          <cell r="B1083"/>
          <cell r="C1083"/>
          <cell r="D1083"/>
          <cell r="E1083"/>
          <cell r="F1083"/>
          <cell r="G1083"/>
          <cell r="H1083"/>
          <cell r="I1083"/>
          <cell r="J1083"/>
          <cell r="K1083"/>
          <cell r="L1083"/>
          <cell r="M1083"/>
          <cell r="N1083"/>
          <cell r="O1083"/>
          <cell r="P1083"/>
          <cell r="Q1083"/>
          <cell r="R1083"/>
          <cell r="S1083"/>
          <cell r="T1083"/>
          <cell r="U1083"/>
          <cell r="V1083"/>
          <cell r="W1083"/>
          <cell r="X1083"/>
          <cell r="Y1083"/>
          <cell r="Z1083"/>
          <cell r="AA1083"/>
          <cell r="AB1083"/>
          <cell r="AC1083"/>
          <cell r="AD1083"/>
          <cell r="AE1083"/>
          <cell r="AF1083"/>
          <cell r="AG1083"/>
          <cell r="AH1083"/>
          <cell r="AI1083"/>
          <cell r="AJ1083"/>
          <cell r="AK1083"/>
          <cell r="AL1083"/>
          <cell r="AM1083"/>
          <cell r="AN1083"/>
          <cell r="AO1083"/>
          <cell r="AP1083"/>
          <cell r="AQ1083"/>
          <cell r="AR1083"/>
          <cell r="AS1083"/>
          <cell r="AT1083"/>
          <cell r="AU1083"/>
          <cell r="AV1083"/>
          <cell r="AW1083"/>
          <cell r="AX1083"/>
          <cell r="AY1083"/>
          <cell r="AZ1083"/>
        </row>
        <row r="1084">
          <cell r="A1084"/>
          <cell r="B1084"/>
          <cell r="C1084"/>
          <cell r="D1084"/>
          <cell r="E1084"/>
          <cell r="F1084"/>
          <cell r="G1084"/>
          <cell r="H1084"/>
          <cell r="I1084"/>
          <cell r="J1084"/>
          <cell r="K1084"/>
          <cell r="L1084"/>
          <cell r="M1084"/>
          <cell r="N1084"/>
          <cell r="O1084"/>
          <cell r="P1084"/>
          <cell r="Q1084"/>
          <cell r="R1084"/>
          <cell r="S1084"/>
          <cell r="T1084"/>
          <cell r="U1084"/>
          <cell r="V1084"/>
          <cell r="W1084"/>
          <cell r="X1084"/>
          <cell r="Y1084"/>
          <cell r="Z1084"/>
          <cell r="AA1084"/>
          <cell r="AB1084"/>
          <cell r="AC1084"/>
          <cell r="AD1084"/>
          <cell r="AE1084"/>
          <cell r="AF1084"/>
          <cell r="AG1084"/>
          <cell r="AH1084"/>
          <cell r="AI1084"/>
          <cell r="AJ1084"/>
          <cell r="AK1084"/>
          <cell r="AL1084"/>
          <cell r="AM1084"/>
          <cell r="AN1084"/>
          <cell r="AO1084"/>
          <cell r="AP1084"/>
          <cell r="AQ1084"/>
          <cell r="AR1084"/>
          <cell r="AS1084"/>
          <cell r="AT1084"/>
          <cell r="AU1084"/>
          <cell r="AV1084"/>
          <cell r="AW1084"/>
          <cell r="AX1084"/>
          <cell r="AY1084"/>
          <cell r="AZ1084"/>
        </row>
        <row r="1085">
          <cell r="A1085"/>
          <cell r="B1085"/>
          <cell r="C1085"/>
          <cell r="D1085"/>
          <cell r="E1085"/>
          <cell r="F1085"/>
          <cell r="G1085"/>
          <cell r="H1085"/>
          <cell r="I1085"/>
          <cell r="J1085"/>
          <cell r="K1085"/>
          <cell r="L1085"/>
          <cell r="M1085"/>
          <cell r="N1085"/>
          <cell r="O1085"/>
          <cell r="P1085"/>
          <cell r="Q1085"/>
          <cell r="R1085"/>
          <cell r="S1085"/>
          <cell r="T1085"/>
          <cell r="U1085"/>
          <cell r="V1085"/>
          <cell r="W1085"/>
          <cell r="X1085"/>
          <cell r="Y1085"/>
          <cell r="Z1085"/>
          <cell r="AA1085"/>
          <cell r="AB1085"/>
          <cell r="AC1085"/>
          <cell r="AD1085"/>
          <cell r="AE1085"/>
          <cell r="AF1085"/>
          <cell r="AG1085"/>
          <cell r="AH1085"/>
          <cell r="AI1085"/>
          <cell r="AJ1085"/>
          <cell r="AK1085"/>
          <cell r="AL1085"/>
          <cell r="AM1085"/>
          <cell r="AN1085"/>
          <cell r="AO1085"/>
          <cell r="AP1085"/>
          <cell r="AQ1085"/>
          <cell r="AR1085"/>
          <cell r="AS1085"/>
          <cell r="AT1085"/>
          <cell r="AU1085"/>
          <cell r="AV1085"/>
          <cell r="AW1085"/>
          <cell r="AX1085"/>
          <cell r="AY1085"/>
          <cell r="AZ1085"/>
        </row>
        <row r="1086">
          <cell r="A1086"/>
          <cell r="B1086"/>
          <cell r="C1086"/>
          <cell r="D1086"/>
          <cell r="E1086"/>
          <cell r="F1086"/>
          <cell r="G1086"/>
          <cell r="H1086"/>
          <cell r="I1086"/>
          <cell r="J1086"/>
          <cell r="K1086"/>
          <cell r="L1086"/>
          <cell r="M1086"/>
          <cell r="N1086"/>
          <cell r="O1086"/>
          <cell r="P1086"/>
          <cell r="Q1086"/>
          <cell r="R1086"/>
          <cell r="S1086"/>
          <cell r="T1086"/>
          <cell r="U1086"/>
          <cell r="V1086"/>
          <cell r="W1086"/>
          <cell r="X1086"/>
          <cell r="Y1086"/>
          <cell r="Z1086"/>
          <cell r="AA1086"/>
          <cell r="AB1086"/>
          <cell r="AC1086"/>
          <cell r="AD1086"/>
          <cell r="AE1086"/>
          <cell r="AF1086"/>
          <cell r="AG1086"/>
          <cell r="AH1086"/>
          <cell r="AI1086"/>
          <cell r="AJ1086"/>
          <cell r="AK1086"/>
          <cell r="AL1086"/>
          <cell r="AM1086"/>
          <cell r="AN1086"/>
          <cell r="AO1086"/>
          <cell r="AP1086"/>
          <cell r="AQ1086"/>
          <cell r="AR1086"/>
          <cell r="AS1086"/>
          <cell r="AT1086"/>
          <cell r="AU1086"/>
          <cell r="AV1086"/>
          <cell r="AW1086"/>
          <cell r="AX1086"/>
          <cell r="AY1086"/>
          <cell r="AZ1086"/>
        </row>
        <row r="1087">
          <cell r="A1087"/>
          <cell r="B1087"/>
          <cell r="C1087"/>
          <cell r="D1087"/>
          <cell r="E1087"/>
          <cell r="F1087"/>
          <cell r="G1087"/>
          <cell r="H1087"/>
          <cell r="I1087"/>
          <cell r="J1087"/>
          <cell r="K1087"/>
          <cell r="L1087"/>
          <cell r="M1087"/>
          <cell r="N1087"/>
          <cell r="O1087"/>
          <cell r="P1087"/>
          <cell r="Q1087"/>
          <cell r="R1087"/>
          <cell r="S1087"/>
          <cell r="T1087"/>
          <cell r="U1087"/>
          <cell r="V1087"/>
          <cell r="W1087"/>
          <cell r="X1087"/>
          <cell r="Y1087"/>
          <cell r="Z1087"/>
          <cell r="AA1087"/>
          <cell r="AB1087"/>
          <cell r="AC1087"/>
          <cell r="AD1087"/>
          <cell r="AE1087"/>
          <cell r="AF1087"/>
          <cell r="AG1087"/>
          <cell r="AH1087"/>
          <cell r="AI1087"/>
          <cell r="AJ1087"/>
          <cell r="AK1087"/>
          <cell r="AL1087"/>
          <cell r="AM1087"/>
          <cell r="AN1087"/>
          <cell r="AO1087"/>
          <cell r="AP1087"/>
          <cell r="AQ1087"/>
          <cell r="AR1087"/>
          <cell r="AS1087"/>
          <cell r="AT1087"/>
          <cell r="AU1087"/>
          <cell r="AV1087"/>
          <cell r="AW1087"/>
          <cell r="AX1087"/>
          <cell r="AY1087"/>
          <cell r="AZ1087"/>
        </row>
        <row r="1088">
          <cell r="A1088"/>
          <cell r="B1088"/>
          <cell r="C1088"/>
          <cell r="D1088"/>
          <cell r="E1088"/>
          <cell r="F1088"/>
          <cell r="G1088"/>
          <cell r="H1088"/>
          <cell r="I1088"/>
          <cell r="J1088"/>
          <cell r="K1088"/>
          <cell r="L1088"/>
          <cell r="M1088"/>
          <cell r="N1088"/>
          <cell r="O1088"/>
          <cell r="P1088"/>
          <cell r="Q1088"/>
          <cell r="R1088"/>
          <cell r="S1088"/>
          <cell r="T1088"/>
          <cell r="U1088"/>
          <cell r="V1088"/>
          <cell r="W1088"/>
          <cell r="X1088"/>
          <cell r="Y1088"/>
          <cell r="Z1088"/>
          <cell r="AA1088"/>
          <cell r="AB1088"/>
          <cell r="AC1088"/>
          <cell r="AD1088"/>
          <cell r="AE1088"/>
          <cell r="AF1088"/>
          <cell r="AG1088"/>
          <cell r="AH1088"/>
          <cell r="AI1088"/>
          <cell r="AJ1088"/>
          <cell r="AK1088"/>
          <cell r="AL1088"/>
          <cell r="AM1088"/>
          <cell r="AN1088"/>
          <cell r="AO1088"/>
          <cell r="AP1088"/>
          <cell r="AQ1088"/>
          <cell r="AR1088"/>
          <cell r="AS1088"/>
          <cell r="AT1088"/>
          <cell r="AU1088"/>
          <cell r="AV1088"/>
          <cell r="AW1088"/>
          <cell r="AX1088"/>
          <cell r="AY1088"/>
          <cell r="AZ1088"/>
        </row>
        <row r="1089">
          <cell r="A1089"/>
          <cell r="B1089"/>
          <cell r="C1089"/>
          <cell r="D1089"/>
          <cell r="E1089"/>
          <cell r="F1089"/>
          <cell r="G1089"/>
          <cell r="H1089"/>
          <cell r="I1089"/>
          <cell r="J1089"/>
          <cell r="K1089"/>
          <cell r="L1089"/>
          <cell r="M1089"/>
          <cell r="N1089"/>
          <cell r="O1089"/>
          <cell r="P1089"/>
          <cell r="Q1089"/>
          <cell r="R1089"/>
          <cell r="S1089"/>
          <cell r="T1089"/>
          <cell r="U1089"/>
          <cell r="V1089"/>
          <cell r="W1089"/>
          <cell r="X1089"/>
          <cell r="Y1089"/>
          <cell r="Z1089"/>
          <cell r="AA1089"/>
          <cell r="AB1089"/>
          <cell r="AC1089"/>
          <cell r="AD1089"/>
          <cell r="AE1089"/>
          <cell r="AF1089"/>
          <cell r="AG1089"/>
          <cell r="AH1089"/>
          <cell r="AI1089"/>
          <cell r="AJ1089"/>
          <cell r="AK1089"/>
          <cell r="AL1089"/>
          <cell r="AM1089"/>
          <cell r="AN1089"/>
          <cell r="AO1089"/>
          <cell r="AP1089"/>
          <cell r="AQ1089"/>
          <cell r="AR1089"/>
          <cell r="AS1089"/>
          <cell r="AT1089"/>
          <cell r="AU1089"/>
          <cell r="AV1089"/>
          <cell r="AW1089"/>
          <cell r="AX1089"/>
          <cell r="AY1089"/>
          <cell r="AZ1089"/>
        </row>
        <row r="1090">
          <cell r="A1090"/>
          <cell r="B1090"/>
          <cell r="C1090"/>
          <cell r="D1090"/>
          <cell r="E1090"/>
          <cell r="F1090"/>
          <cell r="G1090"/>
          <cell r="H1090"/>
          <cell r="I1090"/>
          <cell r="J1090"/>
          <cell r="K1090"/>
          <cell r="L1090"/>
          <cell r="M1090"/>
          <cell r="N1090"/>
          <cell r="O1090"/>
          <cell r="P1090"/>
          <cell r="Q1090"/>
          <cell r="R1090"/>
          <cell r="S1090"/>
          <cell r="T1090"/>
          <cell r="U1090"/>
          <cell r="V1090"/>
          <cell r="W1090"/>
          <cell r="X1090"/>
          <cell r="Y1090"/>
          <cell r="Z1090"/>
          <cell r="AA1090"/>
          <cell r="AB1090"/>
          <cell r="AC1090"/>
          <cell r="AD1090"/>
          <cell r="AE1090"/>
          <cell r="AF1090"/>
          <cell r="AG1090"/>
          <cell r="AH1090"/>
          <cell r="AI1090"/>
          <cell r="AJ1090"/>
          <cell r="AK1090"/>
          <cell r="AL1090"/>
          <cell r="AM1090"/>
          <cell r="AN1090"/>
          <cell r="AO1090"/>
          <cell r="AP1090"/>
          <cell r="AQ1090"/>
          <cell r="AR1090"/>
          <cell r="AS1090"/>
          <cell r="AT1090"/>
          <cell r="AU1090"/>
          <cell r="AV1090"/>
          <cell r="AW1090"/>
          <cell r="AX1090"/>
          <cell r="AY1090"/>
          <cell r="AZ1090"/>
        </row>
        <row r="1091">
          <cell r="A1091"/>
          <cell r="B1091"/>
          <cell r="C1091"/>
          <cell r="D1091"/>
          <cell r="E1091"/>
          <cell r="F1091"/>
          <cell r="G1091"/>
          <cell r="H1091"/>
          <cell r="I1091"/>
          <cell r="J1091"/>
          <cell r="K1091"/>
          <cell r="L1091"/>
          <cell r="M1091"/>
          <cell r="N1091"/>
          <cell r="O1091"/>
          <cell r="P1091"/>
          <cell r="Q1091"/>
          <cell r="R1091"/>
          <cell r="S1091"/>
          <cell r="T1091"/>
          <cell r="U1091"/>
          <cell r="V1091"/>
          <cell r="W1091"/>
          <cell r="X1091"/>
          <cell r="Y1091"/>
          <cell r="Z1091"/>
          <cell r="AA1091"/>
          <cell r="AB1091"/>
          <cell r="AC1091"/>
          <cell r="AD1091"/>
          <cell r="AE1091"/>
          <cell r="AF1091"/>
          <cell r="AG1091"/>
          <cell r="AH1091"/>
          <cell r="AI1091"/>
          <cell r="AJ1091"/>
          <cell r="AK1091"/>
          <cell r="AL1091"/>
          <cell r="AM1091"/>
          <cell r="AN1091"/>
          <cell r="AO1091"/>
          <cell r="AP1091"/>
          <cell r="AQ1091"/>
          <cell r="AR1091"/>
          <cell r="AS1091"/>
          <cell r="AT1091"/>
          <cell r="AU1091"/>
          <cell r="AV1091"/>
          <cell r="AW1091"/>
          <cell r="AX1091"/>
          <cell r="AY1091"/>
          <cell r="AZ1091"/>
        </row>
        <row r="1092">
          <cell r="A1092"/>
          <cell r="B1092"/>
          <cell r="C1092"/>
          <cell r="D1092"/>
          <cell r="E1092"/>
          <cell r="F1092"/>
          <cell r="G1092"/>
          <cell r="H1092"/>
          <cell r="I1092"/>
          <cell r="J1092"/>
          <cell r="K1092"/>
          <cell r="L1092"/>
          <cell r="M1092"/>
          <cell r="N1092"/>
          <cell r="O1092"/>
          <cell r="P1092"/>
          <cell r="Q1092"/>
          <cell r="R1092"/>
          <cell r="S1092"/>
          <cell r="T1092"/>
          <cell r="U1092"/>
          <cell r="V1092"/>
          <cell r="W1092"/>
          <cell r="X1092"/>
          <cell r="Y1092"/>
          <cell r="Z1092"/>
          <cell r="AA1092"/>
          <cell r="AB1092"/>
          <cell r="AC1092"/>
          <cell r="AD1092"/>
          <cell r="AE1092"/>
          <cell r="AF1092"/>
          <cell r="AG1092"/>
          <cell r="AH1092"/>
          <cell r="AI1092"/>
          <cell r="AJ1092"/>
          <cell r="AK1092"/>
          <cell r="AL1092"/>
          <cell r="AM1092"/>
          <cell r="AN1092"/>
          <cell r="AO1092"/>
          <cell r="AP1092"/>
          <cell r="AQ1092"/>
          <cell r="AR1092"/>
          <cell r="AS1092"/>
          <cell r="AT1092"/>
          <cell r="AU1092"/>
          <cell r="AV1092"/>
          <cell r="AW1092"/>
          <cell r="AX1092"/>
          <cell r="AY1092"/>
          <cell r="AZ1092"/>
        </row>
        <row r="1093">
          <cell r="A1093"/>
          <cell r="B1093"/>
          <cell r="C1093"/>
          <cell r="D1093"/>
          <cell r="E1093"/>
          <cell r="F1093"/>
          <cell r="G1093"/>
          <cell r="H1093"/>
          <cell r="I1093"/>
          <cell r="J1093"/>
          <cell r="K1093"/>
          <cell r="L1093"/>
          <cell r="M1093"/>
          <cell r="N1093"/>
          <cell r="O1093"/>
          <cell r="P1093"/>
          <cell r="Q1093"/>
          <cell r="R1093"/>
          <cell r="S1093"/>
          <cell r="T1093"/>
          <cell r="U1093"/>
          <cell r="V1093"/>
          <cell r="W1093"/>
          <cell r="X1093"/>
          <cell r="Y1093"/>
          <cell r="Z1093"/>
          <cell r="AA1093"/>
          <cell r="AB1093"/>
          <cell r="AC1093"/>
          <cell r="AD1093"/>
          <cell r="AE1093"/>
          <cell r="AF1093"/>
          <cell r="AG1093"/>
          <cell r="AH1093"/>
          <cell r="AI1093"/>
          <cell r="AJ1093"/>
          <cell r="AK1093"/>
          <cell r="AL1093"/>
          <cell r="AM1093"/>
          <cell r="AN1093"/>
          <cell r="AO1093"/>
          <cell r="AP1093"/>
          <cell r="AQ1093"/>
          <cell r="AR1093"/>
          <cell r="AS1093"/>
          <cell r="AT1093"/>
          <cell r="AU1093"/>
          <cell r="AV1093"/>
          <cell r="AW1093"/>
          <cell r="AX1093"/>
          <cell r="AY1093"/>
          <cell r="AZ1093"/>
        </row>
        <row r="1094">
          <cell r="A1094"/>
          <cell r="B1094"/>
          <cell r="C1094"/>
          <cell r="D1094"/>
          <cell r="E1094"/>
          <cell r="F1094"/>
          <cell r="G1094"/>
          <cell r="H1094"/>
          <cell r="I1094"/>
          <cell r="J1094"/>
          <cell r="K1094"/>
          <cell r="L1094"/>
          <cell r="M1094"/>
          <cell r="N1094"/>
          <cell r="O1094"/>
          <cell r="P1094"/>
          <cell r="Q1094"/>
          <cell r="R1094"/>
          <cell r="S1094"/>
          <cell r="T1094"/>
          <cell r="U1094"/>
          <cell r="V1094"/>
          <cell r="W1094"/>
          <cell r="X1094"/>
          <cell r="Y1094"/>
          <cell r="Z1094"/>
          <cell r="AA1094"/>
          <cell r="AB1094"/>
          <cell r="AC1094"/>
          <cell r="AD1094"/>
          <cell r="AE1094"/>
          <cell r="AF1094"/>
          <cell r="AG1094"/>
          <cell r="AH1094"/>
          <cell r="AI1094"/>
          <cell r="AJ1094"/>
          <cell r="AK1094"/>
          <cell r="AL1094"/>
          <cell r="AM1094"/>
          <cell r="AN1094"/>
          <cell r="AO1094"/>
          <cell r="AP1094"/>
          <cell r="AQ1094"/>
          <cell r="AR1094"/>
          <cell r="AS1094"/>
          <cell r="AT1094"/>
          <cell r="AU1094"/>
          <cell r="AV1094"/>
          <cell r="AW1094"/>
          <cell r="AX1094"/>
          <cell r="AY1094"/>
          <cell r="AZ1094"/>
        </row>
        <row r="1095">
          <cell r="A1095"/>
          <cell r="B1095"/>
          <cell r="C1095"/>
          <cell r="D1095"/>
          <cell r="E1095"/>
          <cell r="F1095"/>
          <cell r="G1095"/>
          <cell r="H1095"/>
          <cell r="I1095"/>
          <cell r="J1095"/>
          <cell r="K1095"/>
          <cell r="L1095"/>
          <cell r="M1095"/>
          <cell r="N1095"/>
          <cell r="O1095"/>
          <cell r="P1095"/>
          <cell r="Q1095"/>
          <cell r="R1095"/>
          <cell r="S1095"/>
          <cell r="T1095"/>
          <cell r="U1095"/>
          <cell r="V1095"/>
          <cell r="W1095"/>
          <cell r="X1095"/>
          <cell r="Y1095"/>
          <cell r="Z1095"/>
          <cell r="AA1095"/>
          <cell r="AB1095"/>
          <cell r="AC1095"/>
          <cell r="AD1095"/>
          <cell r="AE1095"/>
          <cell r="AF1095"/>
          <cell r="AG1095"/>
          <cell r="AH1095"/>
          <cell r="AI1095"/>
          <cell r="AJ1095"/>
          <cell r="AK1095"/>
          <cell r="AL1095"/>
          <cell r="AM1095"/>
          <cell r="AN1095"/>
          <cell r="AO1095"/>
          <cell r="AP1095"/>
          <cell r="AQ1095"/>
          <cell r="AR1095"/>
          <cell r="AS1095"/>
          <cell r="AT1095"/>
          <cell r="AU1095"/>
          <cell r="AV1095"/>
          <cell r="AW1095"/>
          <cell r="AX1095"/>
          <cell r="AY1095"/>
          <cell r="AZ1095"/>
        </row>
        <row r="1096">
          <cell r="A1096"/>
          <cell r="B1096"/>
          <cell r="C1096"/>
          <cell r="D1096"/>
          <cell r="E1096"/>
          <cell r="F1096"/>
          <cell r="G1096"/>
          <cell r="H1096"/>
          <cell r="I1096"/>
          <cell r="J1096"/>
          <cell r="K1096"/>
          <cell r="L1096"/>
          <cell r="M1096"/>
          <cell r="N1096"/>
          <cell r="O1096"/>
          <cell r="P1096"/>
          <cell r="Q1096"/>
          <cell r="R1096"/>
          <cell r="S1096"/>
          <cell r="T1096"/>
          <cell r="U1096"/>
          <cell r="V1096"/>
          <cell r="W1096"/>
          <cell r="X1096"/>
          <cell r="Y1096"/>
          <cell r="Z1096"/>
          <cell r="AA1096"/>
          <cell r="AB1096"/>
          <cell r="AC1096"/>
          <cell r="AD1096"/>
          <cell r="AE1096"/>
          <cell r="AF1096"/>
          <cell r="AG1096"/>
          <cell r="AH1096"/>
          <cell r="AI1096"/>
          <cell r="AJ1096"/>
          <cell r="AK1096"/>
          <cell r="AL1096"/>
          <cell r="AM1096"/>
          <cell r="AN1096"/>
          <cell r="AO1096"/>
          <cell r="AP1096"/>
          <cell r="AQ1096"/>
          <cell r="AR1096"/>
          <cell r="AS1096"/>
          <cell r="AT1096"/>
          <cell r="AU1096"/>
          <cell r="AV1096"/>
          <cell r="AW1096"/>
          <cell r="AX1096"/>
          <cell r="AY1096"/>
          <cell r="AZ1096"/>
        </row>
        <row r="1097">
          <cell r="A1097"/>
          <cell r="B1097"/>
          <cell r="C1097"/>
          <cell r="D1097"/>
          <cell r="E1097"/>
          <cell r="F1097"/>
          <cell r="G1097"/>
          <cell r="H1097"/>
          <cell r="I1097"/>
          <cell r="J1097"/>
          <cell r="K1097"/>
          <cell r="L1097"/>
          <cell r="M1097"/>
          <cell r="N1097"/>
          <cell r="O1097"/>
          <cell r="P1097"/>
          <cell r="Q1097"/>
          <cell r="R1097"/>
          <cell r="S1097"/>
          <cell r="T1097"/>
          <cell r="U1097"/>
          <cell r="V1097"/>
          <cell r="W1097"/>
          <cell r="X1097"/>
          <cell r="Y1097"/>
          <cell r="Z1097"/>
          <cell r="AA1097"/>
          <cell r="AB1097"/>
          <cell r="AC1097"/>
          <cell r="AD1097"/>
          <cell r="AE1097"/>
          <cell r="AF1097"/>
          <cell r="AG1097"/>
          <cell r="AH1097"/>
          <cell r="AI1097"/>
          <cell r="AJ1097"/>
          <cell r="AK1097"/>
          <cell r="AL1097"/>
          <cell r="AM1097"/>
          <cell r="AN1097"/>
          <cell r="AO1097"/>
          <cell r="AP1097"/>
          <cell r="AQ1097"/>
          <cell r="AR1097"/>
          <cell r="AS1097"/>
          <cell r="AT1097"/>
          <cell r="AU1097"/>
          <cell r="AV1097"/>
          <cell r="AW1097"/>
          <cell r="AX1097"/>
          <cell r="AY1097"/>
          <cell r="AZ1097"/>
        </row>
        <row r="1098">
          <cell r="A1098"/>
          <cell r="B1098"/>
          <cell r="C1098"/>
          <cell r="D1098"/>
          <cell r="E1098"/>
          <cell r="F1098"/>
          <cell r="G1098"/>
          <cell r="H1098"/>
          <cell r="I1098"/>
          <cell r="J1098"/>
          <cell r="K1098"/>
          <cell r="L1098"/>
          <cell r="M1098"/>
          <cell r="N1098"/>
          <cell r="O1098"/>
          <cell r="P1098"/>
          <cell r="Q1098"/>
          <cell r="R1098"/>
          <cell r="S1098"/>
          <cell r="T1098"/>
          <cell r="U1098"/>
          <cell r="V1098"/>
          <cell r="W1098"/>
          <cell r="X1098"/>
          <cell r="Y1098"/>
          <cell r="Z1098"/>
          <cell r="AA1098"/>
          <cell r="AB1098"/>
          <cell r="AC1098"/>
          <cell r="AD1098"/>
          <cell r="AE1098"/>
          <cell r="AF1098"/>
          <cell r="AG1098"/>
          <cell r="AH1098"/>
          <cell r="AI1098"/>
          <cell r="AJ1098"/>
          <cell r="AK1098"/>
          <cell r="AL1098"/>
          <cell r="AM1098"/>
          <cell r="AN1098"/>
          <cell r="AO1098"/>
          <cell r="AP1098"/>
          <cell r="AQ1098"/>
          <cell r="AR1098"/>
          <cell r="AS1098"/>
          <cell r="AT1098"/>
          <cell r="AU1098"/>
          <cell r="AV1098"/>
          <cell r="AW1098"/>
          <cell r="AX1098"/>
          <cell r="AY1098"/>
          <cell r="AZ1098"/>
        </row>
        <row r="1099">
          <cell r="A1099"/>
          <cell r="B1099"/>
          <cell r="C1099"/>
          <cell r="D1099"/>
          <cell r="E1099"/>
          <cell r="F1099"/>
          <cell r="G1099"/>
          <cell r="H1099"/>
          <cell r="I1099"/>
          <cell r="J1099"/>
          <cell r="K1099"/>
          <cell r="L1099"/>
          <cell r="M1099"/>
          <cell r="N1099"/>
          <cell r="O1099"/>
          <cell r="P1099"/>
          <cell r="Q1099"/>
          <cell r="R1099"/>
          <cell r="S1099"/>
          <cell r="T1099"/>
          <cell r="U1099"/>
          <cell r="V1099"/>
          <cell r="W1099"/>
          <cell r="X1099"/>
          <cell r="Y1099"/>
          <cell r="Z1099"/>
          <cell r="AA1099"/>
          <cell r="AB1099"/>
          <cell r="AC1099"/>
          <cell r="AD1099"/>
          <cell r="AE1099"/>
          <cell r="AF1099"/>
          <cell r="AG1099"/>
          <cell r="AH1099"/>
          <cell r="AI1099"/>
          <cell r="AJ1099"/>
          <cell r="AK1099"/>
          <cell r="AL1099"/>
          <cell r="AM1099"/>
          <cell r="AN1099"/>
          <cell r="AO1099"/>
          <cell r="AP1099"/>
          <cell r="AQ1099"/>
          <cell r="AR1099"/>
          <cell r="AS1099"/>
          <cell r="AT1099"/>
          <cell r="AU1099"/>
          <cell r="AV1099"/>
          <cell r="AW1099"/>
          <cell r="AX1099"/>
          <cell r="AY1099"/>
          <cell r="AZ1099"/>
        </row>
        <row r="1100">
          <cell r="A1100"/>
          <cell r="B1100"/>
          <cell r="C1100"/>
          <cell r="D1100"/>
          <cell r="E1100"/>
          <cell r="F1100"/>
          <cell r="G1100"/>
          <cell r="H1100"/>
          <cell r="I1100"/>
          <cell r="J1100"/>
          <cell r="K1100"/>
          <cell r="L1100"/>
          <cell r="M1100"/>
          <cell r="N1100"/>
          <cell r="O1100"/>
          <cell r="P1100"/>
          <cell r="Q1100"/>
          <cell r="R1100"/>
          <cell r="S1100"/>
          <cell r="T1100"/>
          <cell r="U1100"/>
          <cell r="V1100"/>
          <cell r="W1100"/>
          <cell r="X1100"/>
          <cell r="Y1100"/>
          <cell r="Z1100"/>
          <cell r="AA1100"/>
          <cell r="AB1100"/>
          <cell r="AC1100"/>
          <cell r="AD1100"/>
          <cell r="AE1100"/>
          <cell r="AF1100"/>
          <cell r="AG1100"/>
          <cell r="AH1100"/>
          <cell r="AI1100"/>
          <cell r="AJ1100"/>
          <cell r="AK1100"/>
          <cell r="AL1100"/>
          <cell r="AM1100"/>
          <cell r="AN1100"/>
          <cell r="AO1100"/>
          <cell r="AP1100"/>
          <cell r="AQ1100"/>
          <cell r="AR1100"/>
          <cell r="AS1100"/>
          <cell r="AT1100"/>
          <cell r="AU1100"/>
          <cell r="AV1100"/>
          <cell r="AW1100"/>
          <cell r="AX1100"/>
          <cell r="AY1100"/>
          <cell r="AZ1100"/>
        </row>
        <row r="1101">
          <cell r="A1101"/>
          <cell r="B1101"/>
          <cell r="C1101"/>
          <cell r="D1101"/>
          <cell r="E1101"/>
          <cell r="F1101"/>
          <cell r="G1101"/>
          <cell r="H1101"/>
          <cell r="I1101"/>
          <cell r="J1101"/>
          <cell r="K1101"/>
          <cell r="L1101"/>
          <cell r="M1101"/>
          <cell r="N1101"/>
          <cell r="O1101"/>
          <cell r="P1101"/>
          <cell r="Q1101"/>
          <cell r="R1101"/>
          <cell r="S1101"/>
          <cell r="T1101"/>
          <cell r="U1101"/>
          <cell r="V1101"/>
          <cell r="W1101"/>
          <cell r="X1101"/>
          <cell r="Y1101"/>
          <cell r="Z1101"/>
          <cell r="AA1101"/>
          <cell r="AB1101"/>
          <cell r="AC1101"/>
          <cell r="AD1101"/>
          <cell r="AE1101"/>
          <cell r="AF1101"/>
          <cell r="AG1101"/>
          <cell r="AH1101"/>
          <cell r="AI1101"/>
          <cell r="AJ1101"/>
          <cell r="AK1101"/>
          <cell r="AL1101"/>
          <cell r="AM1101"/>
          <cell r="AN1101"/>
          <cell r="AO1101"/>
          <cell r="AP1101"/>
          <cell r="AQ1101"/>
          <cell r="AR1101"/>
          <cell r="AS1101"/>
          <cell r="AT1101"/>
          <cell r="AU1101"/>
          <cell r="AV1101"/>
          <cell r="AW1101"/>
          <cell r="AX1101"/>
          <cell r="AY1101"/>
          <cell r="AZ1101"/>
        </row>
        <row r="1102">
          <cell r="A1102"/>
          <cell r="B1102"/>
          <cell r="C1102"/>
          <cell r="D1102"/>
          <cell r="E1102"/>
          <cell r="F1102"/>
          <cell r="G1102"/>
          <cell r="H1102"/>
          <cell r="I1102"/>
          <cell r="J1102"/>
          <cell r="K1102"/>
          <cell r="L1102"/>
          <cell r="M1102"/>
          <cell r="N1102"/>
          <cell r="O1102"/>
          <cell r="P1102"/>
          <cell r="Q1102"/>
          <cell r="R1102"/>
          <cell r="S1102"/>
          <cell r="T1102"/>
          <cell r="U1102"/>
          <cell r="V1102"/>
          <cell r="W1102"/>
          <cell r="X1102"/>
          <cell r="Y1102"/>
          <cell r="Z1102"/>
          <cell r="AA1102"/>
          <cell r="AB1102"/>
          <cell r="AC1102"/>
          <cell r="AD1102"/>
          <cell r="AE1102"/>
          <cell r="AF1102"/>
          <cell r="AG1102"/>
          <cell r="AH1102"/>
          <cell r="AI1102"/>
          <cell r="AJ1102"/>
          <cell r="AK1102"/>
          <cell r="AL1102"/>
          <cell r="AM1102"/>
          <cell r="AN1102"/>
          <cell r="AO1102"/>
          <cell r="AP1102"/>
          <cell r="AQ1102"/>
          <cell r="AR1102"/>
          <cell r="AS1102"/>
          <cell r="AT1102"/>
          <cell r="AU1102"/>
          <cell r="AV1102"/>
          <cell r="AW1102"/>
          <cell r="AX1102"/>
          <cell r="AY1102"/>
          <cell r="AZ1102"/>
        </row>
        <row r="1103">
          <cell r="A1103"/>
          <cell r="B1103"/>
          <cell r="C1103"/>
          <cell r="D1103"/>
          <cell r="E1103"/>
          <cell r="F1103"/>
          <cell r="G1103"/>
          <cell r="H1103"/>
          <cell r="I1103"/>
          <cell r="J1103"/>
          <cell r="K1103"/>
          <cell r="L1103"/>
          <cell r="M1103"/>
          <cell r="N1103"/>
          <cell r="O1103"/>
          <cell r="P1103"/>
          <cell r="Q1103"/>
          <cell r="R1103"/>
          <cell r="S1103"/>
          <cell r="T1103"/>
          <cell r="U1103"/>
          <cell r="V1103"/>
          <cell r="W1103"/>
          <cell r="X1103"/>
          <cell r="Y1103"/>
          <cell r="Z1103"/>
          <cell r="AA1103"/>
          <cell r="AB1103"/>
          <cell r="AC1103"/>
          <cell r="AD1103"/>
          <cell r="AE1103"/>
          <cell r="AF1103"/>
          <cell r="AG1103"/>
          <cell r="AH1103"/>
          <cell r="AI1103"/>
          <cell r="AJ1103"/>
          <cell r="AK1103"/>
          <cell r="AL1103"/>
          <cell r="AM1103"/>
          <cell r="AN1103"/>
          <cell r="AO1103"/>
          <cell r="AP1103"/>
          <cell r="AQ1103"/>
          <cell r="AR1103"/>
          <cell r="AS1103"/>
          <cell r="AT1103"/>
          <cell r="AU1103"/>
          <cell r="AV1103"/>
          <cell r="AW1103"/>
          <cell r="AX1103"/>
          <cell r="AY1103"/>
          <cell r="AZ1103"/>
        </row>
        <row r="1104">
          <cell r="A1104"/>
          <cell r="B1104"/>
          <cell r="C1104"/>
          <cell r="D1104"/>
          <cell r="E1104"/>
          <cell r="F1104"/>
          <cell r="G1104"/>
          <cell r="H1104"/>
          <cell r="I1104"/>
          <cell r="J1104"/>
          <cell r="K1104"/>
          <cell r="L1104"/>
          <cell r="M1104"/>
          <cell r="N1104"/>
          <cell r="O1104"/>
          <cell r="P1104"/>
          <cell r="Q1104"/>
          <cell r="R1104"/>
          <cell r="S1104"/>
          <cell r="T1104"/>
          <cell r="U1104"/>
          <cell r="V1104"/>
          <cell r="W1104"/>
          <cell r="X1104"/>
          <cell r="Y1104"/>
          <cell r="Z1104"/>
          <cell r="AA1104"/>
          <cell r="AB1104"/>
          <cell r="AC1104"/>
          <cell r="AD1104"/>
          <cell r="AE1104"/>
          <cell r="AF1104"/>
          <cell r="AG1104"/>
          <cell r="AH1104"/>
          <cell r="AI1104"/>
          <cell r="AJ1104"/>
          <cell r="AK1104"/>
          <cell r="AL1104"/>
          <cell r="AM1104"/>
          <cell r="AN1104"/>
          <cell r="AO1104"/>
          <cell r="AP1104"/>
          <cell r="AQ1104"/>
          <cell r="AR1104"/>
          <cell r="AS1104"/>
          <cell r="AT1104"/>
          <cell r="AU1104"/>
          <cell r="AV1104"/>
          <cell r="AW1104"/>
          <cell r="AX1104"/>
          <cell r="AY1104"/>
          <cell r="AZ1104"/>
        </row>
        <row r="1105">
          <cell r="A1105"/>
          <cell r="B1105"/>
          <cell r="C1105"/>
          <cell r="D1105"/>
          <cell r="E1105"/>
          <cell r="F1105"/>
          <cell r="G1105"/>
          <cell r="H1105"/>
          <cell r="I1105"/>
          <cell r="J1105"/>
          <cell r="K1105"/>
          <cell r="L1105"/>
          <cell r="M1105"/>
          <cell r="N1105"/>
          <cell r="O1105"/>
          <cell r="P1105"/>
          <cell r="Q1105"/>
          <cell r="R1105"/>
          <cell r="S1105"/>
          <cell r="T1105"/>
          <cell r="U1105"/>
          <cell r="V1105"/>
          <cell r="W1105"/>
          <cell r="X1105"/>
          <cell r="Y1105"/>
          <cell r="Z1105"/>
          <cell r="AA1105"/>
          <cell r="AB1105"/>
          <cell r="AC1105"/>
          <cell r="AD1105"/>
          <cell r="AE1105"/>
          <cell r="AF1105"/>
          <cell r="AG1105"/>
          <cell r="AH1105"/>
          <cell r="AI1105"/>
          <cell r="AJ1105"/>
          <cell r="AK1105"/>
          <cell r="AL1105"/>
          <cell r="AM1105"/>
          <cell r="AN1105"/>
          <cell r="AO1105"/>
          <cell r="AP1105"/>
          <cell r="AQ1105"/>
          <cell r="AR1105"/>
          <cell r="AS1105"/>
          <cell r="AT1105"/>
          <cell r="AU1105"/>
          <cell r="AV1105"/>
          <cell r="AW1105"/>
          <cell r="AX1105"/>
          <cell r="AY1105"/>
          <cell r="AZ1105"/>
        </row>
        <row r="1106">
          <cell r="A1106"/>
          <cell r="B1106"/>
          <cell r="C1106"/>
          <cell r="D1106"/>
          <cell r="E1106"/>
          <cell r="F1106"/>
          <cell r="G1106"/>
          <cell r="H1106"/>
          <cell r="I1106"/>
          <cell r="J1106"/>
          <cell r="K1106"/>
          <cell r="L1106"/>
          <cell r="M1106"/>
          <cell r="N1106"/>
          <cell r="O1106"/>
          <cell r="P1106"/>
          <cell r="Q1106"/>
          <cell r="R1106"/>
          <cell r="S1106"/>
          <cell r="T1106"/>
          <cell r="U1106"/>
          <cell r="V1106"/>
          <cell r="W1106"/>
          <cell r="X1106"/>
          <cell r="Y1106"/>
          <cell r="Z1106"/>
          <cell r="AA1106"/>
          <cell r="AB1106"/>
          <cell r="AC1106"/>
          <cell r="AD1106"/>
          <cell r="AE1106"/>
          <cell r="AF1106"/>
          <cell r="AG1106"/>
          <cell r="AH1106"/>
          <cell r="AI1106"/>
          <cell r="AJ1106"/>
          <cell r="AK1106"/>
          <cell r="AL1106"/>
          <cell r="AM1106"/>
          <cell r="AN1106"/>
          <cell r="AO1106"/>
          <cell r="AP1106"/>
          <cell r="AQ1106"/>
          <cell r="AR1106"/>
          <cell r="AS1106"/>
          <cell r="AT1106"/>
          <cell r="AU1106"/>
          <cell r="AV1106"/>
          <cell r="AW1106"/>
          <cell r="AX1106"/>
          <cell r="AY1106"/>
          <cell r="AZ1106"/>
        </row>
        <row r="1107">
          <cell r="A1107"/>
          <cell r="B1107"/>
          <cell r="C1107"/>
          <cell r="D1107"/>
          <cell r="E1107"/>
          <cell r="F1107"/>
          <cell r="G1107"/>
          <cell r="H1107"/>
          <cell r="I1107"/>
          <cell r="J1107"/>
          <cell r="K1107"/>
          <cell r="L1107"/>
          <cell r="M1107"/>
          <cell r="N1107"/>
          <cell r="O1107"/>
          <cell r="P1107"/>
          <cell r="Q1107"/>
          <cell r="R1107"/>
          <cell r="S1107"/>
          <cell r="T1107"/>
          <cell r="U1107"/>
          <cell r="V1107"/>
          <cell r="W1107"/>
          <cell r="X1107"/>
          <cell r="Y1107"/>
          <cell r="Z1107"/>
          <cell r="AA1107"/>
          <cell r="AB1107"/>
          <cell r="AC1107"/>
          <cell r="AD1107"/>
          <cell r="AE1107"/>
          <cell r="AF1107"/>
          <cell r="AG1107"/>
          <cell r="AH1107"/>
          <cell r="AI1107"/>
          <cell r="AJ1107"/>
          <cell r="AK1107"/>
          <cell r="AL1107"/>
          <cell r="AM1107"/>
          <cell r="AN1107"/>
          <cell r="AO1107"/>
          <cell r="AP1107"/>
          <cell r="AQ1107"/>
          <cell r="AR1107"/>
          <cell r="AS1107"/>
          <cell r="AT1107"/>
          <cell r="AU1107"/>
          <cell r="AV1107"/>
          <cell r="AW1107"/>
          <cell r="AX1107"/>
          <cell r="AY1107"/>
          <cell r="AZ1107"/>
        </row>
        <row r="1108">
          <cell r="A1108"/>
          <cell r="B1108"/>
          <cell r="C1108"/>
          <cell r="D1108"/>
          <cell r="E1108"/>
          <cell r="F1108"/>
          <cell r="G1108"/>
          <cell r="H1108"/>
          <cell r="I1108"/>
          <cell r="J1108"/>
          <cell r="K1108"/>
          <cell r="L1108"/>
          <cell r="M1108"/>
          <cell r="N1108"/>
          <cell r="O1108"/>
          <cell r="P1108"/>
          <cell r="Q1108"/>
          <cell r="R1108"/>
          <cell r="S1108"/>
          <cell r="T1108"/>
          <cell r="U1108"/>
          <cell r="V1108"/>
          <cell r="W1108"/>
          <cell r="X1108"/>
          <cell r="Y1108"/>
          <cell r="Z1108"/>
          <cell r="AA1108"/>
          <cell r="AB1108"/>
          <cell r="AC1108"/>
          <cell r="AD1108"/>
          <cell r="AE1108"/>
          <cell r="AF1108"/>
          <cell r="AG1108"/>
          <cell r="AH1108"/>
          <cell r="AI1108"/>
          <cell r="AJ1108"/>
          <cell r="AK1108"/>
          <cell r="AL1108"/>
          <cell r="AM1108"/>
          <cell r="AN1108"/>
          <cell r="AO1108"/>
          <cell r="AP1108"/>
          <cell r="AQ1108"/>
          <cell r="AR1108"/>
          <cell r="AS1108"/>
          <cell r="AT1108"/>
          <cell r="AU1108"/>
          <cell r="AV1108"/>
          <cell r="AW1108"/>
          <cell r="AX1108"/>
          <cell r="AY1108"/>
          <cell r="AZ1108"/>
        </row>
        <row r="1109">
          <cell r="A1109"/>
          <cell r="B1109"/>
          <cell r="C1109"/>
          <cell r="D1109"/>
          <cell r="E1109"/>
          <cell r="F1109"/>
          <cell r="G1109"/>
          <cell r="H1109"/>
          <cell r="I1109"/>
          <cell r="J1109"/>
          <cell r="K1109"/>
          <cell r="L1109"/>
          <cell r="M1109"/>
          <cell r="N1109"/>
          <cell r="O1109"/>
          <cell r="P1109"/>
          <cell r="Q1109"/>
          <cell r="R1109"/>
          <cell r="S1109"/>
          <cell r="T1109"/>
          <cell r="U1109"/>
          <cell r="V1109"/>
          <cell r="W1109"/>
          <cell r="X1109"/>
          <cell r="Y1109"/>
          <cell r="Z1109"/>
          <cell r="AA1109"/>
          <cell r="AB1109"/>
          <cell r="AC1109"/>
          <cell r="AD1109"/>
          <cell r="AE1109"/>
          <cell r="AF1109"/>
          <cell r="AG1109"/>
          <cell r="AH1109"/>
          <cell r="AI1109"/>
          <cell r="AJ1109"/>
          <cell r="AK1109"/>
          <cell r="AL1109"/>
          <cell r="AM1109"/>
          <cell r="AN1109"/>
          <cell r="AO1109"/>
          <cell r="AP1109"/>
          <cell r="AQ1109"/>
          <cell r="AR1109"/>
          <cell r="AS1109"/>
          <cell r="AT1109"/>
          <cell r="AU1109"/>
          <cell r="AV1109"/>
          <cell r="AW1109"/>
          <cell r="AX1109"/>
          <cell r="AY1109"/>
          <cell r="AZ1109"/>
        </row>
        <row r="1110">
          <cell r="A1110"/>
          <cell r="B1110"/>
          <cell r="C1110"/>
          <cell r="D1110"/>
          <cell r="E1110"/>
          <cell r="F1110"/>
          <cell r="G1110"/>
          <cell r="H1110"/>
          <cell r="I1110"/>
          <cell r="J1110"/>
          <cell r="K1110"/>
          <cell r="L1110"/>
          <cell r="M1110"/>
          <cell r="N1110"/>
          <cell r="O1110"/>
          <cell r="P1110"/>
          <cell r="Q1110"/>
          <cell r="R1110"/>
          <cell r="S1110"/>
          <cell r="T1110"/>
          <cell r="U1110"/>
          <cell r="V1110"/>
          <cell r="W1110"/>
          <cell r="X1110"/>
          <cell r="Y1110"/>
          <cell r="Z1110"/>
          <cell r="AA1110"/>
          <cell r="AB1110"/>
          <cell r="AC1110"/>
          <cell r="AD1110"/>
          <cell r="AE1110"/>
          <cell r="AF1110"/>
          <cell r="AG1110"/>
          <cell r="AH1110"/>
          <cell r="AI1110"/>
          <cell r="AJ1110"/>
          <cell r="AK1110"/>
          <cell r="AL1110"/>
          <cell r="AM1110"/>
          <cell r="AN1110"/>
          <cell r="AO1110"/>
          <cell r="AP1110"/>
          <cell r="AQ1110"/>
          <cell r="AR1110"/>
          <cell r="AS1110"/>
          <cell r="AT1110"/>
          <cell r="AU1110"/>
          <cell r="AV1110"/>
          <cell r="AW1110"/>
          <cell r="AX1110"/>
          <cell r="AY1110"/>
          <cell r="AZ1110"/>
        </row>
        <row r="1111">
          <cell r="A1111"/>
          <cell r="B1111"/>
          <cell r="C1111"/>
          <cell r="D1111"/>
          <cell r="E1111"/>
          <cell r="F1111"/>
          <cell r="G1111"/>
          <cell r="H1111"/>
          <cell r="I1111"/>
          <cell r="J1111"/>
          <cell r="K1111"/>
          <cell r="L1111"/>
          <cell r="M1111"/>
          <cell r="N1111"/>
          <cell r="O1111"/>
          <cell r="P1111"/>
          <cell r="Q1111"/>
          <cell r="R1111"/>
          <cell r="S1111"/>
          <cell r="T1111"/>
          <cell r="U1111"/>
          <cell r="V1111"/>
          <cell r="W1111"/>
          <cell r="X1111"/>
          <cell r="Y1111"/>
          <cell r="Z1111"/>
          <cell r="AA1111"/>
          <cell r="AB1111"/>
          <cell r="AC1111"/>
          <cell r="AD1111"/>
          <cell r="AE1111"/>
          <cell r="AF1111"/>
          <cell r="AG1111"/>
          <cell r="AH1111"/>
          <cell r="AI1111"/>
          <cell r="AJ1111"/>
          <cell r="AK1111"/>
          <cell r="AL1111"/>
          <cell r="AM1111"/>
          <cell r="AN1111"/>
          <cell r="AO1111"/>
          <cell r="AP1111"/>
          <cell r="AQ1111"/>
          <cell r="AR1111"/>
          <cell r="AS1111"/>
          <cell r="AT1111"/>
          <cell r="AU1111"/>
          <cell r="AV1111"/>
          <cell r="AW1111"/>
          <cell r="AX1111"/>
          <cell r="AY1111"/>
          <cell r="AZ1111"/>
        </row>
        <row r="1112">
          <cell r="A1112"/>
          <cell r="B1112"/>
          <cell r="C1112"/>
          <cell r="D1112"/>
          <cell r="E1112"/>
          <cell r="F1112"/>
          <cell r="G1112"/>
          <cell r="H1112"/>
          <cell r="I1112"/>
          <cell r="J1112"/>
          <cell r="K1112"/>
          <cell r="L1112"/>
          <cell r="M1112"/>
          <cell r="N1112"/>
          <cell r="O1112"/>
          <cell r="P1112"/>
          <cell r="Q1112"/>
          <cell r="R1112"/>
          <cell r="S1112"/>
          <cell r="T1112"/>
          <cell r="U1112"/>
          <cell r="V1112"/>
          <cell r="W1112"/>
          <cell r="X1112"/>
          <cell r="Y1112"/>
          <cell r="Z1112"/>
          <cell r="AA1112"/>
          <cell r="AB1112"/>
          <cell r="AC1112"/>
          <cell r="AD1112"/>
          <cell r="AE1112"/>
          <cell r="AF1112"/>
          <cell r="AG1112"/>
          <cell r="AH1112"/>
          <cell r="AI1112"/>
          <cell r="AJ1112"/>
          <cell r="AK1112"/>
          <cell r="AL1112"/>
          <cell r="AM1112"/>
          <cell r="AN1112"/>
          <cell r="AO1112"/>
          <cell r="AP1112"/>
          <cell r="AQ1112"/>
          <cell r="AR1112"/>
          <cell r="AS1112"/>
          <cell r="AT1112"/>
          <cell r="AU1112"/>
          <cell r="AV1112"/>
          <cell r="AW1112"/>
          <cell r="AX1112"/>
          <cell r="AY1112"/>
          <cell r="AZ1112"/>
        </row>
        <row r="1113">
          <cell r="A1113"/>
          <cell r="B1113"/>
          <cell r="C1113"/>
          <cell r="D1113"/>
          <cell r="E1113"/>
          <cell r="F1113"/>
          <cell r="G1113"/>
          <cell r="H1113"/>
          <cell r="I1113"/>
          <cell r="J1113"/>
          <cell r="K1113"/>
          <cell r="L1113"/>
          <cell r="M1113"/>
          <cell r="N1113"/>
          <cell r="O1113"/>
          <cell r="P1113"/>
          <cell r="Q1113"/>
          <cell r="R1113"/>
          <cell r="S1113"/>
          <cell r="T1113"/>
          <cell r="U1113"/>
          <cell r="V1113"/>
          <cell r="W1113"/>
          <cell r="X1113"/>
          <cell r="Y1113"/>
          <cell r="Z1113"/>
          <cell r="AA1113"/>
          <cell r="AB1113"/>
          <cell r="AC1113"/>
          <cell r="AD1113"/>
          <cell r="AE1113"/>
          <cell r="AF1113"/>
          <cell r="AG1113"/>
          <cell r="AH1113"/>
          <cell r="AI1113"/>
          <cell r="AJ1113"/>
          <cell r="AK1113"/>
          <cell r="AL1113"/>
          <cell r="AM1113"/>
          <cell r="AN1113"/>
          <cell r="AO1113"/>
          <cell r="AP1113"/>
          <cell r="AQ1113"/>
          <cell r="AR1113"/>
          <cell r="AS1113"/>
          <cell r="AT1113"/>
          <cell r="AU1113"/>
          <cell r="AV1113"/>
          <cell r="AW1113"/>
          <cell r="AX1113"/>
          <cell r="AY1113"/>
          <cell r="AZ1113"/>
        </row>
        <row r="1114">
          <cell r="A1114"/>
          <cell r="B1114"/>
          <cell r="C1114"/>
          <cell r="D1114"/>
          <cell r="E1114"/>
          <cell r="F1114"/>
          <cell r="G1114"/>
          <cell r="H1114"/>
          <cell r="I1114"/>
          <cell r="J1114"/>
          <cell r="K1114"/>
          <cell r="L1114"/>
          <cell r="M1114"/>
          <cell r="N1114"/>
          <cell r="O1114"/>
          <cell r="P1114"/>
          <cell r="Q1114"/>
          <cell r="R1114"/>
          <cell r="S1114"/>
          <cell r="T1114"/>
          <cell r="U1114"/>
          <cell r="V1114"/>
          <cell r="W1114"/>
          <cell r="X1114"/>
          <cell r="Y1114"/>
          <cell r="Z1114"/>
          <cell r="AA1114"/>
          <cell r="AB1114"/>
          <cell r="AC1114"/>
          <cell r="AD1114"/>
          <cell r="AE1114"/>
          <cell r="AF1114"/>
          <cell r="AG1114"/>
          <cell r="AH1114"/>
          <cell r="AI1114"/>
          <cell r="AJ1114"/>
          <cell r="AK1114"/>
          <cell r="AL1114"/>
          <cell r="AM1114"/>
          <cell r="AN1114"/>
          <cell r="AO1114"/>
          <cell r="AP1114"/>
          <cell r="AQ1114"/>
          <cell r="AR1114"/>
          <cell r="AS1114"/>
          <cell r="AT1114"/>
          <cell r="AU1114"/>
          <cell r="AV1114"/>
          <cell r="AW1114"/>
          <cell r="AX1114"/>
          <cell r="AY1114"/>
          <cell r="AZ1114"/>
        </row>
        <row r="1115">
          <cell r="A1115"/>
          <cell r="B1115"/>
          <cell r="C1115"/>
          <cell r="D1115"/>
          <cell r="E1115"/>
          <cell r="F1115"/>
          <cell r="G1115"/>
          <cell r="H1115"/>
          <cell r="I1115"/>
          <cell r="J1115"/>
          <cell r="K1115"/>
          <cell r="L1115"/>
          <cell r="M1115"/>
          <cell r="N1115"/>
          <cell r="O1115"/>
          <cell r="P1115"/>
          <cell r="Q1115"/>
          <cell r="R1115"/>
          <cell r="S1115"/>
          <cell r="T1115"/>
          <cell r="U1115"/>
          <cell r="V1115"/>
          <cell r="W1115"/>
          <cell r="X1115"/>
          <cell r="Y1115"/>
          <cell r="Z1115"/>
          <cell r="AA1115"/>
          <cell r="AB1115"/>
          <cell r="AC1115"/>
          <cell r="AD1115"/>
          <cell r="AE1115"/>
          <cell r="AF1115"/>
          <cell r="AG1115"/>
          <cell r="AH1115"/>
          <cell r="AI1115"/>
          <cell r="AJ1115"/>
          <cell r="AK1115"/>
          <cell r="AL1115"/>
          <cell r="AM1115"/>
          <cell r="AN1115"/>
          <cell r="AO1115"/>
          <cell r="AP1115"/>
          <cell r="AQ1115"/>
          <cell r="AR1115"/>
          <cell r="AS1115"/>
          <cell r="AT1115"/>
          <cell r="AU1115"/>
          <cell r="AV1115"/>
          <cell r="AW1115"/>
          <cell r="AX1115"/>
          <cell r="AY1115"/>
          <cell r="AZ1115"/>
        </row>
        <row r="1116">
          <cell r="A1116"/>
          <cell r="B1116"/>
          <cell r="C1116"/>
          <cell r="D1116"/>
          <cell r="E1116"/>
          <cell r="F1116"/>
          <cell r="G1116"/>
          <cell r="H1116"/>
          <cell r="I1116"/>
          <cell r="J1116"/>
          <cell r="K1116"/>
          <cell r="L1116"/>
          <cell r="M1116"/>
          <cell r="N1116"/>
          <cell r="O1116"/>
          <cell r="P1116"/>
          <cell r="Q1116"/>
          <cell r="R1116"/>
          <cell r="S1116"/>
          <cell r="T1116"/>
          <cell r="U1116"/>
          <cell r="V1116"/>
          <cell r="W1116"/>
          <cell r="X1116"/>
          <cell r="Y1116"/>
          <cell r="Z1116"/>
          <cell r="AA1116"/>
          <cell r="AB1116"/>
          <cell r="AC1116"/>
          <cell r="AD1116"/>
          <cell r="AE1116"/>
          <cell r="AF1116"/>
          <cell r="AG1116"/>
          <cell r="AH1116"/>
          <cell r="AI1116"/>
          <cell r="AJ1116"/>
          <cell r="AK1116"/>
          <cell r="AL1116"/>
          <cell r="AM1116"/>
          <cell r="AN1116"/>
          <cell r="AO1116"/>
          <cell r="AP1116"/>
          <cell r="AQ1116"/>
          <cell r="AR1116"/>
          <cell r="AS1116"/>
          <cell r="AT1116"/>
          <cell r="AU1116"/>
          <cell r="AV1116"/>
          <cell r="AW1116"/>
          <cell r="AX1116"/>
          <cell r="AY1116"/>
          <cell r="AZ1116"/>
        </row>
        <row r="1117">
          <cell r="A1117"/>
          <cell r="B1117"/>
          <cell r="C1117"/>
          <cell r="D1117"/>
          <cell r="E1117"/>
          <cell r="F1117"/>
          <cell r="G1117"/>
          <cell r="H1117"/>
          <cell r="I1117"/>
          <cell r="J1117"/>
          <cell r="K1117"/>
          <cell r="L1117"/>
          <cell r="M1117"/>
          <cell r="N1117"/>
          <cell r="O1117"/>
          <cell r="P1117"/>
          <cell r="Q1117"/>
          <cell r="R1117"/>
          <cell r="S1117"/>
          <cell r="T1117"/>
          <cell r="U1117"/>
          <cell r="V1117"/>
          <cell r="W1117"/>
          <cell r="X1117"/>
          <cell r="Y1117"/>
          <cell r="Z1117"/>
          <cell r="AA1117"/>
          <cell r="AB1117"/>
          <cell r="AC1117"/>
          <cell r="AD1117"/>
          <cell r="AE1117"/>
          <cell r="AF1117"/>
          <cell r="AG1117"/>
          <cell r="AH1117"/>
          <cell r="AI1117"/>
          <cell r="AJ1117"/>
          <cell r="AK1117"/>
          <cell r="AL1117"/>
          <cell r="AM1117"/>
          <cell r="AN1117"/>
          <cell r="AO1117"/>
          <cell r="AP1117"/>
          <cell r="AQ1117"/>
          <cell r="AR1117"/>
          <cell r="AS1117"/>
          <cell r="AT1117"/>
          <cell r="AU1117"/>
          <cell r="AV1117"/>
          <cell r="AW1117"/>
          <cell r="AX1117"/>
          <cell r="AY1117"/>
          <cell r="AZ1117"/>
        </row>
        <row r="1118">
          <cell r="A1118"/>
          <cell r="B1118"/>
          <cell r="C1118"/>
          <cell r="D1118"/>
          <cell r="E1118"/>
          <cell r="F1118"/>
          <cell r="G1118"/>
          <cell r="H1118"/>
          <cell r="I1118"/>
          <cell r="J1118"/>
          <cell r="K1118"/>
          <cell r="L1118"/>
          <cell r="M1118"/>
          <cell r="N1118"/>
          <cell r="O1118"/>
          <cell r="P1118"/>
          <cell r="Q1118"/>
          <cell r="R1118"/>
          <cell r="S1118"/>
          <cell r="T1118"/>
          <cell r="U1118"/>
          <cell r="V1118"/>
          <cell r="W1118"/>
          <cell r="X1118"/>
          <cell r="Y1118"/>
          <cell r="Z1118"/>
          <cell r="AA1118"/>
          <cell r="AB1118"/>
          <cell r="AC1118"/>
          <cell r="AD1118"/>
          <cell r="AE1118"/>
          <cell r="AF1118"/>
          <cell r="AG1118"/>
          <cell r="AH1118"/>
          <cell r="AI1118"/>
          <cell r="AJ1118"/>
          <cell r="AK1118"/>
          <cell r="AL1118"/>
          <cell r="AM1118"/>
          <cell r="AN1118"/>
          <cell r="AO1118"/>
          <cell r="AP1118"/>
          <cell r="AQ1118"/>
          <cell r="AR1118"/>
          <cell r="AS1118"/>
          <cell r="AT1118"/>
          <cell r="AU1118"/>
          <cell r="AV1118"/>
          <cell r="AW1118"/>
          <cell r="AX1118"/>
          <cell r="AY1118"/>
          <cell r="AZ1118"/>
        </row>
        <row r="1119">
          <cell r="A1119"/>
          <cell r="B1119"/>
          <cell r="C1119"/>
          <cell r="D1119"/>
          <cell r="E1119"/>
          <cell r="F1119"/>
          <cell r="G1119"/>
          <cell r="H1119"/>
          <cell r="I1119"/>
          <cell r="J1119"/>
          <cell r="K1119"/>
          <cell r="L1119"/>
          <cell r="M1119"/>
          <cell r="N1119"/>
          <cell r="O1119"/>
          <cell r="P1119"/>
          <cell r="Q1119"/>
          <cell r="R1119"/>
          <cell r="S1119"/>
          <cell r="T1119"/>
          <cell r="U1119"/>
          <cell r="V1119"/>
          <cell r="W1119"/>
          <cell r="X1119"/>
          <cell r="Y1119"/>
          <cell r="Z1119"/>
          <cell r="AA1119"/>
          <cell r="AB1119"/>
          <cell r="AC1119"/>
          <cell r="AD1119"/>
          <cell r="AE1119"/>
          <cell r="AF1119"/>
          <cell r="AG1119"/>
          <cell r="AH1119"/>
          <cell r="AI1119"/>
          <cell r="AJ1119"/>
          <cell r="AK1119"/>
          <cell r="AL1119"/>
          <cell r="AM1119"/>
          <cell r="AN1119"/>
          <cell r="AO1119"/>
          <cell r="AP1119"/>
          <cell r="AQ1119"/>
          <cell r="AR1119"/>
          <cell r="AS1119"/>
          <cell r="AT1119"/>
          <cell r="AU1119"/>
          <cell r="AV1119"/>
          <cell r="AW1119"/>
          <cell r="AX1119"/>
          <cell r="AY1119"/>
          <cell r="AZ1119"/>
        </row>
        <row r="1120">
          <cell r="A1120"/>
          <cell r="B1120"/>
          <cell r="C1120"/>
          <cell r="D1120"/>
          <cell r="E1120"/>
          <cell r="F1120"/>
          <cell r="G1120"/>
          <cell r="H1120"/>
          <cell r="I1120"/>
          <cell r="J1120"/>
          <cell r="K1120"/>
          <cell r="L1120"/>
          <cell r="M1120"/>
          <cell r="N1120"/>
          <cell r="O1120"/>
          <cell r="P1120"/>
          <cell r="Q1120"/>
          <cell r="R1120"/>
          <cell r="S1120"/>
          <cell r="T1120"/>
          <cell r="U1120"/>
          <cell r="V1120"/>
          <cell r="W1120"/>
          <cell r="X1120"/>
          <cell r="Y1120"/>
          <cell r="Z1120"/>
          <cell r="AA1120"/>
          <cell r="AB1120"/>
          <cell r="AC1120"/>
          <cell r="AD1120"/>
          <cell r="AE1120"/>
          <cell r="AF1120"/>
          <cell r="AG1120"/>
          <cell r="AH1120"/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/>
          <cell r="AS1120"/>
          <cell r="AT1120"/>
          <cell r="AU1120"/>
          <cell r="AV1120"/>
          <cell r="AW1120"/>
          <cell r="AX1120"/>
          <cell r="AY1120"/>
          <cell r="AZ1120"/>
        </row>
        <row r="1121">
          <cell r="A1121"/>
          <cell r="B1121"/>
          <cell r="C1121"/>
          <cell r="D1121"/>
          <cell r="E1121"/>
          <cell r="F1121"/>
          <cell r="G1121"/>
          <cell r="H1121"/>
          <cell r="I1121"/>
          <cell r="J1121"/>
          <cell r="K1121"/>
          <cell r="L1121"/>
          <cell r="M1121"/>
          <cell r="N1121"/>
          <cell r="O1121"/>
          <cell r="P1121"/>
          <cell r="Q1121"/>
          <cell r="R1121"/>
          <cell r="S1121"/>
          <cell r="T1121"/>
          <cell r="U1121"/>
          <cell r="V1121"/>
          <cell r="W1121"/>
          <cell r="X1121"/>
          <cell r="Y1121"/>
          <cell r="Z1121"/>
          <cell r="AA1121"/>
          <cell r="AB1121"/>
          <cell r="AC1121"/>
          <cell r="AD1121"/>
          <cell r="AE1121"/>
          <cell r="AF1121"/>
          <cell r="AG1121"/>
          <cell r="AH1121"/>
          <cell r="AI1121"/>
          <cell r="AJ1121"/>
          <cell r="AK1121"/>
          <cell r="AL1121"/>
          <cell r="AM1121"/>
          <cell r="AN1121"/>
          <cell r="AO1121"/>
          <cell r="AP1121"/>
          <cell r="AQ1121"/>
          <cell r="AR1121"/>
          <cell r="AS1121"/>
          <cell r="AT1121"/>
          <cell r="AU1121"/>
          <cell r="AV1121"/>
          <cell r="AW1121"/>
          <cell r="AX1121"/>
          <cell r="AY1121"/>
          <cell r="AZ1121"/>
        </row>
        <row r="1122">
          <cell r="A1122"/>
          <cell r="B1122"/>
          <cell r="C1122"/>
          <cell r="D1122"/>
          <cell r="E1122"/>
          <cell r="F1122"/>
          <cell r="G1122"/>
          <cell r="H1122"/>
          <cell r="I1122"/>
          <cell r="J1122"/>
          <cell r="K1122"/>
          <cell r="L1122"/>
          <cell r="M1122"/>
          <cell r="N1122"/>
          <cell r="O1122"/>
          <cell r="P1122"/>
          <cell r="Q1122"/>
          <cell r="R1122"/>
          <cell r="S1122"/>
          <cell r="T1122"/>
          <cell r="U1122"/>
          <cell r="V1122"/>
          <cell r="W1122"/>
          <cell r="X1122"/>
          <cell r="Y1122"/>
          <cell r="Z1122"/>
          <cell r="AA1122"/>
          <cell r="AB1122"/>
          <cell r="AC1122"/>
          <cell r="AD1122"/>
          <cell r="AE1122"/>
          <cell r="AF1122"/>
          <cell r="AG1122"/>
          <cell r="AH1122"/>
          <cell r="AI1122"/>
          <cell r="AJ1122"/>
          <cell r="AK1122"/>
          <cell r="AL1122"/>
          <cell r="AM1122"/>
          <cell r="AN1122"/>
          <cell r="AO1122"/>
          <cell r="AP1122"/>
          <cell r="AQ1122"/>
          <cell r="AR1122"/>
          <cell r="AS1122"/>
          <cell r="AT1122"/>
          <cell r="AU1122"/>
          <cell r="AV1122"/>
          <cell r="AW1122"/>
          <cell r="AX1122"/>
          <cell r="AY1122"/>
          <cell r="AZ1122"/>
        </row>
        <row r="1123">
          <cell r="A1123"/>
          <cell r="B1123"/>
          <cell r="C1123"/>
          <cell r="D1123"/>
          <cell r="E1123"/>
          <cell r="F1123"/>
          <cell r="G1123"/>
          <cell r="H1123"/>
          <cell r="I1123"/>
          <cell r="J1123"/>
          <cell r="K1123"/>
          <cell r="L1123"/>
          <cell r="M1123"/>
          <cell r="N1123"/>
          <cell r="O1123"/>
          <cell r="P1123"/>
          <cell r="Q1123"/>
          <cell r="R1123"/>
          <cell r="S1123"/>
          <cell r="T1123"/>
          <cell r="U1123"/>
          <cell r="V1123"/>
          <cell r="W1123"/>
          <cell r="X1123"/>
          <cell r="Y1123"/>
          <cell r="Z1123"/>
          <cell r="AA1123"/>
          <cell r="AB1123"/>
          <cell r="AC1123"/>
          <cell r="AD1123"/>
          <cell r="AE1123"/>
          <cell r="AF1123"/>
          <cell r="AG1123"/>
          <cell r="AH1123"/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/>
          <cell r="AS1123"/>
          <cell r="AT1123"/>
          <cell r="AU1123"/>
          <cell r="AV1123"/>
          <cell r="AW1123"/>
          <cell r="AX1123"/>
          <cell r="AY1123"/>
          <cell r="AZ1123"/>
        </row>
        <row r="1124">
          <cell r="A1124"/>
          <cell r="B1124"/>
          <cell r="C1124"/>
          <cell r="D1124"/>
          <cell r="E1124"/>
          <cell r="F1124"/>
          <cell r="G1124"/>
          <cell r="H1124"/>
          <cell r="I1124"/>
          <cell r="J1124"/>
          <cell r="K1124"/>
          <cell r="L1124"/>
          <cell r="M1124"/>
          <cell r="N1124"/>
          <cell r="O1124"/>
          <cell r="P1124"/>
          <cell r="Q1124"/>
          <cell r="R1124"/>
          <cell r="S1124"/>
          <cell r="T1124"/>
          <cell r="U1124"/>
          <cell r="V1124"/>
          <cell r="W1124"/>
          <cell r="X1124"/>
          <cell r="Y1124"/>
          <cell r="Z1124"/>
          <cell r="AA1124"/>
          <cell r="AB1124"/>
          <cell r="AC1124"/>
          <cell r="AD1124"/>
          <cell r="AE1124"/>
          <cell r="AF1124"/>
          <cell r="AG1124"/>
          <cell r="AH1124"/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/>
          <cell r="AS1124"/>
          <cell r="AT1124"/>
          <cell r="AU1124"/>
          <cell r="AV1124"/>
          <cell r="AW1124"/>
          <cell r="AX1124"/>
          <cell r="AY1124"/>
          <cell r="AZ1124"/>
        </row>
        <row r="1125">
          <cell r="A1125"/>
          <cell r="B1125"/>
          <cell r="C1125"/>
          <cell r="D1125"/>
          <cell r="E1125"/>
          <cell r="F1125"/>
          <cell r="G1125"/>
          <cell r="H1125"/>
          <cell r="I1125"/>
          <cell r="J1125"/>
          <cell r="K1125"/>
          <cell r="L1125"/>
          <cell r="M1125"/>
          <cell r="N1125"/>
          <cell r="O1125"/>
          <cell r="P1125"/>
          <cell r="Q1125"/>
          <cell r="R1125"/>
          <cell r="S1125"/>
          <cell r="T1125"/>
          <cell r="U1125"/>
          <cell r="V1125"/>
          <cell r="W1125"/>
          <cell r="X1125"/>
          <cell r="Y1125"/>
          <cell r="Z1125"/>
          <cell r="AA1125"/>
          <cell r="AB1125"/>
          <cell r="AC1125"/>
          <cell r="AD1125"/>
          <cell r="AE1125"/>
          <cell r="AF1125"/>
          <cell r="AG1125"/>
          <cell r="AH1125"/>
          <cell r="AI1125"/>
          <cell r="AJ1125"/>
          <cell r="AK1125"/>
          <cell r="AL1125"/>
          <cell r="AM1125"/>
          <cell r="AN1125"/>
          <cell r="AO1125"/>
          <cell r="AP1125"/>
          <cell r="AQ1125"/>
          <cell r="AR1125"/>
          <cell r="AS1125"/>
          <cell r="AT1125"/>
          <cell r="AU1125"/>
          <cell r="AV1125"/>
          <cell r="AW1125"/>
          <cell r="AX1125"/>
          <cell r="AY1125"/>
          <cell r="AZ1125"/>
        </row>
        <row r="1126">
          <cell r="A1126"/>
          <cell r="B1126"/>
          <cell r="C1126"/>
          <cell r="D1126"/>
          <cell r="E1126"/>
          <cell r="F1126"/>
          <cell r="G1126"/>
          <cell r="H1126"/>
          <cell r="I1126"/>
          <cell r="J1126"/>
          <cell r="K1126"/>
          <cell r="L1126"/>
          <cell r="M1126"/>
          <cell r="N1126"/>
          <cell r="O1126"/>
          <cell r="P1126"/>
          <cell r="Q1126"/>
          <cell r="R1126"/>
          <cell r="S1126"/>
          <cell r="T1126"/>
          <cell r="U1126"/>
          <cell r="V1126"/>
          <cell r="W1126"/>
          <cell r="X1126"/>
          <cell r="Y1126"/>
          <cell r="Z1126"/>
          <cell r="AA1126"/>
          <cell r="AB1126"/>
          <cell r="AC1126"/>
          <cell r="AD1126"/>
          <cell r="AE1126"/>
          <cell r="AF1126"/>
          <cell r="AG1126"/>
          <cell r="AH1126"/>
          <cell r="AI1126"/>
          <cell r="AJ1126"/>
          <cell r="AK1126"/>
          <cell r="AL1126"/>
          <cell r="AM1126"/>
          <cell r="AN1126"/>
          <cell r="AO1126"/>
          <cell r="AP1126"/>
          <cell r="AQ1126"/>
          <cell r="AR1126"/>
          <cell r="AS1126"/>
          <cell r="AT1126"/>
          <cell r="AU1126"/>
          <cell r="AV1126"/>
          <cell r="AW1126"/>
          <cell r="AX1126"/>
          <cell r="AY1126"/>
          <cell r="AZ1126"/>
        </row>
        <row r="1127">
          <cell r="A1127"/>
          <cell r="B1127"/>
          <cell r="C1127"/>
          <cell r="D1127"/>
          <cell r="E1127"/>
          <cell r="F1127"/>
          <cell r="G1127"/>
          <cell r="H1127"/>
          <cell r="I1127"/>
          <cell r="J1127"/>
          <cell r="K1127"/>
          <cell r="L1127"/>
          <cell r="M1127"/>
          <cell r="N1127"/>
          <cell r="O1127"/>
          <cell r="P1127"/>
          <cell r="Q1127"/>
          <cell r="R1127"/>
          <cell r="S1127"/>
          <cell r="T1127"/>
          <cell r="U1127"/>
          <cell r="V1127"/>
          <cell r="W1127"/>
          <cell r="X1127"/>
          <cell r="Y1127"/>
          <cell r="Z1127"/>
          <cell r="AA1127"/>
          <cell r="AB1127"/>
          <cell r="AC1127"/>
          <cell r="AD1127"/>
          <cell r="AE1127"/>
          <cell r="AF1127"/>
          <cell r="AG1127"/>
          <cell r="AH1127"/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/>
          <cell r="AS1127"/>
          <cell r="AT1127"/>
          <cell r="AU1127"/>
          <cell r="AV1127"/>
          <cell r="AW1127"/>
          <cell r="AX1127"/>
          <cell r="AY1127"/>
          <cell r="AZ1127"/>
        </row>
        <row r="1128">
          <cell r="A1128"/>
          <cell r="B1128"/>
          <cell r="C1128"/>
          <cell r="D1128"/>
          <cell r="E1128"/>
          <cell r="F1128"/>
          <cell r="G1128"/>
          <cell r="H1128"/>
          <cell r="I1128"/>
          <cell r="J1128"/>
          <cell r="K1128"/>
          <cell r="L1128"/>
          <cell r="M1128"/>
          <cell r="N1128"/>
          <cell r="O1128"/>
          <cell r="P1128"/>
          <cell r="Q1128"/>
          <cell r="R1128"/>
          <cell r="S1128"/>
          <cell r="T1128"/>
          <cell r="U1128"/>
          <cell r="V1128"/>
          <cell r="W1128"/>
          <cell r="X1128"/>
          <cell r="Y1128"/>
          <cell r="Z1128"/>
          <cell r="AA1128"/>
          <cell r="AB1128"/>
          <cell r="AC1128"/>
          <cell r="AD1128"/>
          <cell r="AE1128"/>
          <cell r="AF1128"/>
          <cell r="AG1128"/>
          <cell r="AH1128"/>
          <cell r="AI1128"/>
          <cell r="AJ1128"/>
          <cell r="AK1128"/>
          <cell r="AL1128"/>
          <cell r="AM1128"/>
          <cell r="AN1128"/>
          <cell r="AO1128"/>
          <cell r="AP1128"/>
          <cell r="AQ1128"/>
          <cell r="AR1128"/>
          <cell r="AS1128"/>
          <cell r="AT1128"/>
          <cell r="AU1128"/>
          <cell r="AV1128"/>
          <cell r="AW1128"/>
          <cell r="AX1128"/>
          <cell r="AY1128"/>
          <cell r="AZ1128"/>
        </row>
        <row r="1129">
          <cell r="A1129"/>
          <cell r="B1129"/>
          <cell r="C1129"/>
          <cell r="D1129"/>
          <cell r="E1129"/>
          <cell r="F1129"/>
          <cell r="G1129"/>
          <cell r="H1129"/>
          <cell r="I1129"/>
          <cell r="J1129"/>
          <cell r="K1129"/>
          <cell r="L1129"/>
          <cell r="M1129"/>
          <cell r="N1129"/>
          <cell r="O1129"/>
          <cell r="P1129"/>
          <cell r="Q1129"/>
          <cell r="R1129"/>
          <cell r="S1129"/>
          <cell r="T1129"/>
          <cell r="U1129"/>
          <cell r="V1129"/>
          <cell r="W1129"/>
          <cell r="X1129"/>
          <cell r="Y1129"/>
          <cell r="Z1129"/>
          <cell r="AA1129"/>
          <cell r="AB1129"/>
          <cell r="AC1129"/>
          <cell r="AD1129"/>
          <cell r="AE1129"/>
          <cell r="AF1129"/>
          <cell r="AG1129"/>
          <cell r="AH1129"/>
          <cell r="AI1129"/>
          <cell r="AJ1129"/>
          <cell r="AK1129"/>
          <cell r="AL1129"/>
          <cell r="AM1129"/>
          <cell r="AN1129"/>
          <cell r="AO1129"/>
          <cell r="AP1129"/>
          <cell r="AQ1129"/>
          <cell r="AR1129"/>
          <cell r="AS1129"/>
          <cell r="AT1129"/>
          <cell r="AU1129"/>
          <cell r="AV1129"/>
          <cell r="AW1129"/>
          <cell r="AX1129"/>
          <cell r="AY1129"/>
          <cell r="AZ1129"/>
        </row>
        <row r="1130">
          <cell r="A1130"/>
          <cell r="B1130"/>
          <cell r="C1130"/>
          <cell r="D1130"/>
          <cell r="E1130"/>
          <cell r="F1130"/>
          <cell r="G1130"/>
          <cell r="H1130"/>
          <cell r="I1130"/>
          <cell r="J1130"/>
          <cell r="K1130"/>
          <cell r="L1130"/>
          <cell r="M1130"/>
          <cell r="N1130"/>
          <cell r="O1130"/>
          <cell r="P1130"/>
          <cell r="Q1130"/>
          <cell r="R1130"/>
          <cell r="S1130"/>
          <cell r="T1130"/>
          <cell r="U1130"/>
          <cell r="V1130"/>
          <cell r="W1130"/>
          <cell r="X1130"/>
          <cell r="Y1130"/>
          <cell r="Z1130"/>
          <cell r="AA1130"/>
          <cell r="AB1130"/>
          <cell r="AC1130"/>
          <cell r="AD1130"/>
          <cell r="AE1130"/>
          <cell r="AF1130"/>
          <cell r="AG1130"/>
          <cell r="AH1130"/>
          <cell r="AI1130"/>
          <cell r="AJ1130"/>
          <cell r="AK1130"/>
          <cell r="AL1130"/>
          <cell r="AM1130"/>
          <cell r="AN1130"/>
          <cell r="AO1130"/>
          <cell r="AP1130"/>
          <cell r="AQ1130"/>
          <cell r="AR1130"/>
          <cell r="AS1130"/>
          <cell r="AT1130"/>
          <cell r="AU1130"/>
          <cell r="AV1130"/>
          <cell r="AW1130"/>
          <cell r="AX1130"/>
          <cell r="AY1130"/>
          <cell r="AZ1130"/>
        </row>
        <row r="1131">
          <cell r="A1131"/>
          <cell r="B1131"/>
          <cell r="C1131"/>
          <cell r="D1131"/>
          <cell r="E1131"/>
          <cell r="F1131"/>
          <cell r="G1131"/>
          <cell r="H1131"/>
          <cell r="I1131"/>
          <cell r="J1131"/>
          <cell r="K1131"/>
          <cell r="L1131"/>
          <cell r="M1131"/>
          <cell r="N1131"/>
          <cell r="O1131"/>
          <cell r="P1131"/>
          <cell r="Q1131"/>
          <cell r="R1131"/>
          <cell r="S1131"/>
          <cell r="T1131"/>
          <cell r="U1131"/>
          <cell r="V1131"/>
          <cell r="W1131"/>
          <cell r="X1131"/>
          <cell r="Y1131"/>
          <cell r="Z1131"/>
          <cell r="AA1131"/>
          <cell r="AB1131"/>
          <cell r="AC1131"/>
          <cell r="AD1131"/>
          <cell r="AE1131"/>
          <cell r="AF1131"/>
          <cell r="AG1131"/>
          <cell r="AH1131"/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/>
          <cell r="AS1131"/>
          <cell r="AT1131"/>
          <cell r="AU1131"/>
          <cell r="AV1131"/>
          <cell r="AW1131"/>
          <cell r="AX1131"/>
          <cell r="AY1131"/>
          <cell r="AZ1131"/>
        </row>
        <row r="1132">
          <cell r="A1132"/>
          <cell r="B1132"/>
          <cell r="C1132"/>
          <cell r="D1132"/>
          <cell r="E1132"/>
          <cell r="F1132"/>
          <cell r="G1132"/>
          <cell r="H1132"/>
          <cell r="I1132"/>
          <cell r="J1132"/>
          <cell r="K1132"/>
          <cell r="L1132"/>
          <cell r="M1132"/>
          <cell r="N1132"/>
          <cell r="O1132"/>
          <cell r="P1132"/>
          <cell r="Q1132"/>
          <cell r="R1132"/>
          <cell r="S1132"/>
          <cell r="T1132"/>
          <cell r="U1132"/>
          <cell r="V1132"/>
          <cell r="W1132"/>
          <cell r="X1132"/>
          <cell r="Y1132"/>
          <cell r="Z1132"/>
          <cell r="AA1132"/>
          <cell r="AB1132"/>
          <cell r="AC1132"/>
          <cell r="AD1132"/>
          <cell r="AE1132"/>
          <cell r="AF1132"/>
          <cell r="AG1132"/>
          <cell r="AH1132"/>
          <cell r="AI1132"/>
          <cell r="AJ1132"/>
          <cell r="AK1132"/>
          <cell r="AL1132"/>
          <cell r="AM1132"/>
          <cell r="AN1132"/>
          <cell r="AO1132"/>
          <cell r="AP1132"/>
          <cell r="AQ1132"/>
          <cell r="AR1132"/>
          <cell r="AS1132"/>
          <cell r="AT1132"/>
          <cell r="AU1132"/>
          <cell r="AV1132"/>
          <cell r="AW1132"/>
          <cell r="AX1132"/>
          <cell r="AY1132"/>
          <cell r="AZ1132"/>
        </row>
        <row r="1133">
          <cell r="A1133"/>
          <cell r="B1133"/>
          <cell r="C1133"/>
          <cell r="D1133"/>
          <cell r="E1133"/>
          <cell r="F1133"/>
          <cell r="G1133"/>
          <cell r="H1133"/>
          <cell r="I1133"/>
          <cell r="J1133"/>
          <cell r="K1133"/>
          <cell r="L1133"/>
          <cell r="M1133"/>
          <cell r="N1133"/>
          <cell r="O1133"/>
          <cell r="P1133"/>
          <cell r="Q1133"/>
          <cell r="R1133"/>
          <cell r="S1133"/>
          <cell r="T1133"/>
          <cell r="U1133"/>
          <cell r="V1133"/>
          <cell r="W1133"/>
          <cell r="X1133"/>
          <cell r="Y1133"/>
          <cell r="Z1133"/>
          <cell r="AA1133"/>
          <cell r="AB1133"/>
          <cell r="AC1133"/>
          <cell r="AD1133"/>
          <cell r="AE1133"/>
          <cell r="AF1133"/>
          <cell r="AG1133"/>
          <cell r="AH1133"/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/>
          <cell r="AS1133"/>
          <cell r="AT1133"/>
          <cell r="AU1133"/>
          <cell r="AV1133"/>
          <cell r="AW1133"/>
          <cell r="AX1133"/>
          <cell r="AY1133"/>
          <cell r="AZ1133"/>
        </row>
        <row r="1134">
          <cell r="A1134"/>
          <cell r="B1134"/>
          <cell r="C1134"/>
          <cell r="D1134"/>
          <cell r="E1134"/>
          <cell r="F1134"/>
          <cell r="G1134"/>
          <cell r="H1134"/>
          <cell r="I1134"/>
          <cell r="J1134"/>
          <cell r="K1134"/>
          <cell r="L1134"/>
          <cell r="M1134"/>
          <cell r="N1134"/>
          <cell r="O1134"/>
          <cell r="P1134"/>
          <cell r="Q1134"/>
          <cell r="R1134"/>
          <cell r="S1134"/>
          <cell r="T1134"/>
          <cell r="U1134"/>
          <cell r="V1134"/>
          <cell r="W1134"/>
          <cell r="X1134"/>
          <cell r="Y1134"/>
          <cell r="Z1134"/>
          <cell r="AA1134"/>
          <cell r="AB1134"/>
          <cell r="AC1134"/>
          <cell r="AD1134"/>
          <cell r="AE1134"/>
          <cell r="AF1134"/>
          <cell r="AG1134"/>
          <cell r="AH1134"/>
          <cell r="AI1134"/>
          <cell r="AJ1134"/>
          <cell r="AK1134"/>
          <cell r="AL1134"/>
          <cell r="AM1134"/>
          <cell r="AN1134"/>
          <cell r="AO1134"/>
          <cell r="AP1134"/>
          <cell r="AQ1134"/>
          <cell r="AR1134"/>
          <cell r="AS1134"/>
          <cell r="AT1134"/>
          <cell r="AU1134"/>
          <cell r="AV1134"/>
          <cell r="AW1134"/>
          <cell r="AX1134"/>
          <cell r="AY1134"/>
          <cell r="AZ1134"/>
        </row>
        <row r="1135">
          <cell r="A1135"/>
          <cell r="B1135"/>
          <cell r="C1135"/>
          <cell r="D1135"/>
          <cell r="E1135"/>
          <cell r="F1135"/>
          <cell r="G1135"/>
          <cell r="H1135"/>
          <cell r="I1135"/>
          <cell r="J1135"/>
          <cell r="K1135"/>
          <cell r="L1135"/>
          <cell r="M1135"/>
          <cell r="N1135"/>
          <cell r="O1135"/>
          <cell r="P1135"/>
          <cell r="Q1135"/>
          <cell r="R1135"/>
          <cell r="S1135"/>
          <cell r="T1135"/>
          <cell r="U1135"/>
          <cell r="V1135"/>
          <cell r="W1135"/>
          <cell r="X1135"/>
          <cell r="Y1135"/>
          <cell r="Z1135"/>
          <cell r="AA1135"/>
          <cell r="AB1135"/>
          <cell r="AC1135"/>
          <cell r="AD1135"/>
          <cell r="AE1135"/>
          <cell r="AF1135"/>
          <cell r="AG1135"/>
          <cell r="AH1135"/>
          <cell r="AI1135"/>
          <cell r="AJ1135"/>
          <cell r="AK1135"/>
          <cell r="AL1135"/>
          <cell r="AM1135"/>
          <cell r="AN1135"/>
          <cell r="AO1135"/>
          <cell r="AP1135"/>
          <cell r="AQ1135"/>
          <cell r="AR1135"/>
          <cell r="AS1135"/>
          <cell r="AT1135"/>
          <cell r="AU1135"/>
          <cell r="AV1135"/>
          <cell r="AW1135"/>
          <cell r="AX1135"/>
          <cell r="AY1135"/>
          <cell r="AZ1135"/>
        </row>
        <row r="1136">
          <cell r="A1136"/>
          <cell r="B1136"/>
          <cell r="C1136"/>
          <cell r="D1136"/>
          <cell r="E1136"/>
          <cell r="F1136"/>
          <cell r="G1136"/>
          <cell r="H1136"/>
          <cell r="I1136"/>
          <cell r="J1136"/>
          <cell r="K1136"/>
          <cell r="L1136"/>
          <cell r="M1136"/>
          <cell r="N1136"/>
          <cell r="O1136"/>
          <cell r="P1136"/>
          <cell r="Q1136"/>
          <cell r="R1136"/>
          <cell r="S1136"/>
          <cell r="T1136"/>
          <cell r="U1136"/>
          <cell r="V1136"/>
          <cell r="W1136"/>
          <cell r="X1136"/>
          <cell r="Y1136"/>
          <cell r="Z1136"/>
          <cell r="AA1136"/>
          <cell r="AB1136"/>
          <cell r="AC1136"/>
          <cell r="AD1136"/>
          <cell r="AE1136"/>
          <cell r="AF1136"/>
          <cell r="AG1136"/>
          <cell r="AH1136"/>
          <cell r="AI1136"/>
          <cell r="AJ1136"/>
          <cell r="AK1136"/>
          <cell r="AL1136"/>
          <cell r="AM1136"/>
          <cell r="AN1136"/>
          <cell r="AO1136"/>
          <cell r="AP1136"/>
          <cell r="AQ1136"/>
          <cell r="AR1136"/>
          <cell r="AS1136"/>
          <cell r="AT1136"/>
          <cell r="AU1136"/>
          <cell r="AV1136"/>
          <cell r="AW1136"/>
          <cell r="AX1136"/>
          <cell r="AY1136"/>
          <cell r="AZ1136"/>
        </row>
        <row r="1137">
          <cell r="A1137"/>
          <cell r="B1137"/>
          <cell r="C1137"/>
          <cell r="D1137"/>
          <cell r="E1137"/>
          <cell r="F1137"/>
          <cell r="G1137"/>
          <cell r="H1137"/>
          <cell r="I1137"/>
          <cell r="J1137"/>
          <cell r="K1137"/>
          <cell r="L1137"/>
          <cell r="M1137"/>
          <cell r="N1137"/>
          <cell r="O1137"/>
          <cell r="P1137"/>
          <cell r="Q1137"/>
          <cell r="R1137"/>
          <cell r="S1137"/>
          <cell r="T1137"/>
          <cell r="U1137"/>
          <cell r="V1137"/>
          <cell r="W1137"/>
          <cell r="X1137"/>
          <cell r="Y1137"/>
          <cell r="Z1137"/>
          <cell r="AA1137"/>
          <cell r="AB1137"/>
          <cell r="AC1137"/>
          <cell r="AD1137"/>
          <cell r="AE1137"/>
          <cell r="AF1137"/>
          <cell r="AG1137"/>
          <cell r="AH1137"/>
          <cell r="AI1137"/>
          <cell r="AJ1137"/>
          <cell r="AK1137"/>
          <cell r="AL1137"/>
          <cell r="AM1137"/>
          <cell r="AN1137"/>
          <cell r="AO1137"/>
          <cell r="AP1137"/>
          <cell r="AQ1137"/>
          <cell r="AR1137"/>
          <cell r="AS1137"/>
          <cell r="AT1137"/>
          <cell r="AU1137"/>
          <cell r="AV1137"/>
          <cell r="AW1137"/>
          <cell r="AX1137"/>
          <cell r="AY1137"/>
          <cell r="AZ1137"/>
        </row>
        <row r="1138">
          <cell r="A1138"/>
          <cell r="B1138"/>
          <cell r="C1138"/>
          <cell r="D1138"/>
          <cell r="E1138"/>
          <cell r="F1138"/>
          <cell r="G1138"/>
          <cell r="H1138"/>
          <cell r="I1138"/>
          <cell r="J1138"/>
          <cell r="K1138"/>
          <cell r="L1138"/>
          <cell r="M1138"/>
          <cell r="N1138"/>
          <cell r="O1138"/>
          <cell r="P1138"/>
          <cell r="Q1138"/>
          <cell r="R1138"/>
          <cell r="S1138"/>
          <cell r="T1138"/>
          <cell r="U1138"/>
          <cell r="V1138"/>
          <cell r="W1138"/>
          <cell r="X1138"/>
          <cell r="Y1138"/>
          <cell r="Z1138"/>
          <cell r="AA1138"/>
          <cell r="AB1138"/>
          <cell r="AC1138"/>
          <cell r="AD1138"/>
          <cell r="AE1138"/>
          <cell r="AF1138"/>
          <cell r="AG1138"/>
          <cell r="AH1138"/>
          <cell r="AI1138"/>
          <cell r="AJ1138"/>
          <cell r="AK1138"/>
          <cell r="AL1138"/>
          <cell r="AM1138"/>
          <cell r="AN1138"/>
          <cell r="AO1138"/>
          <cell r="AP1138"/>
          <cell r="AQ1138"/>
          <cell r="AR1138"/>
          <cell r="AS1138"/>
          <cell r="AT1138"/>
          <cell r="AU1138"/>
          <cell r="AV1138"/>
          <cell r="AW1138"/>
          <cell r="AX1138"/>
          <cell r="AY1138"/>
          <cell r="AZ1138"/>
        </row>
        <row r="1139">
          <cell r="A1139"/>
          <cell r="B1139"/>
          <cell r="C1139"/>
          <cell r="D1139"/>
          <cell r="E1139"/>
          <cell r="F1139"/>
          <cell r="G1139"/>
          <cell r="H1139"/>
          <cell r="I1139"/>
          <cell r="J1139"/>
          <cell r="K1139"/>
          <cell r="L1139"/>
          <cell r="M1139"/>
          <cell r="N1139"/>
          <cell r="O1139"/>
          <cell r="P1139"/>
          <cell r="Q1139"/>
          <cell r="R1139"/>
          <cell r="S1139"/>
          <cell r="T1139"/>
          <cell r="U1139"/>
          <cell r="V1139"/>
          <cell r="W1139"/>
          <cell r="X1139"/>
          <cell r="Y1139"/>
          <cell r="Z1139"/>
          <cell r="AA1139"/>
          <cell r="AB1139"/>
          <cell r="AC1139"/>
          <cell r="AD1139"/>
          <cell r="AE1139"/>
          <cell r="AF1139"/>
          <cell r="AG1139"/>
          <cell r="AH1139"/>
          <cell r="AI1139"/>
          <cell r="AJ1139"/>
          <cell r="AK1139"/>
          <cell r="AL1139"/>
          <cell r="AM1139"/>
          <cell r="AN1139"/>
          <cell r="AO1139"/>
          <cell r="AP1139"/>
          <cell r="AQ1139"/>
          <cell r="AR1139"/>
          <cell r="AS1139"/>
          <cell r="AT1139"/>
          <cell r="AU1139"/>
          <cell r="AV1139"/>
          <cell r="AW1139"/>
          <cell r="AX1139"/>
          <cell r="AY1139"/>
          <cell r="AZ1139"/>
        </row>
        <row r="1140">
          <cell r="A1140"/>
          <cell r="B1140"/>
          <cell r="C1140"/>
          <cell r="D1140"/>
          <cell r="E1140"/>
          <cell r="F1140"/>
          <cell r="G1140"/>
          <cell r="H1140"/>
          <cell r="I1140"/>
          <cell r="J1140"/>
          <cell r="K1140"/>
          <cell r="L1140"/>
          <cell r="M1140"/>
          <cell r="N1140"/>
          <cell r="O1140"/>
          <cell r="P1140"/>
          <cell r="Q1140"/>
          <cell r="R1140"/>
          <cell r="S1140"/>
          <cell r="T1140"/>
          <cell r="U1140"/>
          <cell r="V1140"/>
          <cell r="W1140"/>
          <cell r="X1140"/>
          <cell r="Y1140"/>
          <cell r="Z1140"/>
          <cell r="AA1140"/>
          <cell r="AB1140"/>
          <cell r="AC1140"/>
          <cell r="AD1140"/>
          <cell r="AE1140"/>
          <cell r="AF1140"/>
          <cell r="AG1140"/>
          <cell r="AH1140"/>
          <cell r="AI1140"/>
          <cell r="AJ1140"/>
          <cell r="AK1140"/>
          <cell r="AL1140"/>
          <cell r="AM1140"/>
          <cell r="AN1140"/>
          <cell r="AO1140"/>
          <cell r="AP1140"/>
          <cell r="AQ1140"/>
          <cell r="AR1140"/>
          <cell r="AS1140"/>
          <cell r="AT1140"/>
          <cell r="AU1140"/>
          <cell r="AV1140"/>
          <cell r="AW1140"/>
          <cell r="AX1140"/>
          <cell r="AY1140"/>
          <cell r="AZ1140"/>
        </row>
        <row r="1141">
          <cell r="A1141"/>
          <cell r="B1141"/>
          <cell r="C1141"/>
          <cell r="D1141"/>
          <cell r="E1141"/>
          <cell r="F1141"/>
          <cell r="G1141"/>
          <cell r="H1141"/>
          <cell r="I1141"/>
          <cell r="J1141"/>
          <cell r="K1141"/>
          <cell r="L1141"/>
          <cell r="M1141"/>
          <cell r="N1141"/>
          <cell r="O1141"/>
          <cell r="P1141"/>
          <cell r="Q1141"/>
          <cell r="R1141"/>
          <cell r="S1141"/>
          <cell r="T1141"/>
          <cell r="U1141"/>
          <cell r="V1141"/>
          <cell r="W1141"/>
          <cell r="X1141"/>
          <cell r="Y1141"/>
          <cell r="Z1141"/>
          <cell r="AA1141"/>
          <cell r="AB1141"/>
          <cell r="AC1141"/>
          <cell r="AD1141"/>
          <cell r="AE1141"/>
          <cell r="AF1141"/>
          <cell r="AG1141"/>
          <cell r="AH1141"/>
          <cell r="AI1141"/>
          <cell r="AJ1141"/>
          <cell r="AK1141"/>
          <cell r="AL1141"/>
          <cell r="AM1141"/>
          <cell r="AN1141"/>
          <cell r="AO1141"/>
          <cell r="AP1141"/>
          <cell r="AQ1141"/>
          <cell r="AR1141"/>
          <cell r="AS1141"/>
          <cell r="AT1141"/>
          <cell r="AU1141"/>
          <cell r="AV1141"/>
          <cell r="AW1141"/>
          <cell r="AX1141"/>
          <cell r="AY1141"/>
          <cell r="AZ1141"/>
        </row>
        <row r="1142">
          <cell r="A1142"/>
          <cell r="B1142"/>
          <cell r="C1142"/>
          <cell r="D1142"/>
          <cell r="E1142"/>
          <cell r="F1142"/>
          <cell r="G1142"/>
          <cell r="H1142"/>
          <cell r="I1142"/>
          <cell r="J1142"/>
          <cell r="K1142"/>
          <cell r="L1142"/>
          <cell r="M1142"/>
          <cell r="N1142"/>
          <cell r="O1142"/>
          <cell r="P1142"/>
          <cell r="Q1142"/>
          <cell r="R1142"/>
          <cell r="S1142"/>
          <cell r="T1142"/>
          <cell r="U1142"/>
          <cell r="V1142"/>
          <cell r="W1142"/>
          <cell r="X1142"/>
          <cell r="Y1142"/>
          <cell r="Z1142"/>
          <cell r="AA1142"/>
          <cell r="AB1142"/>
          <cell r="AC1142"/>
          <cell r="AD1142"/>
          <cell r="AE1142"/>
          <cell r="AF1142"/>
          <cell r="AG1142"/>
          <cell r="AH1142"/>
          <cell r="AI1142"/>
          <cell r="AJ1142"/>
          <cell r="AK1142"/>
          <cell r="AL1142"/>
          <cell r="AM1142"/>
          <cell r="AN1142"/>
          <cell r="AO1142"/>
          <cell r="AP1142"/>
          <cell r="AQ1142"/>
          <cell r="AR1142"/>
          <cell r="AS1142"/>
          <cell r="AT1142"/>
          <cell r="AU1142"/>
          <cell r="AV1142"/>
          <cell r="AW1142"/>
          <cell r="AX1142"/>
          <cell r="AY1142"/>
          <cell r="AZ1142"/>
        </row>
        <row r="1143">
          <cell r="A1143"/>
          <cell r="B1143"/>
          <cell r="C1143"/>
          <cell r="D1143"/>
          <cell r="E1143"/>
          <cell r="F1143"/>
          <cell r="G1143"/>
          <cell r="H1143"/>
          <cell r="I1143"/>
          <cell r="J1143"/>
          <cell r="K1143"/>
          <cell r="L1143"/>
          <cell r="M1143"/>
          <cell r="N1143"/>
          <cell r="O1143"/>
          <cell r="P1143"/>
          <cell r="Q1143"/>
          <cell r="R1143"/>
          <cell r="S1143"/>
          <cell r="T1143"/>
          <cell r="U1143"/>
          <cell r="V1143"/>
          <cell r="W1143"/>
          <cell r="X1143"/>
          <cell r="Y1143"/>
          <cell r="Z1143"/>
          <cell r="AA1143"/>
          <cell r="AB1143"/>
          <cell r="AC1143"/>
          <cell r="AD1143"/>
          <cell r="AE1143"/>
          <cell r="AF1143"/>
          <cell r="AG1143"/>
          <cell r="AH1143"/>
          <cell r="AI1143"/>
          <cell r="AJ1143"/>
          <cell r="AK1143"/>
          <cell r="AL1143"/>
          <cell r="AM1143"/>
          <cell r="AN1143"/>
          <cell r="AO1143"/>
          <cell r="AP1143"/>
          <cell r="AQ1143"/>
          <cell r="AR1143"/>
          <cell r="AS1143"/>
          <cell r="AT1143"/>
          <cell r="AU1143"/>
          <cell r="AV1143"/>
          <cell r="AW1143"/>
          <cell r="AX1143"/>
          <cell r="AY1143"/>
          <cell r="AZ1143"/>
        </row>
        <row r="1144">
          <cell r="A1144"/>
          <cell r="B1144"/>
          <cell r="C1144"/>
          <cell r="D1144"/>
          <cell r="E1144"/>
          <cell r="F1144"/>
          <cell r="G1144"/>
          <cell r="H1144"/>
          <cell r="I1144"/>
          <cell r="J1144"/>
          <cell r="K1144"/>
          <cell r="L1144"/>
          <cell r="M1144"/>
          <cell r="N1144"/>
          <cell r="O1144"/>
          <cell r="P1144"/>
          <cell r="Q1144"/>
          <cell r="R1144"/>
          <cell r="S1144"/>
          <cell r="T1144"/>
          <cell r="U1144"/>
          <cell r="V1144"/>
          <cell r="W1144"/>
          <cell r="X1144"/>
          <cell r="Y1144"/>
          <cell r="Z1144"/>
          <cell r="AA1144"/>
          <cell r="AB1144"/>
          <cell r="AC1144"/>
          <cell r="AD1144"/>
          <cell r="AE1144"/>
          <cell r="AF1144"/>
          <cell r="AG1144"/>
          <cell r="AH1144"/>
          <cell r="AI1144"/>
          <cell r="AJ1144"/>
          <cell r="AK1144"/>
          <cell r="AL1144"/>
          <cell r="AM1144"/>
          <cell r="AN1144"/>
          <cell r="AO1144"/>
          <cell r="AP1144"/>
          <cell r="AQ1144"/>
          <cell r="AR1144"/>
          <cell r="AS1144"/>
          <cell r="AT1144"/>
          <cell r="AU1144"/>
          <cell r="AV1144"/>
          <cell r="AW1144"/>
          <cell r="AX1144"/>
          <cell r="AY1144"/>
          <cell r="AZ1144"/>
        </row>
        <row r="1145">
          <cell r="A1145"/>
          <cell r="B1145"/>
          <cell r="C1145"/>
          <cell r="D1145"/>
          <cell r="E1145"/>
          <cell r="F1145"/>
          <cell r="G1145"/>
          <cell r="H1145"/>
          <cell r="I1145"/>
          <cell r="J1145"/>
          <cell r="K1145"/>
          <cell r="L1145"/>
          <cell r="M1145"/>
          <cell r="N1145"/>
          <cell r="O1145"/>
          <cell r="P1145"/>
          <cell r="Q1145"/>
          <cell r="R1145"/>
          <cell r="S1145"/>
          <cell r="T1145"/>
          <cell r="U1145"/>
          <cell r="V1145"/>
          <cell r="W1145"/>
          <cell r="X1145"/>
          <cell r="Y1145"/>
          <cell r="Z1145"/>
          <cell r="AA1145"/>
          <cell r="AB1145"/>
          <cell r="AC1145"/>
          <cell r="AD1145"/>
          <cell r="AE1145"/>
          <cell r="AF1145"/>
          <cell r="AG1145"/>
          <cell r="AH1145"/>
          <cell r="AI1145"/>
          <cell r="AJ1145"/>
          <cell r="AK1145"/>
          <cell r="AL1145"/>
          <cell r="AM1145"/>
          <cell r="AN1145"/>
          <cell r="AO1145"/>
          <cell r="AP1145"/>
          <cell r="AQ1145"/>
          <cell r="AR1145"/>
          <cell r="AS1145"/>
          <cell r="AT1145"/>
          <cell r="AU1145"/>
          <cell r="AV1145"/>
          <cell r="AW1145"/>
          <cell r="AX1145"/>
          <cell r="AY1145"/>
          <cell r="AZ1145"/>
        </row>
        <row r="1146">
          <cell r="A1146"/>
          <cell r="B1146"/>
          <cell r="C1146"/>
          <cell r="D1146"/>
          <cell r="E1146"/>
          <cell r="F1146"/>
          <cell r="G1146"/>
          <cell r="H1146"/>
          <cell r="I1146"/>
          <cell r="J1146"/>
          <cell r="K1146"/>
          <cell r="L1146"/>
          <cell r="M1146"/>
          <cell r="N1146"/>
          <cell r="O1146"/>
          <cell r="P1146"/>
          <cell r="Q1146"/>
          <cell r="R1146"/>
          <cell r="S1146"/>
          <cell r="T1146"/>
          <cell r="U1146"/>
          <cell r="V1146"/>
          <cell r="W1146"/>
          <cell r="X1146"/>
          <cell r="Y1146"/>
          <cell r="Z1146"/>
          <cell r="AA1146"/>
          <cell r="AB1146"/>
          <cell r="AC1146"/>
          <cell r="AD1146"/>
          <cell r="AE1146"/>
          <cell r="AF1146"/>
          <cell r="AG1146"/>
          <cell r="AH1146"/>
          <cell r="AI1146"/>
          <cell r="AJ1146"/>
          <cell r="AK1146"/>
          <cell r="AL1146"/>
          <cell r="AM1146"/>
          <cell r="AN1146"/>
          <cell r="AO1146"/>
          <cell r="AP1146"/>
          <cell r="AQ1146"/>
          <cell r="AR1146"/>
          <cell r="AS1146"/>
          <cell r="AT1146"/>
          <cell r="AU1146"/>
          <cell r="AV1146"/>
          <cell r="AW1146"/>
          <cell r="AX1146"/>
          <cell r="AY1146"/>
          <cell r="AZ1146"/>
        </row>
        <row r="1147">
          <cell r="A1147"/>
          <cell r="B1147"/>
          <cell r="C1147"/>
          <cell r="D1147"/>
          <cell r="E1147"/>
          <cell r="F1147"/>
          <cell r="G1147"/>
          <cell r="H1147"/>
          <cell r="I1147"/>
          <cell r="J1147"/>
          <cell r="K1147"/>
          <cell r="L1147"/>
          <cell r="M1147"/>
          <cell r="N1147"/>
          <cell r="O1147"/>
          <cell r="P1147"/>
          <cell r="Q1147"/>
          <cell r="R1147"/>
          <cell r="S1147"/>
          <cell r="T1147"/>
          <cell r="U1147"/>
          <cell r="V1147"/>
          <cell r="W1147"/>
          <cell r="X1147"/>
          <cell r="Y1147"/>
          <cell r="Z1147"/>
          <cell r="AA1147"/>
          <cell r="AB1147"/>
          <cell r="AC1147"/>
          <cell r="AD1147"/>
          <cell r="AE1147"/>
          <cell r="AF1147"/>
          <cell r="AG1147"/>
          <cell r="AH1147"/>
          <cell r="AI1147"/>
          <cell r="AJ1147"/>
          <cell r="AK1147"/>
          <cell r="AL1147"/>
          <cell r="AM1147"/>
          <cell r="AN1147"/>
          <cell r="AO1147"/>
          <cell r="AP1147"/>
          <cell r="AQ1147"/>
          <cell r="AR1147"/>
          <cell r="AS1147"/>
          <cell r="AT1147"/>
          <cell r="AU1147"/>
          <cell r="AV1147"/>
          <cell r="AW1147"/>
          <cell r="AX1147"/>
          <cell r="AY1147"/>
          <cell r="AZ1147"/>
        </row>
        <row r="1148">
          <cell r="A1148"/>
          <cell r="B1148"/>
          <cell r="C1148"/>
          <cell r="D1148"/>
          <cell r="E1148"/>
          <cell r="F1148"/>
          <cell r="G1148"/>
          <cell r="H1148"/>
          <cell r="I1148"/>
          <cell r="J1148"/>
          <cell r="K1148"/>
          <cell r="L1148"/>
          <cell r="M1148"/>
          <cell r="N1148"/>
          <cell r="O1148"/>
          <cell r="P1148"/>
          <cell r="Q1148"/>
          <cell r="R1148"/>
          <cell r="S1148"/>
          <cell r="T1148"/>
          <cell r="U1148"/>
          <cell r="V1148"/>
          <cell r="W1148"/>
          <cell r="X1148"/>
          <cell r="Y1148"/>
          <cell r="Z1148"/>
          <cell r="AA1148"/>
          <cell r="AB1148"/>
          <cell r="AC1148"/>
          <cell r="AD1148"/>
          <cell r="AE1148"/>
          <cell r="AF1148"/>
          <cell r="AG1148"/>
          <cell r="AH1148"/>
          <cell r="AI1148"/>
          <cell r="AJ1148"/>
          <cell r="AK1148"/>
          <cell r="AL1148"/>
          <cell r="AM1148"/>
          <cell r="AN1148"/>
          <cell r="AO1148"/>
          <cell r="AP1148"/>
          <cell r="AQ1148"/>
          <cell r="AR1148"/>
          <cell r="AS1148"/>
          <cell r="AT1148"/>
          <cell r="AU1148"/>
          <cell r="AV1148"/>
          <cell r="AW1148"/>
          <cell r="AX1148"/>
          <cell r="AY1148"/>
          <cell r="AZ1148"/>
        </row>
        <row r="1149">
          <cell r="A1149"/>
          <cell r="B1149"/>
          <cell r="C1149"/>
          <cell r="D1149"/>
          <cell r="E1149"/>
          <cell r="F1149"/>
          <cell r="G1149"/>
          <cell r="H1149"/>
          <cell r="I1149"/>
          <cell r="J1149"/>
          <cell r="K1149"/>
          <cell r="L1149"/>
          <cell r="M1149"/>
          <cell r="N1149"/>
          <cell r="O1149"/>
          <cell r="P1149"/>
          <cell r="Q1149"/>
          <cell r="R1149"/>
          <cell r="S1149"/>
          <cell r="T1149"/>
          <cell r="U1149"/>
          <cell r="V1149"/>
          <cell r="W1149"/>
          <cell r="X1149"/>
          <cell r="Y1149"/>
          <cell r="Z1149"/>
          <cell r="AA1149"/>
          <cell r="AB1149"/>
          <cell r="AC1149"/>
          <cell r="AD1149"/>
          <cell r="AE1149"/>
          <cell r="AF1149"/>
          <cell r="AG1149"/>
          <cell r="AH1149"/>
          <cell r="AI1149"/>
          <cell r="AJ1149"/>
          <cell r="AK1149"/>
          <cell r="AL1149"/>
          <cell r="AM1149"/>
          <cell r="AN1149"/>
          <cell r="AO1149"/>
          <cell r="AP1149"/>
          <cell r="AQ1149"/>
          <cell r="AR1149"/>
          <cell r="AS1149"/>
          <cell r="AT1149"/>
          <cell r="AU1149"/>
          <cell r="AV1149"/>
          <cell r="AW1149"/>
          <cell r="AX1149"/>
          <cell r="AY1149"/>
          <cell r="AZ1149"/>
        </row>
        <row r="1150">
          <cell r="A1150"/>
          <cell r="B1150"/>
          <cell r="C1150"/>
          <cell r="D1150"/>
          <cell r="E1150"/>
          <cell r="F1150"/>
          <cell r="G1150"/>
          <cell r="H1150"/>
          <cell r="I1150"/>
          <cell r="J1150"/>
          <cell r="K1150"/>
          <cell r="L1150"/>
          <cell r="M1150"/>
          <cell r="N1150"/>
          <cell r="O1150"/>
          <cell r="P1150"/>
          <cell r="Q1150"/>
          <cell r="R1150"/>
          <cell r="S1150"/>
          <cell r="T1150"/>
          <cell r="U1150"/>
          <cell r="V1150"/>
          <cell r="W1150"/>
          <cell r="X1150"/>
          <cell r="Y1150"/>
          <cell r="Z1150"/>
          <cell r="AA1150"/>
          <cell r="AB1150"/>
          <cell r="AC1150"/>
          <cell r="AD1150"/>
          <cell r="AE1150"/>
          <cell r="AF1150"/>
          <cell r="AG1150"/>
          <cell r="AH1150"/>
          <cell r="AI1150"/>
          <cell r="AJ1150"/>
          <cell r="AK1150"/>
          <cell r="AL1150"/>
          <cell r="AM1150"/>
          <cell r="AN1150"/>
          <cell r="AO1150"/>
          <cell r="AP1150"/>
          <cell r="AQ1150"/>
          <cell r="AR1150"/>
          <cell r="AS1150"/>
          <cell r="AT1150"/>
          <cell r="AU1150"/>
          <cell r="AV1150"/>
          <cell r="AW1150"/>
          <cell r="AX1150"/>
          <cell r="AY1150"/>
          <cell r="AZ1150"/>
        </row>
        <row r="1151">
          <cell r="A1151"/>
          <cell r="B1151"/>
          <cell r="C1151"/>
          <cell r="D1151"/>
          <cell r="E1151"/>
          <cell r="F1151"/>
          <cell r="G1151"/>
          <cell r="H1151"/>
          <cell r="I1151"/>
          <cell r="J1151"/>
          <cell r="K1151"/>
          <cell r="L1151"/>
          <cell r="M1151"/>
          <cell r="N1151"/>
          <cell r="O1151"/>
          <cell r="P1151"/>
          <cell r="Q1151"/>
          <cell r="R1151"/>
          <cell r="S1151"/>
          <cell r="T1151"/>
          <cell r="U1151"/>
          <cell r="V1151"/>
          <cell r="W1151"/>
          <cell r="X1151"/>
          <cell r="Y1151"/>
          <cell r="Z1151"/>
          <cell r="AA1151"/>
          <cell r="AB1151"/>
          <cell r="AC1151"/>
          <cell r="AD1151"/>
          <cell r="AE1151"/>
          <cell r="AF1151"/>
          <cell r="AG1151"/>
          <cell r="AH1151"/>
          <cell r="AI1151"/>
          <cell r="AJ1151"/>
          <cell r="AK1151"/>
          <cell r="AL1151"/>
          <cell r="AM1151"/>
          <cell r="AN1151"/>
          <cell r="AO1151"/>
          <cell r="AP1151"/>
          <cell r="AQ1151"/>
          <cell r="AR1151"/>
          <cell r="AS1151"/>
          <cell r="AT1151"/>
          <cell r="AU1151"/>
          <cell r="AV1151"/>
          <cell r="AW1151"/>
          <cell r="AX1151"/>
          <cell r="AY1151"/>
          <cell r="AZ1151"/>
        </row>
        <row r="1152">
          <cell r="A1152"/>
          <cell r="B1152"/>
          <cell r="C1152"/>
          <cell r="D1152"/>
          <cell r="E1152"/>
          <cell r="F1152"/>
          <cell r="G1152"/>
          <cell r="H1152"/>
          <cell r="I1152"/>
          <cell r="J1152"/>
          <cell r="K1152"/>
          <cell r="L1152"/>
          <cell r="M1152"/>
          <cell r="N1152"/>
          <cell r="O1152"/>
          <cell r="P1152"/>
          <cell r="Q1152"/>
          <cell r="R1152"/>
          <cell r="S1152"/>
          <cell r="T1152"/>
          <cell r="U1152"/>
          <cell r="V1152"/>
          <cell r="W1152"/>
          <cell r="X1152"/>
          <cell r="Y1152"/>
          <cell r="Z1152"/>
          <cell r="AA1152"/>
          <cell r="AB1152"/>
          <cell r="AC1152"/>
          <cell r="AD1152"/>
          <cell r="AE1152"/>
          <cell r="AF1152"/>
          <cell r="AG1152"/>
          <cell r="AH1152"/>
          <cell r="AI1152"/>
          <cell r="AJ1152"/>
          <cell r="AK1152"/>
          <cell r="AL1152"/>
          <cell r="AM1152"/>
          <cell r="AN1152"/>
          <cell r="AO1152"/>
          <cell r="AP1152"/>
          <cell r="AQ1152"/>
          <cell r="AR1152"/>
          <cell r="AS1152"/>
          <cell r="AT1152"/>
          <cell r="AU1152"/>
          <cell r="AV1152"/>
          <cell r="AW1152"/>
          <cell r="AX1152"/>
          <cell r="AY1152"/>
          <cell r="AZ1152"/>
        </row>
        <row r="1153">
          <cell r="A1153"/>
          <cell r="B1153"/>
          <cell r="C1153"/>
          <cell r="D1153"/>
          <cell r="E1153"/>
          <cell r="F1153"/>
          <cell r="G1153"/>
          <cell r="H1153"/>
          <cell r="I1153"/>
          <cell r="J1153"/>
          <cell r="K1153"/>
          <cell r="L1153"/>
          <cell r="M1153"/>
          <cell r="N1153"/>
          <cell r="O1153"/>
          <cell r="P1153"/>
          <cell r="Q1153"/>
          <cell r="R1153"/>
          <cell r="S1153"/>
          <cell r="T1153"/>
          <cell r="U1153"/>
          <cell r="V1153"/>
          <cell r="W1153"/>
          <cell r="X1153"/>
          <cell r="Y1153"/>
          <cell r="Z1153"/>
          <cell r="AA1153"/>
          <cell r="AB1153"/>
          <cell r="AC1153"/>
          <cell r="AD1153"/>
          <cell r="AE1153"/>
          <cell r="AF1153"/>
          <cell r="AG1153"/>
          <cell r="AH1153"/>
          <cell r="AI1153"/>
          <cell r="AJ1153"/>
          <cell r="AK1153"/>
          <cell r="AL1153"/>
          <cell r="AM1153"/>
          <cell r="AN1153"/>
          <cell r="AO1153"/>
          <cell r="AP1153"/>
          <cell r="AQ1153"/>
          <cell r="AR1153"/>
          <cell r="AS1153"/>
          <cell r="AT1153"/>
          <cell r="AU1153"/>
          <cell r="AV1153"/>
          <cell r="AW1153"/>
          <cell r="AX1153"/>
          <cell r="AY1153"/>
          <cell r="AZ1153"/>
        </row>
        <row r="1154">
          <cell r="A1154"/>
          <cell r="B1154"/>
          <cell r="C1154"/>
          <cell r="D1154"/>
          <cell r="E1154"/>
          <cell r="F1154"/>
          <cell r="G1154"/>
          <cell r="H1154"/>
          <cell r="I1154"/>
          <cell r="J1154"/>
          <cell r="K1154"/>
          <cell r="L1154"/>
          <cell r="M1154"/>
          <cell r="N1154"/>
          <cell r="O1154"/>
          <cell r="P1154"/>
          <cell r="Q1154"/>
          <cell r="R1154"/>
          <cell r="S1154"/>
          <cell r="T1154"/>
          <cell r="U1154"/>
          <cell r="V1154"/>
          <cell r="W1154"/>
          <cell r="X1154"/>
          <cell r="Y1154"/>
          <cell r="Z1154"/>
          <cell r="AA1154"/>
          <cell r="AB1154"/>
          <cell r="AC1154"/>
          <cell r="AD1154"/>
          <cell r="AE1154"/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/>
          <cell r="AS1154"/>
          <cell r="AT1154"/>
          <cell r="AU1154"/>
          <cell r="AV1154"/>
          <cell r="AW1154"/>
          <cell r="AX1154"/>
          <cell r="AY1154"/>
          <cell r="AZ1154"/>
        </row>
        <row r="1155">
          <cell r="A1155"/>
          <cell r="B1155"/>
          <cell r="C1155"/>
          <cell r="D1155"/>
          <cell r="E1155"/>
          <cell r="F1155"/>
          <cell r="G1155"/>
          <cell r="H1155"/>
          <cell r="I1155"/>
          <cell r="J1155"/>
          <cell r="K1155"/>
          <cell r="L1155"/>
          <cell r="M1155"/>
          <cell r="N1155"/>
          <cell r="O1155"/>
          <cell r="P1155"/>
          <cell r="Q1155"/>
          <cell r="R1155"/>
          <cell r="S1155"/>
          <cell r="T1155"/>
          <cell r="U1155"/>
          <cell r="V1155"/>
          <cell r="W1155"/>
          <cell r="X1155"/>
          <cell r="Y1155"/>
          <cell r="Z1155"/>
          <cell r="AA1155"/>
          <cell r="AB1155"/>
          <cell r="AC1155"/>
          <cell r="AD1155"/>
          <cell r="AE1155"/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/>
          <cell r="AS1155"/>
          <cell r="AT1155"/>
          <cell r="AU1155"/>
          <cell r="AV1155"/>
          <cell r="AW1155"/>
          <cell r="AX1155"/>
          <cell r="AY1155"/>
          <cell r="AZ1155"/>
        </row>
        <row r="1156">
          <cell r="A1156"/>
          <cell r="B1156"/>
          <cell r="C1156"/>
          <cell r="D1156"/>
          <cell r="E1156"/>
          <cell r="F1156"/>
          <cell r="G1156"/>
          <cell r="H1156"/>
          <cell r="I1156"/>
          <cell r="J1156"/>
          <cell r="K1156"/>
          <cell r="L1156"/>
          <cell r="M1156"/>
          <cell r="N1156"/>
          <cell r="O1156"/>
          <cell r="P1156"/>
          <cell r="Q1156"/>
          <cell r="R1156"/>
          <cell r="S1156"/>
          <cell r="T1156"/>
          <cell r="U1156"/>
          <cell r="V1156"/>
          <cell r="W1156"/>
          <cell r="X1156"/>
          <cell r="Y1156"/>
          <cell r="Z1156"/>
          <cell r="AA1156"/>
          <cell r="AB1156"/>
          <cell r="AC1156"/>
          <cell r="AD1156"/>
          <cell r="AE1156"/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/>
          <cell r="AS1156"/>
          <cell r="AT1156"/>
          <cell r="AU1156"/>
          <cell r="AV1156"/>
          <cell r="AW1156"/>
          <cell r="AX1156"/>
          <cell r="AY1156"/>
          <cell r="AZ1156"/>
        </row>
        <row r="1157">
          <cell r="A1157"/>
          <cell r="B1157"/>
          <cell r="C1157"/>
          <cell r="D1157"/>
          <cell r="E1157"/>
          <cell r="F1157"/>
          <cell r="G1157"/>
          <cell r="H1157"/>
          <cell r="I1157"/>
          <cell r="J1157"/>
          <cell r="K1157"/>
          <cell r="L1157"/>
          <cell r="M1157"/>
          <cell r="N1157"/>
          <cell r="O1157"/>
          <cell r="P1157"/>
          <cell r="Q1157"/>
          <cell r="R1157"/>
          <cell r="S1157"/>
          <cell r="T1157"/>
          <cell r="U1157"/>
          <cell r="V1157"/>
          <cell r="W1157"/>
          <cell r="X1157"/>
          <cell r="Y1157"/>
          <cell r="Z1157"/>
          <cell r="AA1157"/>
          <cell r="AB1157"/>
          <cell r="AC1157"/>
          <cell r="AD1157"/>
          <cell r="AE1157"/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/>
          <cell r="AS1157"/>
          <cell r="AT1157"/>
          <cell r="AU1157"/>
          <cell r="AV1157"/>
          <cell r="AW1157"/>
          <cell r="AX1157"/>
          <cell r="AY1157"/>
          <cell r="AZ1157"/>
        </row>
        <row r="1158">
          <cell r="A1158"/>
          <cell r="B1158"/>
          <cell r="C1158"/>
          <cell r="D1158"/>
          <cell r="E1158"/>
          <cell r="F1158"/>
          <cell r="G1158"/>
          <cell r="H1158"/>
          <cell r="I1158"/>
          <cell r="J1158"/>
          <cell r="K1158"/>
          <cell r="L1158"/>
          <cell r="M1158"/>
          <cell r="N1158"/>
          <cell r="O1158"/>
          <cell r="P1158"/>
          <cell r="Q1158"/>
          <cell r="R1158"/>
          <cell r="S1158"/>
          <cell r="T1158"/>
          <cell r="U1158"/>
          <cell r="V1158"/>
          <cell r="W1158"/>
          <cell r="X1158"/>
          <cell r="Y1158"/>
          <cell r="Z1158"/>
          <cell r="AA1158"/>
          <cell r="AB1158"/>
          <cell r="AC1158"/>
          <cell r="AD1158"/>
          <cell r="AE1158"/>
          <cell r="AF1158"/>
          <cell r="AG1158"/>
          <cell r="AH1158"/>
          <cell r="AI1158"/>
          <cell r="AJ1158"/>
          <cell r="AK1158"/>
          <cell r="AL1158"/>
          <cell r="AM1158"/>
          <cell r="AN1158"/>
          <cell r="AO1158"/>
          <cell r="AP1158"/>
          <cell r="AQ1158"/>
          <cell r="AR1158"/>
          <cell r="AS1158"/>
          <cell r="AT1158"/>
          <cell r="AU1158"/>
          <cell r="AV1158"/>
          <cell r="AW1158"/>
          <cell r="AX1158"/>
          <cell r="AY1158"/>
          <cell r="AZ1158"/>
        </row>
        <row r="1159">
          <cell r="A1159"/>
          <cell r="B1159"/>
          <cell r="C1159"/>
          <cell r="D1159"/>
          <cell r="E1159"/>
          <cell r="F1159"/>
          <cell r="G1159"/>
          <cell r="H1159"/>
          <cell r="I1159"/>
          <cell r="J1159"/>
          <cell r="K1159"/>
          <cell r="L1159"/>
          <cell r="M1159"/>
          <cell r="N1159"/>
          <cell r="O1159"/>
          <cell r="P1159"/>
          <cell r="Q1159"/>
          <cell r="R1159"/>
          <cell r="S1159"/>
          <cell r="T1159"/>
          <cell r="U1159"/>
          <cell r="V1159"/>
          <cell r="W1159"/>
          <cell r="X1159"/>
          <cell r="Y1159"/>
          <cell r="Z1159"/>
          <cell r="AA1159"/>
          <cell r="AB1159"/>
          <cell r="AC1159"/>
          <cell r="AD1159"/>
          <cell r="AE1159"/>
          <cell r="AF1159"/>
          <cell r="AG1159"/>
          <cell r="AH1159"/>
          <cell r="AI1159"/>
          <cell r="AJ1159"/>
          <cell r="AK1159"/>
          <cell r="AL1159"/>
          <cell r="AM1159"/>
          <cell r="AN1159"/>
          <cell r="AO1159"/>
          <cell r="AP1159"/>
          <cell r="AQ1159"/>
          <cell r="AR1159"/>
          <cell r="AS1159"/>
          <cell r="AT1159"/>
          <cell r="AU1159"/>
          <cell r="AV1159"/>
          <cell r="AW1159"/>
          <cell r="AX1159"/>
          <cell r="AY1159"/>
          <cell r="AZ1159"/>
        </row>
        <row r="1160">
          <cell r="A1160"/>
          <cell r="B1160"/>
          <cell r="C1160"/>
          <cell r="D1160"/>
          <cell r="E1160"/>
          <cell r="F1160"/>
          <cell r="G1160"/>
          <cell r="H1160"/>
          <cell r="I1160"/>
          <cell r="J1160"/>
          <cell r="K1160"/>
          <cell r="L1160"/>
          <cell r="M1160"/>
          <cell r="N1160"/>
          <cell r="O1160"/>
          <cell r="P1160"/>
          <cell r="Q1160"/>
          <cell r="R1160"/>
          <cell r="S1160"/>
          <cell r="T1160"/>
          <cell r="U1160"/>
          <cell r="V1160"/>
          <cell r="W1160"/>
          <cell r="X1160"/>
          <cell r="Y1160"/>
          <cell r="Z1160"/>
          <cell r="AA1160"/>
          <cell r="AB1160"/>
          <cell r="AC1160"/>
          <cell r="AD1160"/>
          <cell r="AE1160"/>
          <cell r="AF1160"/>
          <cell r="AG1160"/>
          <cell r="AH1160"/>
          <cell r="AI1160"/>
          <cell r="AJ1160"/>
          <cell r="AK1160"/>
          <cell r="AL1160"/>
          <cell r="AM1160"/>
          <cell r="AN1160"/>
          <cell r="AO1160"/>
          <cell r="AP1160"/>
          <cell r="AQ1160"/>
          <cell r="AR1160"/>
          <cell r="AS1160"/>
          <cell r="AT1160"/>
          <cell r="AU1160"/>
          <cell r="AV1160"/>
          <cell r="AW1160"/>
          <cell r="AX1160"/>
          <cell r="AY1160"/>
          <cell r="AZ1160"/>
        </row>
        <row r="1161">
          <cell r="A1161"/>
          <cell r="B1161"/>
          <cell r="C1161"/>
          <cell r="D1161"/>
          <cell r="E1161"/>
          <cell r="F1161"/>
          <cell r="G1161"/>
          <cell r="H1161"/>
          <cell r="I1161"/>
          <cell r="J1161"/>
          <cell r="K1161"/>
          <cell r="L1161"/>
          <cell r="M1161"/>
          <cell r="N1161"/>
          <cell r="O1161"/>
          <cell r="P1161"/>
          <cell r="Q1161"/>
          <cell r="R1161"/>
          <cell r="S1161"/>
          <cell r="T1161"/>
          <cell r="U1161"/>
          <cell r="V1161"/>
          <cell r="W1161"/>
          <cell r="X1161"/>
          <cell r="Y1161"/>
          <cell r="Z1161"/>
          <cell r="AA1161"/>
          <cell r="AB1161"/>
          <cell r="AC1161"/>
          <cell r="AD1161"/>
          <cell r="AE1161"/>
          <cell r="AF1161"/>
          <cell r="AG1161"/>
          <cell r="AH1161"/>
          <cell r="AI1161"/>
          <cell r="AJ1161"/>
          <cell r="AK1161"/>
          <cell r="AL1161"/>
          <cell r="AM1161"/>
          <cell r="AN1161"/>
          <cell r="AO1161"/>
          <cell r="AP1161"/>
          <cell r="AQ1161"/>
          <cell r="AR1161"/>
          <cell r="AS1161"/>
          <cell r="AT1161"/>
          <cell r="AU1161"/>
          <cell r="AV1161"/>
          <cell r="AW1161"/>
          <cell r="AX1161"/>
          <cell r="AY1161"/>
          <cell r="AZ1161"/>
        </row>
        <row r="1162">
          <cell r="A1162"/>
          <cell r="B1162"/>
          <cell r="C1162"/>
          <cell r="D1162"/>
          <cell r="E1162"/>
          <cell r="F1162"/>
          <cell r="G1162"/>
          <cell r="H1162"/>
          <cell r="I1162"/>
          <cell r="J1162"/>
          <cell r="K1162"/>
          <cell r="L1162"/>
          <cell r="M1162"/>
          <cell r="N1162"/>
          <cell r="O1162"/>
          <cell r="P1162"/>
          <cell r="Q1162"/>
          <cell r="R1162"/>
          <cell r="S1162"/>
          <cell r="T1162"/>
          <cell r="U1162"/>
          <cell r="V1162"/>
          <cell r="W1162"/>
          <cell r="X1162"/>
          <cell r="Y1162"/>
          <cell r="Z1162"/>
          <cell r="AA1162"/>
          <cell r="AB1162"/>
          <cell r="AC1162"/>
          <cell r="AD1162"/>
          <cell r="AE1162"/>
          <cell r="AF1162"/>
          <cell r="AG1162"/>
          <cell r="AH1162"/>
          <cell r="AI1162"/>
          <cell r="AJ1162"/>
          <cell r="AK1162"/>
          <cell r="AL1162"/>
          <cell r="AM1162"/>
          <cell r="AN1162"/>
          <cell r="AO1162"/>
          <cell r="AP1162"/>
          <cell r="AQ1162"/>
          <cell r="AR1162"/>
          <cell r="AS1162"/>
          <cell r="AT1162"/>
          <cell r="AU1162"/>
          <cell r="AV1162"/>
          <cell r="AW1162"/>
          <cell r="AX1162"/>
          <cell r="AY1162"/>
          <cell r="AZ1162"/>
        </row>
        <row r="1163">
          <cell r="A1163"/>
          <cell r="B1163"/>
          <cell r="C1163"/>
          <cell r="D1163"/>
          <cell r="E1163"/>
          <cell r="F1163"/>
          <cell r="G1163"/>
          <cell r="H1163"/>
          <cell r="I1163"/>
          <cell r="J1163"/>
          <cell r="K1163"/>
          <cell r="L1163"/>
          <cell r="M1163"/>
          <cell r="N1163"/>
          <cell r="O1163"/>
          <cell r="P1163"/>
          <cell r="Q1163"/>
          <cell r="R1163"/>
          <cell r="S1163"/>
          <cell r="T1163"/>
          <cell r="U1163"/>
          <cell r="V1163"/>
          <cell r="W1163"/>
          <cell r="X1163"/>
          <cell r="Y1163"/>
          <cell r="Z1163"/>
          <cell r="AA1163"/>
          <cell r="AB1163"/>
          <cell r="AC1163"/>
          <cell r="AD1163"/>
          <cell r="AE1163"/>
          <cell r="AF1163"/>
          <cell r="AG1163"/>
          <cell r="AH1163"/>
          <cell r="AI1163"/>
          <cell r="AJ1163"/>
          <cell r="AK1163"/>
          <cell r="AL1163"/>
          <cell r="AM1163"/>
          <cell r="AN1163"/>
          <cell r="AO1163"/>
          <cell r="AP1163"/>
          <cell r="AQ1163"/>
          <cell r="AR1163"/>
          <cell r="AS1163"/>
          <cell r="AT1163"/>
          <cell r="AU1163"/>
          <cell r="AV1163"/>
          <cell r="AW1163"/>
          <cell r="AX1163"/>
          <cell r="AY1163"/>
          <cell r="AZ1163"/>
        </row>
        <row r="1164">
          <cell r="A1164"/>
          <cell r="B1164"/>
          <cell r="C1164"/>
          <cell r="D1164"/>
          <cell r="E1164"/>
          <cell r="F1164"/>
          <cell r="G1164"/>
          <cell r="H1164"/>
          <cell r="I1164"/>
          <cell r="J1164"/>
          <cell r="K1164"/>
          <cell r="L1164"/>
          <cell r="M1164"/>
          <cell r="N1164"/>
          <cell r="O1164"/>
          <cell r="P1164"/>
          <cell r="Q1164"/>
          <cell r="R1164"/>
          <cell r="S1164"/>
          <cell r="T1164"/>
          <cell r="U1164"/>
          <cell r="V1164"/>
          <cell r="W1164"/>
          <cell r="X1164"/>
          <cell r="Y1164"/>
          <cell r="Z1164"/>
          <cell r="AA1164"/>
          <cell r="AB1164"/>
          <cell r="AC1164"/>
          <cell r="AD1164"/>
          <cell r="AE1164"/>
          <cell r="AF1164"/>
          <cell r="AG1164"/>
          <cell r="AH1164"/>
          <cell r="AI1164"/>
          <cell r="AJ1164"/>
          <cell r="AK1164"/>
          <cell r="AL1164"/>
          <cell r="AM1164"/>
          <cell r="AN1164"/>
          <cell r="AO1164"/>
          <cell r="AP1164"/>
          <cell r="AQ1164"/>
          <cell r="AR1164"/>
          <cell r="AS1164"/>
          <cell r="AT1164"/>
          <cell r="AU1164"/>
          <cell r="AV1164"/>
          <cell r="AW1164"/>
          <cell r="AX1164"/>
          <cell r="AY1164"/>
          <cell r="AZ1164"/>
        </row>
        <row r="1165">
          <cell r="A1165"/>
          <cell r="B1165"/>
          <cell r="C1165"/>
          <cell r="D1165"/>
          <cell r="E1165"/>
          <cell r="F1165"/>
          <cell r="G1165"/>
          <cell r="H1165"/>
          <cell r="I1165"/>
          <cell r="J1165"/>
          <cell r="K1165"/>
          <cell r="L1165"/>
          <cell r="M1165"/>
          <cell r="N1165"/>
          <cell r="O1165"/>
          <cell r="P1165"/>
          <cell r="Q1165"/>
          <cell r="R1165"/>
          <cell r="S1165"/>
          <cell r="T1165"/>
          <cell r="U1165"/>
          <cell r="V1165"/>
          <cell r="W1165"/>
          <cell r="X1165"/>
          <cell r="Y1165"/>
          <cell r="Z1165"/>
          <cell r="AA1165"/>
          <cell r="AB1165"/>
          <cell r="AC1165"/>
          <cell r="AD1165"/>
          <cell r="AE1165"/>
          <cell r="AF1165"/>
          <cell r="AG1165"/>
          <cell r="AH1165"/>
          <cell r="AI1165"/>
          <cell r="AJ1165"/>
          <cell r="AK1165"/>
          <cell r="AL1165"/>
          <cell r="AM1165"/>
          <cell r="AN1165"/>
          <cell r="AO1165"/>
          <cell r="AP1165"/>
          <cell r="AQ1165"/>
          <cell r="AR1165"/>
          <cell r="AS1165"/>
          <cell r="AT1165"/>
          <cell r="AU1165"/>
          <cell r="AV1165"/>
          <cell r="AW1165"/>
          <cell r="AX1165"/>
          <cell r="AY1165"/>
          <cell r="AZ1165"/>
        </row>
        <row r="1166">
          <cell r="A1166"/>
          <cell r="B1166"/>
          <cell r="C1166"/>
          <cell r="D1166"/>
          <cell r="E1166"/>
          <cell r="F1166"/>
          <cell r="G1166"/>
          <cell r="H1166"/>
          <cell r="I1166"/>
          <cell r="J1166"/>
          <cell r="K1166"/>
          <cell r="L1166"/>
          <cell r="M1166"/>
          <cell r="N1166"/>
          <cell r="O1166"/>
          <cell r="P1166"/>
          <cell r="Q1166"/>
          <cell r="R1166"/>
          <cell r="S1166"/>
          <cell r="T1166"/>
          <cell r="U1166"/>
          <cell r="V1166"/>
          <cell r="W1166"/>
          <cell r="X1166"/>
          <cell r="Y1166"/>
          <cell r="Z1166"/>
          <cell r="AA1166"/>
          <cell r="AB1166"/>
          <cell r="AC1166"/>
          <cell r="AD1166"/>
          <cell r="AE1166"/>
          <cell r="AF1166"/>
          <cell r="AG1166"/>
          <cell r="AH1166"/>
          <cell r="AI1166"/>
          <cell r="AJ1166"/>
          <cell r="AK1166"/>
          <cell r="AL1166"/>
          <cell r="AM1166"/>
          <cell r="AN1166"/>
          <cell r="AO1166"/>
          <cell r="AP1166"/>
          <cell r="AQ1166"/>
          <cell r="AR1166"/>
          <cell r="AS1166"/>
          <cell r="AT1166"/>
          <cell r="AU1166"/>
          <cell r="AV1166"/>
          <cell r="AW1166"/>
          <cell r="AX1166"/>
          <cell r="AY1166"/>
          <cell r="AZ1166"/>
        </row>
        <row r="1167">
          <cell r="A1167"/>
          <cell r="B1167"/>
          <cell r="C1167"/>
          <cell r="D1167"/>
          <cell r="E1167"/>
          <cell r="F1167"/>
          <cell r="G1167"/>
          <cell r="H1167"/>
          <cell r="I1167"/>
          <cell r="J1167"/>
          <cell r="K1167"/>
          <cell r="L1167"/>
          <cell r="M1167"/>
          <cell r="N1167"/>
          <cell r="O1167"/>
          <cell r="P1167"/>
          <cell r="Q1167"/>
          <cell r="R1167"/>
          <cell r="S1167"/>
          <cell r="T1167"/>
          <cell r="U1167"/>
          <cell r="V1167"/>
          <cell r="W1167"/>
          <cell r="X1167"/>
          <cell r="Y1167"/>
          <cell r="Z1167"/>
          <cell r="AA1167"/>
          <cell r="AB1167"/>
          <cell r="AC1167"/>
          <cell r="AD1167"/>
          <cell r="AE1167"/>
          <cell r="AF1167"/>
          <cell r="AG1167"/>
          <cell r="AH1167"/>
          <cell r="AI1167"/>
          <cell r="AJ1167"/>
          <cell r="AK1167"/>
          <cell r="AL1167"/>
          <cell r="AM1167"/>
          <cell r="AN1167"/>
          <cell r="AO1167"/>
          <cell r="AP1167"/>
          <cell r="AQ1167"/>
          <cell r="AR1167"/>
          <cell r="AS1167"/>
          <cell r="AT1167"/>
          <cell r="AU1167"/>
          <cell r="AV1167"/>
          <cell r="AW1167"/>
          <cell r="AX1167"/>
          <cell r="AY1167"/>
          <cell r="AZ1167"/>
        </row>
        <row r="1168">
          <cell r="A1168"/>
          <cell r="B1168"/>
          <cell r="C1168"/>
          <cell r="D1168"/>
          <cell r="E1168"/>
          <cell r="F1168"/>
          <cell r="G1168"/>
          <cell r="H1168"/>
          <cell r="I1168"/>
          <cell r="J1168"/>
          <cell r="K1168"/>
          <cell r="L1168"/>
          <cell r="M1168"/>
          <cell r="N1168"/>
          <cell r="O1168"/>
          <cell r="P1168"/>
          <cell r="Q1168"/>
          <cell r="R1168"/>
          <cell r="S1168"/>
          <cell r="T1168"/>
          <cell r="U1168"/>
          <cell r="V1168"/>
          <cell r="W1168"/>
          <cell r="X1168"/>
          <cell r="Y1168"/>
          <cell r="Z1168"/>
          <cell r="AA1168"/>
          <cell r="AB1168"/>
          <cell r="AC1168"/>
          <cell r="AD1168"/>
          <cell r="AE1168"/>
          <cell r="AF1168"/>
          <cell r="AG1168"/>
          <cell r="AH1168"/>
          <cell r="AI1168"/>
          <cell r="AJ1168"/>
          <cell r="AK1168"/>
          <cell r="AL1168"/>
          <cell r="AM1168"/>
          <cell r="AN1168"/>
          <cell r="AO1168"/>
          <cell r="AP1168"/>
          <cell r="AQ1168"/>
          <cell r="AR1168"/>
          <cell r="AS1168"/>
          <cell r="AT1168"/>
          <cell r="AU1168"/>
          <cell r="AV1168"/>
          <cell r="AW1168"/>
          <cell r="AX1168"/>
          <cell r="AY1168"/>
          <cell r="AZ1168"/>
        </row>
        <row r="1169">
          <cell r="A1169"/>
          <cell r="B1169"/>
          <cell r="C1169"/>
          <cell r="D1169"/>
          <cell r="E1169"/>
          <cell r="F1169"/>
          <cell r="G1169"/>
          <cell r="H1169"/>
          <cell r="I1169"/>
          <cell r="J1169"/>
          <cell r="K1169"/>
          <cell r="L1169"/>
          <cell r="M1169"/>
          <cell r="N1169"/>
          <cell r="O1169"/>
          <cell r="P1169"/>
          <cell r="Q1169"/>
          <cell r="R1169"/>
          <cell r="S1169"/>
          <cell r="T1169"/>
          <cell r="U1169"/>
          <cell r="V1169"/>
          <cell r="W1169"/>
          <cell r="X1169"/>
          <cell r="Y1169"/>
          <cell r="Z1169"/>
          <cell r="AA1169"/>
          <cell r="AB1169"/>
          <cell r="AC1169"/>
          <cell r="AD1169"/>
          <cell r="AE1169"/>
          <cell r="AF1169"/>
          <cell r="AG1169"/>
          <cell r="AH1169"/>
          <cell r="AI1169"/>
          <cell r="AJ1169"/>
          <cell r="AK1169"/>
          <cell r="AL1169"/>
          <cell r="AM1169"/>
          <cell r="AN1169"/>
          <cell r="AO1169"/>
          <cell r="AP1169"/>
          <cell r="AQ1169"/>
          <cell r="AR1169"/>
          <cell r="AS1169"/>
          <cell r="AT1169"/>
          <cell r="AU1169"/>
          <cell r="AV1169"/>
          <cell r="AW1169"/>
          <cell r="AX1169"/>
          <cell r="AY1169"/>
          <cell r="AZ1169"/>
        </row>
        <row r="1170">
          <cell r="A1170"/>
          <cell r="B1170"/>
          <cell r="C1170"/>
          <cell r="D1170"/>
          <cell r="E1170"/>
          <cell r="F1170"/>
          <cell r="G1170"/>
          <cell r="H1170"/>
          <cell r="I1170"/>
          <cell r="J1170"/>
          <cell r="K1170"/>
          <cell r="L1170"/>
          <cell r="M1170"/>
          <cell r="N1170"/>
          <cell r="O1170"/>
          <cell r="P1170"/>
          <cell r="Q1170"/>
          <cell r="R1170"/>
          <cell r="S1170"/>
          <cell r="T1170"/>
          <cell r="U1170"/>
          <cell r="V1170"/>
          <cell r="W1170"/>
          <cell r="X1170"/>
          <cell r="Y1170"/>
          <cell r="Z1170"/>
          <cell r="AA1170"/>
          <cell r="AB1170"/>
          <cell r="AC1170"/>
          <cell r="AD1170"/>
          <cell r="AE1170"/>
          <cell r="AF1170"/>
          <cell r="AG1170"/>
          <cell r="AH1170"/>
          <cell r="AI1170"/>
          <cell r="AJ1170"/>
          <cell r="AK1170"/>
          <cell r="AL1170"/>
          <cell r="AM1170"/>
          <cell r="AN1170"/>
          <cell r="AO1170"/>
          <cell r="AP1170"/>
          <cell r="AQ1170"/>
          <cell r="AR1170"/>
          <cell r="AS1170"/>
          <cell r="AT1170"/>
          <cell r="AU1170"/>
          <cell r="AV1170"/>
          <cell r="AW1170"/>
          <cell r="AX1170"/>
          <cell r="AY1170"/>
          <cell r="AZ1170"/>
        </row>
        <row r="1171">
          <cell r="A1171"/>
          <cell r="B1171"/>
          <cell r="C1171"/>
          <cell r="D1171"/>
          <cell r="E1171"/>
          <cell r="F1171"/>
          <cell r="G1171"/>
          <cell r="H1171"/>
          <cell r="I1171"/>
          <cell r="J1171"/>
          <cell r="K1171"/>
          <cell r="L1171"/>
          <cell r="M1171"/>
          <cell r="N1171"/>
          <cell r="O1171"/>
          <cell r="P1171"/>
          <cell r="Q1171"/>
          <cell r="R1171"/>
          <cell r="S1171"/>
          <cell r="T1171"/>
          <cell r="U1171"/>
          <cell r="V1171"/>
          <cell r="W1171"/>
          <cell r="X1171"/>
          <cell r="Y1171"/>
          <cell r="Z1171"/>
          <cell r="AA1171"/>
          <cell r="AB1171"/>
          <cell r="AC1171"/>
          <cell r="AD1171"/>
          <cell r="AE1171"/>
          <cell r="AF1171"/>
          <cell r="AG1171"/>
          <cell r="AH1171"/>
          <cell r="AI1171"/>
          <cell r="AJ1171"/>
          <cell r="AK1171"/>
          <cell r="AL1171"/>
          <cell r="AM1171"/>
          <cell r="AN1171"/>
          <cell r="AO1171"/>
          <cell r="AP1171"/>
          <cell r="AQ1171"/>
          <cell r="AR1171"/>
          <cell r="AS1171"/>
          <cell r="AT1171"/>
          <cell r="AU1171"/>
          <cell r="AV1171"/>
          <cell r="AW1171"/>
          <cell r="AX1171"/>
          <cell r="AY1171"/>
          <cell r="AZ1171"/>
        </row>
        <row r="1172">
          <cell r="A1172"/>
          <cell r="B1172"/>
          <cell r="C1172"/>
          <cell r="D1172"/>
          <cell r="E1172"/>
          <cell r="F1172"/>
          <cell r="G1172"/>
          <cell r="H1172"/>
          <cell r="I1172"/>
          <cell r="J1172"/>
          <cell r="K1172"/>
          <cell r="L1172"/>
          <cell r="M1172"/>
          <cell r="N1172"/>
          <cell r="O1172"/>
          <cell r="P1172"/>
          <cell r="Q1172"/>
          <cell r="R1172"/>
          <cell r="S1172"/>
          <cell r="T1172"/>
          <cell r="U1172"/>
          <cell r="V1172"/>
          <cell r="W1172"/>
          <cell r="X1172"/>
          <cell r="Y1172"/>
          <cell r="Z1172"/>
          <cell r="AA1172"/>
          <cell r="AB1172"/>
          <cell r="AC1172"/>
          <cell r="AD1172"/>
          <cell r="AE1172"/>
          <cell r="AF1172"/>
          <cell r="AG1172"/>
          <cell r="AH1172"/>
          <cell r="AI1172"/>
          <cell r="AJ1172"/>
          <cell r="AK1172"/>
          <cell r="AL1172"/>
          <cell r="AM1172"/>
          <cell r="AN1172"/>
          <cell r="AO1172"/>
          <cell r="AP1172"/>
          <cell r="AQ1172"/>
          <cell r="AR1172"/>
          <cell r="AS1172"/>
          <cell r="AT1172"/>
          <cell r="AU1172"/>
          <cell r="AV1172"/>
          <cell r="AW1172"/>
          <cell r="AX1172"/>
          <cell r="AY1172"/>
          <cell r="AZ1172"/>
        </row>
        <row r="1173">
          <cell r="A1173"/>
          <cell r="B1173"/>
          <cell r="C1173"/>
          <cell r="D1173"/>
          <cell r="E1173"/>
          <cell r="F1173"/>
          <cell r="G1173"/>
          <cell r="H1173"/>
          <cell r="I1173"/>
          <cell r="J1173"/>
          <cell r="K1173"/>
          <cell r="L1173"/>
          <cell r="M1173"/>
          <cell r="N1173"/>
          <cell r="O1173"/>
          <cell r="P1173"/>
          <cell r="Q1173"/>
          <cell r="R1173"/>
          <cell r="S1173"/>
          <cell r="T1173"/>
          <cell r="U1173"/>
          <cell r="V1173"/>
          <cell r="W1173"/>
          <cell r="X1173"/>
          <cell r="Y1173"/>
          <cell r="Z1173"/>
          <cell r="AA1173"/>
          <cell r="AB1173"/>
          <cell r="AC1173"/>
          <cell r="AD1173"/>
          <cell r="AE1173"/>
          <cell r="AF1173"/>
          <cell r="AG1173"/>
          <cell r="AH1173"/>
          <cell r="AI1173"/>
          <cell r="AJ1173"/>
          <cell r="AK1173"/>
          <cell r="AL1173"/>
          <cell r="AM1173"/>
          <cell r="AN1173"/>
          <cell r="AO1173"/>
          <cell r="AP1173"/>
          <cell r="AQ1173"/>
          <cell r="AR1173"/>
          <cell r="AS1173"/>
          <cell r="AT1173"/>
          <cell r="AU1173"/>
          <cell r="AV1173"/>
          <cell r="AW1173"/>
          <cell r="AX1173"/>
          <cell r="AY1173"/>
          <cell r="AZ1173"/>
        </row>
        <row r="1174">
          <cell r="A1174"/>
          <cell r="B1174"/>
          <cell r="C1174"/>
          <cell r="D1174"/>
          <cell r="E1174"/>
          <cell r="F1174"/>
          <cell r="G1174"/>
          <cell r="H1174"/>
          <cell r="I1174"/>
          <cell r="J1174"/>
          <cell r="K1174"/>
          <cell r="L1174"/>
          <cell r="M1174"/>
          <cell r="N1174"/>
          <cell r="O1174"/>
          <cell r="P1174"/>
          <cell r="Q1174"/>
          <cell r="R1174"/>
          <cell r="S1174"/>
          <cell r="T1174"/>
          <cell r="U1174"/>
          <cell r="V1174"/>
          <cell r="W1174"/>
          <cell r="X1174"/>
          <cell r="Y1174"/>
          <cell r="Z1174"/>
          <cell r="AA1174"/>
          <cell r="AB1174"/>
          <cell r="AC1174"/>
          <cell r="AD1174"/>
          <cell r="AE1174"/>
          <cell r="AF1174"/>
          <cell r="AG1174"/>
          <cell r="AH1174"/>
          <cell r="AI1174"/>
          <cell r="AJ1174"/>
          <cell r="AK1174"/>
          <cell r="AL1174"/>
          <cell r="AM1174"/>
          <cell r="AN1174"/>
          <cell r="AO1174"/>
          <cell r="AP1174"/>
          <cell r="AQ1174"/>
          <cell r="AR1174"/>
          <cell r="AS1174"/>
          <cell r="AT1174"/>
          <cell r="AU1174"/>
          <cell r="AV1174"/>
          <cell r="AW1174"/>
          <cell r="AX1174"/>
          <cell r="AY1174"/>
          <cell r="AZ1174"/>
        </row>
        <row r="1175">
          <cell r="A1175"/>
          <cell r="B1175"/>
          <cell r="C1175"/>
          <cell r="D1175"/>
          <cell r="E1175"/>
          <cell r="F1175"/>
          <cell r="G1175"/>
          <cell r="H1175"/>
          <cell r="I1175"/>
          <cell r="J1175"/>
          <cell r="K1175"/>
          <cell r="L1175"/>
          <cell r="M1175"/>
          <cell r="N1175"/>
          <cell r="O1175"/>
          <cell r="P1175"/>
          <cell r="Q1175"/>
          <cell r="R1175"/>
          <cell r="S1175"/>
          <cell r="T1175"/>
          <cell r="U1175"/>
          <cell r="V1175"/>
          <cell r="W1175"/>
          <cell r="X1175"/>
          <cell r="Y1175"/>
          <cell r="Z1175"/>
          <cell r="AA1175"/>
          <cell r="AB1175"/>
          <cell r="AC1175"/>
          <cell r="AD1175"/>
          <cell r="AE1175"/>
          <cell r="AF1175"/>
          <cell r="AG1175"/>
          <cell r="AH1175"/>
          <cell r="AI1175"/>
          <cell r="AJ1175"/>
          <cell r="AK1175"/>
          <cell r="AL1175"/>
          <cell r="AM1175"/>
          <cell r="AN1175"/>
          <cell r="AO1175"/>
          <cell r="AP1175"/>
          <cell r="AQ1175"/>
          <cell r="AR1175"/>
          <cell r="AS1175"/>
          <cell r="AT1175"/>
          <cell r="AU1175"/>
          <cell r="AV1175"/>
          <cell r="AW1175"/>
          <cell r="AX1175"/>
          <cell r="AY1175"/>
          <cell r="AZ1175"/>
        </row>
        <row r="1176">
          <cell r="A1176"/>
          <cell r="B1176"/>
          <cell r="C1176"/>
          <cell r="D1176"/>
          <cell r="E1176"/>
          <cell r="F1176"/>
          <cell r="G1176"/>
          <cell r="H1176"/>
          <cell r="I1176"/>
          <cell r="J1176"/>
          <cell r="K1176"/>
          <cell r="L1176"/>
          <cell r="M1176"/>
          <cell r="N1176"/>
          <cell r="O1176"/>
          <cell r="P1176"/>
          <cell r="Q1176"/>
          <cell r="R1176"/>
          <cell r="S1176"/>
          <cell r="T1176"/>
          <cell r="U1176"/>
          <cell r="V1176"/>
          <cell r="W1176"/>
          <cell r="X1176"/>
          <cell r="Y1176"/>
          <cell r="Z1176"/>
          <cell r="AA1176"/>
          <cell r="AB1176"/>
          <cell r="AC1176"/>
          <cell r="AD1176"/>
          <cell r="AE1176"/>
          <cell r="AF1176"/>
          <cell r="AG1176"/>
          <cell r="AH1176"/>
          <cell r="AI1176"/>
          <cell r="AJ1176"/>
          <cell r="AK1176"/>
          <cell r="AL1176"/>
          <cell r="AM1176"/>
          <cell r="AN1176"/>
          <cell r="AO1176"/>
          <cell r="AP1176"/>
          <cell r="AQ1176"/>
          <cell r="AR1176"/>
          <cell r="AS1176"/>
          <cell r="AT1176"/>
          <cell r="AU1176"/>
          <cell r="AV1176"/>
          <cell r="AW1176"/>
          <cell r="AX1176"/>
          <cell r="AY1176"/>
          <cell r="AZ1176"/>
        </row>
        <row r="1177">
          <cell r="A1177"/>
          <cell r="B1177"/>
          <cell r="C1177"/>
          <cell r="D1177"/>
          <cell r="E1177"/>
          <cell r="F1177"/>
          <cell r="G1177"/>
          <cell r="H1177"/>
          <cell r="I1177"/>
          <cell r="J1177"/>
          <cell r="K1177"/>
          <cell r="L1177"/>
          <cell r="M1177"/>
          <cell r="N1177"/>
          <cell r="O1177"/>
          <cell r="P1177"/>
          <cell r="Q1177"/>
          <cell r="R1177"/>
          <cell r="S1177"/>
          <cell r="T1177"/>
          <cell r="U1177"/>
          <cell r="V1177"/>
          <cell r="W1177"/>
          <cell r="X1177"/>
          <cell r="Y1177"/>
          <cell r="Z1177"/>
          <cell r="AA1177"/>
          <cell r="AB1177"/>
          <cell r="AC1177"/>
          <cell r="AD1177"/>
          <cell r="AE1177"/>
          <cell r="AF1177"/>
          <cell r="AG1177"/>
          <cell r="AH1177"/>
          <cell r="AI1177"/>
          <cell r="AJ1177"/>
          <cell r="AK1177"/>
          <cell r="AL1177"/>
          <cell r="AM1177"/>
          <cell r="AN1177"/>
          <cell r="AO1177"/>
          <cell r="AP1177"/>
          <cell r="AQ1177"/>
          <cell r="AR1177"/>
          <cell r="AS1177"/>
          <cell r="AT1177"/>
          <cell r="AU1177"/>
          <cell r="AV1177"/>
          <cell r="AW1177"/>
          <cell r="AX1177"/>
          <cell r="AY1177"/>
          <cell r="AZ1177"/>
        </row>
        <row r="1178">
          <cell r="A1178"/>
          <cell r="B1178"/>
          <cell r="C1178"/>
          <cell r="D1178"/>
          <cell r="E1178"/>
          <cell r="F1178"/>
          <cell r="G1178"/>
          <cell r="H1178"/>
          <cell r="I1178"/>
          <cell r="J1178"/>
          <cell r="K1178"/>
          <cell r="L1178"/>
          <cell r="M1178"/>
          <cell r="N1178"/>
          <cell r="O1178"/>
          <cell r="P1178"/>
          <cell r="Q1178"/>
          <cell r="R1178"/>
          <cell r="S1178"/>
          <cell r="T1178"/>
          <cell r="U1178"/>
          <cell r="V1178"/>
          <cell r="W1178"/>
          <cell r="X1178"/>
          <cell r="Y1178"/>
          <cell r="Z1178"/>
          <cell r="AA1178"/>
          <cell r="AB1178"/>
          <cell r="AC1178"/>
          <cell r="AD1178"/>
          <cell r="AE1178"/>
          <cell r="AF1178"/>
          <cell r="AG1178"/>
          <cell r="AH1178"/>
          <cell r="AI1178"/>
          <cell r="AJ1178"/>
          <cell r="AK1178"/>
          <cell r="AL1178"/>
          <cell r="AM1178"/>
          <cell r="AN1178"/>
          <cell r="AO1178"/>
          <cell r="AP1178"/>
          <cell r="AQ1178"/>
          <cell r="AR1178"/>
          <cell r="AS1178"/>
          <cell r="AT1178"/>
          <cell r="AU1178"/>
          <cell r="AV1178"/>
          <cell r="AW1178"/>
          <cell r="AX1178"/>
          <cell r="AY1178"/>
          <cell r="AZ1178"/>
        </row>
        <row r="1179">
          <cell r="A1179"/>
          <cell r="B1179"/>
          <cell r="C1179"/>
          <cell r="D1179"/>
          <cell r="E1179"/>
          <cell r="F1179"/>
          <cell r="G1179"/>
          <cell r="H1179"/>
          <cell r="I1179"/>
          <cell r="J1179"/>
          <cell r="K1179"/>
          <cell r="L1179"/>
          <cell r="M1179"/>
          <cell r="N1179"/>
          <cell r="O1179"/>
          <cell r="P1179"/>
          <cell r="Q1179"/>
          <cell r="R1179"/>
          <cell r="S1179"/>
          <cell r="T1179"/>
          <cell r="U1179"/>
          <cell r="V1179"/>
          <cell r="W1179"/>
          <cell r="X1179"/>
          <cell r="Y1179"/>
          <cell r="Z1179"/>
          <cell r="AA1179"/>
          <cell r="AB1179"/>
          <cell r="AC1179"/>
          <cell r="AD1179"/>
          <cell r="AE1179"/>
          <cell r="AF1179"/>
          <cell r="AG1179"/>
          <cell r="AH1179"/>
          <cell r="AI1179"/>
          <cell r="AJ1179"/>
          <cell r="AK1179"/>
          <cell r="AL1179"/>
          <cell r="AM1179"/>
          <cell r="AN1179"/>
          <cell r="AO1179"/>
          <cell r="AP1179"/>
          <cell r="AQ1179"/>
          <cell r="AR1179"/>
          <cell r="AS1179"/>
          <cell r="AT1179"/>
          <cell r="AU1179"/>
          <cell r="AV1179"/>
          <cell r="AW1179"/>
          <cell r="AX1179"/>
          <cell r="AY1179"/>
          <cell r="AZ1179"/>
        </row>
        <row r="1180">
          <cell r="A1180"/>
          <cell r="B1180"/>
          <cell r="C1180"/>
          <cell r="D1180"/>
          <cell r="E1180"/>
          <cell r="F1180"/>
          <cell r="G1180"/>
          <cell r="H1180"/>
          <cell r="I1180"/>
          <cell r="J1180"/>
          <cell r="K1180"/>
          <cell r="L1180"/>
          <cell r="M1180"/>
          <cell r="N1180"/>
          <cell r="O1180"/>
          <cell r="P1180"/>
          <cell r="Q1180"/>
          <cell r="R1180"/>
          <cell r="S1180"/>
          <cell r="T1180"/>
          <cell r="U1180"/>
          <cell r="V1180"/>
          <cell r="W1180"/>
          <cell r="X1180"/>
          <cell r="Y1180"/>
          <cell r="Z1180"/>
          <cell r="AA1180"/>
          <cell r="AB1180"/>
          <cell r="AC1180"/>
          <cell r="AD1180"/>
          <cell r="AE1180"/>
          <cell r="AF1180"/>
          <cell r="AG1180"/>
          <cell r="AH1180"/>
          <cell r="AI1180"/>
          <cell r="AJ1180"/>
          <cell r="AK1180"/>
          <cell r="AL1180"/>
          <cell r="AM1180"/>
          <cell r="AN1180"/>
          <cell r="AO1180"/>
          <cell r="AP1180"/>
          <cell r="AQ1180"/>
          <cell r="AR1180"/>
          <cell r="AS1180"/>
          <cell r="AT1180"/>
          <cell r="AU1180"/>
          <cell r="AV1180"/>
          <cell r="AW1180"/>
          <cell r="AX1180"/>
          <cell r="AY1180"/>
          <cell r="AZ1180"/>
        </row>
        <row r="1181">
          <cell r="A1181"/>
          <cell r="B1181"/>
          <cell r="C1181"/>
          <cell r="D1181"/>
          <cell r="E1181"/>
          <cell r="F1181"/>
          <cell r="G1181"/>
          <cell r="H1181"/>
          <cell r="I1181"/>
          <cell r="J1181"/>
          <cell r="K1181"/>
          <cell r="L1181"/>
          <cell r="M1181"/>
          <cell r="N1181"/>
          <cell r="O1181"/>
          <cell r="P1181"/>
          <cell r="Q1181"/>
          <cell r="R1181"/>
          <cell r="S1181"/>
          <cell r="T1181"/>
          <cell r="U1181"/>
          <cell r="V1181"/>
          <cell r="W1181"/>
          <cell r="X1181"/>
          <cell r="Y1181"/>
          <cell r="Z1181"/>
          <cell r="AA1181"/>
          <cell r="AB1181"/>
          <cell r="AC1181"/>
          <cell r="AD1181"/>
          <cell r="AE1181"/>
          <cell r="AF1181"/>
          <cell r="AG1181"/>
          <cell r="AH1181"/>
          <cell r="AI1181"/>
          <cell r="AJ1181"/>
          <cell r="AK1181"/>
          <cell r="AL1181"/>
          <cell r="AM1181"/>
          <cell r="AN1181"/>
          <cell r="AO1181"/>
          <cell r="AP1181"/>
          <cell r="AQ1181"/>
          <cell r="AR1181"/>
          <cell r="AS1181"/>
          <cell r="AT1181"/>
          <cell r="AU1181"/>
          <cell r="AV1181"/>
          <cell r="AW1181"/>
          <cell r="AX1181"/>
          <cell r="AY1181"/>
          <cell r="AZ1181"/>
        </row>
        <row r="1182">
          <cell r="A1182"/>
          <cell r="B1182"/>
          <cell r="C1182"/>
          <cell r="D1182"/>
          <cell r="E1182"/>
          <cell r="F1182"/>
          <cell r="G1182"/>
          <cell r="H1182"/>
          <cell r="I1182"/>
          <cell r="J1182"/>
          <cell r="K1182"/>
          <cell r="L1182"/>
          <cell r="M1182"/>
          <cell r="N1182"/>
          <cell r="O1182"/>
          <cell r="P1182"/>
          <cell r="Q1182"/>
          <cell r="R1182"/>
          <cell r="S1182"/>
          <cell r="T1182"/>
          <cell r="U1182"/>
          <cell r="V1182"/>
          <cell r="W1182"/>
          <cell r="X1182"/>
          <cell r="Y1182"/>
          <cell r="Z1182"/>
          <cell r="AA1182"/>
          <cell r="AB1182"/>
          <cell r="AC1182"/>
          <cell r="AD1182"/>
          <cell r="AE1182"/>
          <cell r="AF1182"/>
          <cell r="AG1182"/>
          <cell r="AH1182"/>
          <cell r="AI1182"/>
          <cell r="AJ1182"/>
          <cell r="AK1182"/>
          <cell r="AL1182"/>
          <cell r="AM1182"/>
          <cell r="AN1182"/>
          <cell r="AO1182"/>
          <cell r="AP1182"/>
          <cell r="AQ1182"/>
          <cell r="AR1182"/>
          <cell r="AS1182"/>
          <cell r="AT1182"/>
          <cell r="AU1182"/>
          <cell r="AV1182"/>
          <cell r="AW1182"/>
          <cell r="AX1182"/>
          <cell r="AY1182"/>
          <cell r="AZ1182"/>
        </row>
        <row r="1183">
          <cell r="A1183"/>
          <cell r="B1183"/>
          <cell r="C1183"/>
          <cell r="D1183"/>
          <cell r="E1183"/>
          <cell r="F1183"/>
          <cell r="G1183"/>
          <cell r="H1183"/>
          <cell r="I1183"/>
          <cell r="J1183"/>
          <cell r="K1183"/>
          <cell r="L1183"/>
          <cell r="M1183"/>
          <cell r="N1183"/>
          <cell r="O1183"/>
          <cell r="P1183"/>
          <cell r="Q1183"/>
          <cell r="R1183"/>
          <cell r="S1183"/>
          <cell r="T1183"/>
          <cell r="U1183"/>
          <cell r="V1183"/>
          <cell r="W1183"/>
          <cell r="X1183"/>
          <cell r="Y1183"/>
          <cell r="Z1183"/>
          <cell r="AA1183"/>
          <cell r="AB1183"/>
          <cell r="AC1183"/>
          <cell r="AD1183"/>
          <cell r="AE1183"/>
          <cell r="AF1183"/>
          <cell r="AG1183"/>
          <cell r="AH1183"/>
          <cell r="AI1183"/>
          <cell r="AJ1183"/>
          <cell r="AK1183"/>
          <cell r="AL1183"/>
          <cell r="AM1183"/>
          <cell r="AN1183"/>
          <cell r="AO1183"/>
          <cell r="AP1183"/>
          <cell r="AQ1183"/>
          <cell r="AR1183"/>
          <cell r="AS1183"/>
          <cell r="AT1183"/>
          <cell r="AU1183"/>
          <cell r="AV1183"/>
          <cell r="AW1183"/>
          <cell r="AX1183"/>
          <cell r="AY1183"/>
          <cell r="AZ1183"/>
        </row>
        <row r="1184">
          <cell r="A1184"/>
          <cell r="B1184"/>
          <cell r="C1184"/>
          <cell r="D1184"/>
          <cell r="E1184"/>
          <cell r="F1184"/>
          <cell r="G1184"/>
          <cell r="H1184"/>
          <cell r="I1184"/>
          <cell r="J1184"/>
          <cell r="K1184"/>
          <cell r="L1184"/>
          <cell r="M1184"/>
          <cell r="N1184"/>
          <cell r="O1184"/>
          <cell r="P1184"/>
          <cell r="Q1184"/>
          <cell r="R1184"/>
          <cell r="S1184"/>
          <cell r="T1184"/>
          <cell r="U1184"/>
          <cell r="V1184"/>
          <cell r="W1184"/>
          <cell r="X1184"/>
          <cell r="Y1184"/>
          <cell r="Z1184"/>
          <cell r="AA1184"/>
          <cell r="AB1184"/>
          <cell r="AC1184"/>
          <cell r="AD1184"/>
          <cell r="AE1184"/>
          <cell r="AF1184"/>
          <cell r="AG1184"/>
          <cell r="AH1184"/>
          <cell r="AI1184"/>
          <cell r="AJ1184"/>
          <cell r="AK1184"/>
          <cell r="AL1184"/>
          <cell r="AM1184"/>
          <cell r="AN1184"/>
          <cell r="AO1184"/>
          <cell r="AP1184"/>
          <cell r="AQ1184"/>
          <cell r="AR1184"/>
          <cell r="AS1184"/>
          <cell r="AT1184"/>
          <cell r="AU1184"/>
          <cell r="AV1184"/>
          <cell r="AW1184"/>
          <cell r="AX1184"/>
          <cell r="AY1184"/>
          <cell r="AZ1184"/>
        </row>
        <row r="1185">
          <cell r="A1185"/>
          <cell r="B1185"/>
          <cell r="C1185"/>
          <cell r="D1185"/>
          <cell r="E1185"/>
          <cell r="F1185"/>
          <cell r="G1185"/>
          <cell r="H1185"/>
          <cell r="I1185"/>
          <cell r="J1185"/>
          <cell r="K1185"/>
          <cell r="L1185"/>
          <cell r="M1185"/>
          <cell r="N1185"/>
          <cell r="O1185"/>
          <cell r="P1185"/>
          <cell r="Q1185"/>
          <cell r="R1185"/>
          <cell r="S1185"/>
          <cell r="T1185"/>
          <cell r="U1185"/>
          <cell r="V1185"/>
          <cell r="W1185"/>
          <cell r="X1185"/>
          <cell r="Y1185"/>
          <cell r="Z1185"/>
          <cell r="AA1185"/>
          <cell r="AB1185"/>
          <cell r="AC1185"/>
          <cell r="AD1185"/>
          <cell r="AE1185"/>
          <cell r="AF1185"/>
          <cell r="AG1185"/>
          <cell r="AH1185"/>
          <cell r="AI1185"/>
          <cell r="AJ1185"/>
          <cell r="AK1185"/>
          <cell r="AL1185"/>
          <cell r="AM1185"/>
          <cell r="AN1185"/>
          <cell r="AO1185"/>
          <cell r="AP1185"/>
          <cell r="AQ1185"/>
          <cell r="AR1185"/>
          <cell r="AS1185"/>
          <cell r="AT1185"/>
          <cell r="AU1185"/>
          <cell r="AV1185"/>
          <cell r="AW1185"/>
          <cell r="AX1185"/>
          <cell r="AY1185"/>
          <cell r="AZ1185"/>
        </row>
        <row r="1186">
          <cell r="A1186"/>
          <cell r="B1186"/>
          <cell r="C1186"/>
          <cell r="D1186"/>
          <cell r="E1186"/>
          <cell r="F1186"/>
          <cell r="G1186"/>
          <cell r="H1186"/>
          <cell r="I1186"/>
          <cell r="J1186"/>
          <cell r="K1186"/>
          <cell r="L1186"/>
          <cell r="M1186"/>
          <cell r="N1186"/>
          <cell r="O1186"/>
          <cell r="P1186"/>
          <cell r="Q1186"/>
          <cell r="R1186"/>
          <cell r="S1186"/>
          <cell r="T1186"/>
          <cell r="U1186"/>
          <cell r="V1186"/>
          <cell r="W1186"/>
          <cell r="X1186"/>
          <cell r="Y1186"/>
          <cell r="Z1186"/>
          <cell r="AA1186"/>
          <cell r="AB1186"/>
          <cell r="AC1186"/>
          <cell r="AD1186"/>
          <cell r="AE1186"/>
          <cell r="AF1186"/>
          <cell r="AG1186"/>
          <cell r="AH1186"/>
          <cell r="AI1186"/>
          <cell r="AJ1186"/>
          <cell r="AK1186"/>
          <cell r="AL1186"/>
          <cell r="AM1186"/>
          <cell r="AN1186"/>
          <cell r="AO1186"/>
          <cell r="AP1186"/>
          <cell r="AQ1186"/>
          <cell r="AR1186"/>
          <cell r="AS1186"/>
          <cell r="AT1186"/>
          <cell r="AU1186"/>
          <cell r="AV1186"/>
          <cell r="AW1186"/>
          <cell r="AX1186"/>
          <cell r="AY1186"/>
          <cell r="AZ1186"/>
        </row>
        <row r="1187">
          <cell r="A1187"/>
          <cell r="B1187"/>
          <cell r="C1187"/>
          <cell r="D1187"/>
          <cell r="E1187"/>
          <cell r="F1187"/>
          <cell r="G1187"/>
          <cell r="H1187"/>
          <cell r="I1187"/>
          <cell r="J1187"/>
          <cell r="K1187"/>
          <cell r="L1187"/>
          <cell r="M1187"/>
          <cell r="N1187"/>
          <cell r="O1187"/>
          <cell r="P1187"/>
          <cell r="Q1187"/>
          <cell r="R1187"/>
          <cell r="S1187"/>
          <cell r="T1187"/>
          <cell r="U1187"/>
          <cell r="V1187"/>
          <cell r="W1187"/>
          <cell r="X1187"/>
          <cell r="Y1187"/>
          <cell r="Z1187"/>
          <cell r="AA1187"/>
          <cell r="AB1187"/>
          <cell r="AC1187"/>
          <cell r="AD1187"/>
          <cell r="AE1187"/>
          <cell r="AF1187"/>
          <cell r="AG1187"/>
          <cell r="AH1187"/>
          <cell r="AI1187"/>
          <cell r="AJ1187"/>
          <cell r="AK1187"/>
          <cell r="AL1187"/>
          <cell r="AM1187"/>
          <cell r="AN1187"/>
          <cell r="AO1187"/>
          <cell r="AP1187"/>
          <cell r="AQ1187"/>
          <cell r="AR1187"/>
          <cell r="AS1187"/>
          <cell r="AT1187"/>
          <cell r="AU1187"/>
          <cell r="AV1187"/>
          <cell r="AW1187"/>
          <cell r="AX1187"/>
          <cell r="AY1187"/>
          <cell r="AZ1187"/>
        </row>
        <row r="1188">
          <cell r="A1188"/>
          <cell r="B1188"/>
          <cell r="C1188"/>
          <cell r="D1188"/>
          <cell r="E1188"/>
          <cell r="F1188"/>
          <cell r="G1188"/>
          <cell r="H1188"/>
          <cell r="I1188"/>
          <cell r="J1188"/>
          <cell r="K1188"/>
          <cell r="L1188"/>
          <cell r="M1188"/>
          <cell r="N1188"/>
          <cell r="O1188"/>
          <cell r="P1188"/>
          <cell r="Q1188"/>
          <cell r="R1188"/>
          <cell r="S1188"/>
          <cell r="T1188"/>
          <cell r="U1188"/>
          <cell r="V1188"/>
          <cell r="W1188"/>
          <cell r="X1188"/>
          <cell r="Y1188"/>
          <cell r="Z1188"/>
          <cell r="AA1188"/>
          <cell r="AB1188"/>
          <cell r="AC1188"/>
          <cell r="AD1188"/>
          <cell r="AE1188"/>
          <cell r="AF1188"/>
          <cell r="AG1188"/>
          <cell r="AH1188"/>
          <cell r="AI1188"/>
          <cell r="AJ1188"/>
          <cell r="AK1188"/>
          <cell r="AL1188"/>
          <cell r="AM1188"/>
          <cell r="AN1188"/>
          <cell r="AO1188"/>
          <cell r="AP1188"/>
          <cell r="AQ1188"/>
          <cell r="AR1188"/>
          <cell r="AS1188"/>
          <cell r="AT1188"/>
          <cell r="AU1188"/>
          <cell r="AV1188"/>
          <cell r="AW1188"/>
          <cell r="AX1188"/>
          <cell r="AY1188"/>
          <cell r="AZ1188"/>
        </row>
        <row r="1189">
          <cell r="A1189"/>
          <cell r="B1189"/>
          <cell r="C1189"/>
          <cell r="D1189"/>
          <cell r="E1189"/>
          <cell r="F1189"/>
          <cell r="G1189"/>
          <cell r="H1189"/>
          <cell r="I1189"/>
          <cell r="J1189"/>
          <cell r="K1189"/>
          <cell r="L1189"/>
          <cell r="M1189"/>
          <cell r="N1189"/>
          <cell r="O1189"/>
          <cell r="P1189"/>
          <cell r="Q1189"/>
          <cell r="R1189"/>
          <cell r="S1189"/>
          <cell r="T1189"/>
          <cell r="U1189"/>
          <cell r="V1189"/>
          <cell r="W1189"/>
          <cell r="X1189"/>
          <cell r="Y1189"/>
          <cell r="Z1189"/>
          <cell r="AA1189"/>
          <cell r="AB1189"/>
          <cell r="AC1189"/>
          <cell r="AD1189"/>
          <cell r="AE1189"/>
          <cell r="AF1189"/>
          <cell r="AG1189"/>
          <cell r="AH1189"/>
          <cell r="AI1189"/>
          <cell r="AJ1189"/>
          <cell r="AK1189"/>
          <cell r="AL1189"/>
          <cell r="AM1189"/>
          <cell r="AN1189"/>
          <cell r="AO1189"/>
          <cell r="AP1189"/>
          <cell r="AQ1189"/>
          <cell r="AR1189"/>
          <cell r="AS1189"/>
          <cell r="AT1189"/>
          <cell r="AU1189"/>
          <cell r="AV1189"/>
          <cell r="AW1189"/>
          <cell r="AX1189"/>
          <cell r="AY1189"/>
          <cell r="AZ1189"/>
        </row>
        <row r="1190">
          <cell r="A1190"/>
          <cell r="B1190"/>
          <cell r="C1190"/>
          <cell r="D1190"/>
          <cell r="E1190"/>
          <cell r="F1190"/>
          <cell r="G1190"/>
          <cell r="H1190"/>
          <cell r="I1190"/>
          <cell r="J1190"/>
          <cell r="K1190"/>
          <cell r="L1190"/>
          <cell r="M1190"/>
          <cell r="N1190"/>
          <cell r="O1190"/>
          <cell r="P1190"/>
          <cell r="Q1190"/>
          <cell r="R1190"/>
          <cell r="S1190"/>
          <cell r="T1190"/>
          <cell r="U1190"/>
          <cell r="V1190"/>
          <cell r="W1190"/>
          <cell r="X1190"/>
          <cell r="Y1190"/>
          <cell r="Z1190"/>
          <cell r="AA1190"/>
          <cell r="AB1190"/>
          <cell r="AC1190"/>
          <cell r="AD1190"/>
          <cell r="AE1190"/>
          <cell r="AF1190"/>
          <cell r="AG1190"/>
          <cell r="AH1190"/>
          <cell r="AI1190"/>
          <cell r="AJ1190"/>
          <cell r="AK1190"/>
          <cell r="AL1190"/>
          <cell r="AM1190"/>
          <cell r="AN1190"/>
          <cell r="AO1190"/>
          <cell r="AP1190"/>
          <cell r="AQ1190"/>
          <cell r="AR1190"/>
          <cell r="AS1190"/>
          <cell r="AT1190"/>
          <cell r="AU1190"/>
          <cell r="AV1190"/>
          <cell r="AW1190"/>
          <cell r="AX1190"/>
          <cell r="AY1190"/>
          <cell r="AZ1190"/>
        </row>
        <row r="1191">
          <cell r="A1191"/>
          <cell r="B1191"/>
          <cell r="C1191"/>
          <cell r="D1191"/>
          <cell r="E1191"/>
          <cell r="F1191"/>
          <cell r="G1191"/>
          <cell r="H1191"/>
          <cell r="I1191"/>
          <cell r="J1191"/>
          <cell r="K1191"/>
          <cell r="L1191"/>
          <cell r="M1191"/>
          <cell r="N1191"/>
          <cell r="O1191"/>
          <cell r="P1191"/>
          <cell r="Q1191"/>
          <cell r="R1191"/>
          <cell r="S1191"/>
          <cell r="T1191"/>
          <cell r="U1191"/>
          <cell r="V1191"/>
          <cell r="W1191"/>
          <cell r="X1191"/>
          <cell r="Y1191"/>
          <cell r="Z1191"/>
          <cell r="AA1191"/>
          <cell r="AB1191"/>
          <cell r="AC1191"/>
          <cell r="AD1191"/>
          <cell r="AE1191"/>
          <cell r="AF1191"/>
          <cell r="AG1191"/>
          <cell r="AH1191"/>
          <cell r="AI1191"/>
          <cell r="AJ1191"/>
          <cell r="AK1191"/>
          <cell r="AL1191"/>
          <cell r="AM1191"/>
          <cell r="AN1191"/>
          <cell r="AO1191"/>
          <cell r="AP1191"/>
          <cell r="AQ1191"/>
          <cell r="AR1191"/>
          <cell r="AS1191"/>
          <cell r="AT1191"/>
          <cell r="AU1191"/>
          <cell r="AV1191"/>
          <cell r="AW1191"/>
          <cell r="AX1191"/>
          <cell r="AY1191"/>
          <cell r="AZ1191"/>
        </row>
        <row r="1192">
          <cell r="A1192"/>
          <cell r="B1192"/>
          <cell r="C1192"/>
          <cell r="D1192"/>
          <cell r="E1192"/>
          <cell r="F1192"/>
          <cell r="G1192"/>
          <cell r="H1192"/>
          <cell r="I1192"/>
          <cell r="J1192"/>
          <cell r="K1192"/>
          <cell r="L1192"/>
          <cell r="M1192"/>
          <cell r="N1192"/>
          <cell r="O1192"/>
          <cell r="P1192"/>
          <cell r="Q1192"/>
          <cell r="R1192"/>
          <cell r="S1192"/>
          <cell r="T1192"/>
          <cell r="U1192"/>
          <cell r="V1192"/>
          <cell r="W1192"/>
          <cell r="X1192"/>
          <cell r="Y1192"/>
          <cell r="Z1192"/>
          <cell r="AA1192"/>
          <cell r="AB1192"/>
          <cell r="AC1192"/>
          <cell r="AD1192"/>
          <cell r="AE1192"/>
          <cell r="AF1192"/>
          <cell r="AG1192"/>
          <cell r="AH1192"/>
          <cell r="AI1192"/>
          <cell r="AJ1192"/>
          <cell r="AK1192"/>
          <cell r="AL1192"/>
          <cell r="AM1192"/>
          <cell r="AN1192"/>
          <cell r="AO1192"/>
          <cell r="AP1192"/>
          <cell r="AQ1192"/>
          <cell r="AR1192"/>
          <cell r="AS1192"/>
          <cell r="AT1192"/>
          <cell r="AU1192"/>
          <cell r="AV1192"/>
          <cell r="AW1192"/>
          <cell r="AX1192"/>
          <cell r="AY1192"/>
          <cell r="AZ1192"/>
        </row>
        <row r="1193">
          <cell r="A1193"/>
          <cell r="B1193"/>
          <cell r="C1193"/>
          <cell r="D1193"/>
          <cell r="E1193"/>
          <cell r="F1193"/>
          <cell r="G1193"/>
          <cell r="H1193"/>
          <cell r="I1193"/>
          <cell r="J1193"/>
          <cell r="K1193"/>
          <cell r="L1193"/>
          <cell r="M1193"/>
          <cell r="N1193"/>
          <cell r="O1193"/>
          <cell r="P1193"/>
          <cell r="Q1193"/>
          <cell r="R1193"/>
          <cell r="S1193"/>
          <cell r="T1193"/>
          <cell r="U1193"/>
          <cell r="V1193"/>
          <cell r="W1193"/>
          <cell r="X1193"/>
          <cell r="Y1193"/>
          <cell r="Z1193"/>
          <cell r="AA1193"/>
          <cell r="AB1193"/>
          <cell r="AC1193"/>
          <cell r="AD1193"/>
          <cell r="AE1193"/>
          <cell r="AF1193"/>
          <cell r="AG1193"/>
          <cell r="AH1193"/>
          <cell r="AI1193"/>
          <cell r="AJ1193"/>
          <cell r="AK1193"/>
          <cell r="AL1193"/>
          <cell r="AM1193"/>
          <cell r="AN1193"/>
          <cell r="AO1193"/>
          <cell r="AP1193"/>
          <cell r="AQ1193"/>
          <cell r="AR1193"/>
          <cell r="AS1193"/>
          <cell r="AT1193"/>
          <cell r="AU1193"/>
          <cell r="AV1193"/>
          <cell r="AW1193"/>
          <cell r="AX1193"/>
          <cell r="AY1193"/>
          <cell r="AZ1193"/>
        </row>
        <row r="1194">
          <cell r="A1194"/>
          <cell r="B1194"/>
          <cell r="C1194"/>
          <cell r="D1194"/>
          <cell r="E1194"/>
          <cell r="F1194"/>
          <cell r="G1194"/>
          <cell r="H1194"/>
          <cell r="I1194"/>
          <cell r="J1194"/>
          <cell r="K1194"/>
          <cell r="L1194"/>
          <cell r="M1194"/>
          <cell r="N1194"/>
          <cell r="O1194"/>
          <cell r="P1194"/>
          <cell r="Q1194"/>
          <cell r="R1194"/>
          <cell r="S1194"/>
          <cell r="T1194"/>
          <cell r="U1194"/>
          <cell r="V1194"/>
          <cell r="W1194"/>
          <cell r="X1194"/>
          <cell r="Y1194"/>
          <cell r="Z1194"/>
          <cell r="AA1194"/>
          <cell r="AB1194"/>
          <cell r="AC1194"/>
          <cell r="AD1194"/>
          <cell r="AE1194"/>
          <cell r="AF1194"/>
          <cell r="AG1194"/>
          <cell r="AH1194"/>
          <cell r="AI1194"/>
          <cell r="AJ1194"/>
          <cell r="AK1194"/>
          <cell r="AL1194"/>
          <cell r="AM1194"/>
          <cell r="AN1194"/>
          <cell r="AO1194"/>
          <cell r="AP1194"/>
          <cell r="AQ1194"/>
          <cell r="AR1194"/>
          <cell r="AS1194"/>
          <cell r="AT1194"/>
          <cell r="AU1194"/>
          <cell r="AV1194"/>
          <cell r="AW1194"/>
          <cell r="AX1194"/>
          <cell r="AY1194"/>
          <cell r="AZ1194"/>
        </row>
        <row r="1195">
          <cell r="A1195"/>
          <cell r="B1195"/>
          <cell r="C1195"/>
          <cell r="D1195"/>
          <cell r="E1195"/>
          <cell r="F1195"/>
          <cell r="G1195"/>
          <cell r="H1195"/>
          <cell r="I1195"/>
          <cell r="J1195"/>
          <cell r="K1195"/>
          <cell r="L1195"/>
          <cell r="M1195"/>
          <cell r="N1195"/>
          <cell r="O1195"/>
          <cell r="P1195"/>
          <cell r="Q1195"/>
          <cell r="R1195"/>
          <cell r="S1195"/>
          <cell r="T1195"/>
          <cell r="U1195"/>
          <cell r="V1195"/>
          <cell r="W1195"/>
          <cell r="X1195"/>
          <cell r="Y1195"/>
          <cell r="Z1195"/>
          <cell r="AA1195"/>
          <cell r="AB1195"/>
          <cell r="AC1195"/>
          <cell r="AD1195"/>
          <cell r="AE1195"/>
          <cell r="AF1195"/>
          <cell r="AG1195"/>
          <cell r="AH1195"/>
          <cell r="AI1195"/>
          <cell r="AJ1195"/>
          <cell r="AK1195"/>
          <cell r="AL1195"/>
          <cell r="AM1195"/>
          <cell r="AN1195"/>
          <cell r="AO1195"/>
          <cell r="AP1195"/>
          <cell r="AQ1195"/>
          <cell r="AR1195"/>
          <cell r="AS1195"/>
          <cell r="AT1195"/>
          <cell r="AU1195"/>
          <cell r="AV1195"/>
          <cell r="AW1195"/>
          <cell r="AX1195"/>
          <cell r="AY1195"/>
          <cell r="AZ1195"/>
        </row>
        <row r="1196">
          <cell r="A1196"/>
          <cell r="B1196"/>
          <cell r="C1196"/>
          <cell r="D1196"/>
          <cell r="E1196"/>
          <cell r="F1196"/>
          <cell r="G1196"/>
          <cell r="H1196"/>
          <cell r="I1196"/>
          <cell r="J1196"/>
          <cell r="K1196"/>
          <cell r="L1196"/>
          <cell r="M1196"/>
          <cell r="N1196"/>
          <cell r="O1196"/>
          <cell r="P1196"/>
          <cell r="Q1196"/>
          <cell r="R1196"/>
          <cell r="S1196"/>
          <cell r="T1196"/>
          <cell r="U1196"/>
          <cell r="V1196"/>
          <cell r="W1196"/>
          <cell r="X1196"/>
          <cell r="Y1196"/>
          <cell r="Z1196"/>
          <cell r="AA1196"/>
          <cell r="AB1196"/>
          <cell r="AC1196"/>
          <cell r="AD1196"/>
          <cell r="AE1196"/>
          <cell r="AF1196"/>
          <cell r="AG1196"/>
          <cell r="AH1196"/>
          <cell r="AI1196"/>
          <cell r="AJ1196"/>
          <cell r="AK1196"/>
          <cell r="AL1196"/>
          <cell r="AM1196"/>
          <cell r="AN1196"/>
          <cell r="AO1196"/>
          <cell r="AP1196"/>
          <cell r="AQ1196"/>
          <cell r="AR1196"/>
          <cell r="AS1196"/>
          <cell r="AT1196"/>
          <cell r="AU1196"/>
          <cell r="AV1196"/>
          <cell r="AW1196"/>
          <cell r="AX1196"/>
          <cell r="AY1196"/>
          <cell r="AZ1196"/>
        </row>
        <row r="1197">
          <cell r="A1197"/>
          <cell r="B1197"/>
          <cell r="C1197"/>
          <cell r="D1197"/>
          <cell r="E1197"/>
          <cell r="F1197"/>
          <cell r="G1197"/>
          <cell r="H1197"/>
          <cell r="I1197"/>
          <cell r="J1197"/>
          <cell r="K1197"/>
          <cell r="L1197"/>
          <cell r="M1197"/>
          <cell r="N1197"/>
          <cell r="O1197"/>
          <cell r="P1197"/>
          <cell r="Q1197"/>
          <cell r="R1197"/>
          <cell r="S1197"/>
          <cell r="T1197"/>
          <cell r="U1197"/>
          <cell r="V1197"/>
          <cell r="W1197"/>
          <cell r="X1197"/>
          <cell r="Y1197"/>
          <cell r="Z1197"/>
          <cell r="AA1197"/>
          <cell r="AB1197"/>
          <cell r="AC1197"/>
          <cell r="AD1197"/>
          <cell r="AE1197"/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/>
          <cell r="AS1197"/>
          <cell r="AT1197"/>
          <cell r="AU1197"/>
          <cell r="AV1197"/>
          <cell r="AW1197"/>
          <cell r="AX1197"/>
          <cell r="AY1197"/>
          <cell r="AZ1197"/>
        </row>
        <row r="1198">
          <cell r="A1198"/>
          <cell r="B1198"/>
          <cell r="C1198"/>
          <cell r="D1198"/>
          <cell r="E1198"/>
          <cell r="F1198"/>
          <cell r="G1198"/>
          <cell r="H1198"/>
          <cell r="I1198"/>
          <cell r="J1198"/>
          <cell r="K1198"/>
          <cell r="L1198"/>
          <cell r="M1198"/>
          <cell r="N1198"/>
          <cell r="O1198"/>
          <cell r="P1198"/>
          <cell r="Q1198"/>
          <cell r="R1198"/>
          <cell r="S1198"/>
          <cell r="T1198"/>
          <cell r="U1198"/>
          <cell r="V1198"/>
          <cell r="W1198"/>
          <cell r="X1198"/>
          <cell r="Y1198"/>
          <cell r="Z1198"/>
          <cell r="AA1198"/>
          <cell r="AB1198"/>
          <cell r="AC1198"/>
          <cell r="AD1198"/>
          <cell r="AE1198"/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/>
          <cell r="AS1198"/>
          <cell r="AT1198"/>
          <cell r="AU1198"/>
          <cell r="AV1198"/>
          <cell r="AW1198"/>
          <cell r="AX1198"/>
          <cell r="AY1198"/>
          <cell r="AZ1198"/>
        </row>
        <row r="1199">
          <cell r="A1199"/>
          <cell r="B1199"/>
          <cell r="C1199"/>
          <cell r="D1199"/>
          <cell r="E1199"/>
          <cell r="F1199"/>
          <cell r="G1199"/>
          <cell r="H1199"/>
          <cell r="I1199"/>
          <cell r="J1199"/>
          <cell r="K1199"/>
          <cell r="L1199"/>
          <cell r="M1199"/>
          <cell r="N1199"/>
          <cell r="O1199"/>
          <cell r="P1199"/>
          <cell r="Q1199"/>
          <cell r="R1199"/>
          <cell r="S1199"/>
          <cell r="T1199"/>
          <cell r="U1199"/>
          <cell r="V1199"/>
          <cell r="W1199"/>
          <cell r="X1199"/>
          <cell r="Y1199"/>
          <cell r="Z1199"/>
          <cell r="AA1199"/>
          <cell r="AB1199"/>
          <cell r="AC1199"/>
          <cell r="AD1199"/>
          <cell r="AE1199"/>
          <cell r="AF1199"/>
          <cell r="AG1199"/>
          <cell r="AH1199"/>
          <cell r="AI1199"/>
          <cell r="AJ1199"/>
          <cell r="AK1199"/>
          <cell r="AL1199"/>
          <cell r="AM1199"/>
          <cell r="AN1199"/>
          <cell r="AO1199"/>
          <cell r="AP1199"/>
          <cell r="AQ1199"/>
          <cell r="AR1199"/>
          <cell r="AS1199"/>
          <cell r="AT1199"/>
          <cell r="AU1199"/>
          <cell r="AV1199"/>
          <cell r="AW1199"/>
          <cell r="AX1199"/>
          <cell r="AY1199"/>
          <cell r="AZ1199"/>
        </row>
        <row r="1200">
          <cell r="A1200"/>
          <cell r="B1200"/>
          <cell r="C1200"/>
          <cell r="D1200"/>
          <cell r="E1200"/>
          <cell r="F1200"/>
          <cell r="G1200"/>
          <cell r="H1200"/>
          <cell r="I1200"/>
          <cell r="J1200"/>
          <cell r="K1200"/>
          <cell r="L1200"/>
          <cell r="M1200"/>
          <cell r="N1200"/>
          <cell r="O1200"/>
          <cell r="P1200"/>
          <cell r="Q1200"/>
          <cell r="R1200"/>
          <cell r="S1200"/>
          <cell r="T1200"/>
          <cell r="U1200"/>
          <cell r="V1200"/>
          <cell r="W1200"/>
          <cell r="X1200"/>
          <cell r="Y1200"/>
          <cell r="Z1200"/>
          <cell r="AA1200"/>
          <cell r="AB1200"/>
          <cell r="AC1200"/>
          <cell r="AD1200"/>
          <cell r="AE1200"/>
          <cell r="AF1200"/>
          <cell r="AG1200"/>
          <cell r="AH1200"/>
          <cell r="AI1200"/>
          <cell r="AJ1200"/>
          <cell r="AK1200"/>
          <cell r="AL1200"/>
          <cell r="AM1200"/>
          <cell r="AN1200"/>
          <cell r="AO1200"/>
          <cell r="AP1200"/>
          <cell r="AQ1200"/>
          <cell r="AR1200"/>
          <cell r="AS1200"/>
          <cell r="AT1200"/>
          <cell r="AU1200"/>
          <cell r="AV1200"/>
          <cell r="AW1200"/>
          <cell r="AX1200"/>
          <cell r="AY1200"/>
          <cell r="AZ1200"/>
        </row>
        <row r="1201">
          <cell r="A1201"/>
          <cell r="B1201"/>
          <cell r="C1201"/>
          <cell r="D1201"/>
          <cell r="E1201"/>
          <cell r="F1201"/>
          <cell r="G1201"/>
          <cell r="H1201"/>
          <cell r="I1201"/>
          <cell r="J1201"/>
          <cell r="K1201"/>
          <cell r="L1201"/>
          <cell r="M1201"/>
          <cell r="N1201"/>
          <cell r="O1201"/>
          <cell r="P1201"/>
          <cell r="Q1201"/>
          <cell r="R1201"/>
          <cell r="S1201"/>
          <cell r="T1201"/>
          <cell r="U1201"/>
          <cell r="V1201"/>
          <cell r="W1201"/>
          <cell r="X1201"/>
          <cell r="Y1201"/>
          <cell r="Z1201"/>
          <cell r="AA1201"/>
          <cell r="AB1201"/>
          <cell r="AC1201"/>
          <cell r="AD1201"/>
          <cell r="AE1201"/>
          <cell r="AF1201"/>
          <cell r="AG1201"/>
          <cell r="AH1201"/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/>
          <cell r="AS1201"/>
          <cell r="AT1201"/>
          <cell r="AU1201"/>
          <cell r="AV1201"/>
          <cell r="AW1201"/>
          <cell r="AX1201"/>
          <cell r="AY1201"/>
          <cell r="AZ1201"/>
        </row>
        <row r="1202">
          <cell r="A1202"/>
          <cell r="B1202"/>
          <cell r="C1202"/>
          <cell r="D1202"/>
          <cell r="E1202"/>
          <cell r="F1202"/>
          <cell r="G1202"/>
          <cell r="H1202"/>
          <cell r="I1202"/>
          <cell r="J1202"/>
          <cell r="K1202"/>
          <cell r="L1202"/>
          <cell r="M1202"/>
          <cell r="N1202"/>
          <cell r="O1202"/>
          <cell r="P1202"/>
          <cell r="Q1202"/>
          <cell r="R1202"/>
          <cell r="S1202"/>
          <cell r="T1202"/>
          <cell r="U1202"/>
          <cell r="V1202"/>
          <cell r="W1202"/>
          <cell r="X1202"/>
          <cell r="Y1202"/>
          <cell r="Z1202"/>
          <cell r="AA1202"/>
          <cell r="AB1202"/>
          <cell r="AC1202"/>
          <cell r="AD1202"/>
          <cell r="AE1202"/>
          <cell r="AF1202"/>
          <cell r="AG1202"/>
          <cell r="AH1202"/>
          <cell r="AI1202"/>
          <cell r="AJ1202"/>
          <cell r="AK1202"/>
          <cell r="AL1202"/>
          <cell r="AM1202"/>
          <cell r="AN1202"/>
          <cell r="AO1202"/>
          <cell r="AP1202"/>
          <cell r="AQ1202"/>
          <cell r="AR1202"/>
          <cell r="AS1202"/>
          <cell r="AT1202"/>
          <cell r="AU1202"/>
          <cell r="AV1202"/>
          <cell r="AW1202"/>
          <cell r="AX1202"/>
          <cell r="AY1202"/>
          <cell r="AZ1202"/>
        </row>
        <row r="1203">
          <cell r="A1203"/>
          <cell r="B1203"/>
          <cell r="C1203"/>
          <cell r="D1203"/>
          <cell r="E1203"/>
          <cell r="F1203"/>
          <cell r="G1203"/>
          <cell r="H1203"/>
          <cell r="I1203"/>
          <cell r="J1203"/>
          <cell r="K1203"/>
          <cell r="L1203"/>
          <cell r="M1203"/>
          <cell r="N1203"/>
          <cell r="O1203"/>
          <cell r="P1203"/>
          <cell r="Q1203"/>
          <cell r="R1203"/>
          <cell r="S1203"/>
          <cell r="T1203"/>
          <cell r="U1203"/>
          <cell r="V1203"/>
          <cell r="W1203"/>
          <cell r="X1203"/>
          <cell r="Y1203"/>
          <cell r="Z1203"/>
          <cell r="AA1203"/>
          <cell r="AB1203"/>
          <cell r="AC1203"/>
          <cell r="AD1203"/>
          <cell r="AE1203"/>
          <cell r="AF1203"/>
          <cell r="AG1203"/>
          <cell r="AH1203"/>
          <cell r="AI1203"/>
          <cell r="AJ1203"/>
          <cell r="AK1203"/>
          <cell r="AL1203"/>
          <cell r="AM1203"/>
          <cell r="AN1203"/>
          <cell r="AO1203"/>
          <cell r="AP1203"/>
          <cell r="AQ1203"/>
          <cell r="AR1203"/>
          <cell r="AS1203"/>
          <cell r="AT1203"/>
          <cell r="AU1203"/>
          <cell r="AV1203"/>
          <cell r="AW1203"/>
          <cell r="AX1203"/>
          <cell r="AY1203"/>
          <cell r="AZ1203"/>
        </row>
        <row r="1204">
          <cell r="A1204"/>
          <cell r="B1204"/>
          <cell r="C1204"/>
          <cell r="D1204"/>
          <cell r="E1204"/>
          <cell r="F1204"/>
          <cell r="G1204"/>
          <cell r="H1204"/>
          <cell r="I1204"/>
          <cell r="J1204"/>
          <cell r="K1204"/>
          <cell r="L1204"/>
          <cell r="M1204"/>
          <cell r="N1204"/>
          <cell r="O1204"/>
          <cell r="P1204"/>
          <cell r="Q1204"/>
          <cell r="R1204"/>
          <cell r="S1204"/>
          <cell r="T1204"/>
          <cell r="U1204"/>
          <cell r="V1204"/>
          <cell r="W1204"/>
          <cell r="X1204"/>
          <cell r="Y1204"/>
          <cell r="Z1204"/>
          <cell r="AA1204"/>
          <cell r="AB1204"/>
          <cell r="AC1204"/>
          <cell r="AD1204"/>
          <cell r="AE1204"/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/>
          <cell r="AS1204"/>
          <cell r="AT1204"/>
          <cell r="AU1204"/>
          <cell r="AV1204"/>
          <cell r="AW1204"/>
          <cell r="AX1204"/>
          <cell r="AY1204"/>
          <cell r="AZ1204"/>
        </row>
        <row r="1205">
          <cell r="A1205"/>
          <cell r="B1205"/>
          <cell r="C1205"/>
          <cell r="D1205"/>
          <cell r="E1205"/>
          <cell r="F1205"/>
          <cell r="G1205"/>
          <cell r="H1205"/>
          <cell r="I1205"/>
          <cell r="J1205"/>
          <cell r="K1205"/>
          <cell r="L1205"/>
          <cell r="M1205"/>
          <cell r="N1205"/>
          <cell r="O1205"/>
          <cell r="P1205"/>
          <cell r="Q1205"/>
          <cell r="R1205"/>
          <cell r="S1205"/>
          <cell r="T1205"/>
          <cell r="U1205"/>
          <cell r="V1205"/>
          <cell r="W1205"/>
          <cell r="X1205"/>
          <cell r="Y1205"/>
          <cell r="Z1205"/>
          <cell r="AA1205"/>
          <cell r="AB1205"/>
          <cell r="AC1205"/>
          <cell r="AD1205"/>
          <cell r="AE1205"/>
          <cell r="AF1205"/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/>
          <cell r="AS1205"/>
          <cell r="AT1205"/>
          <cell r="AU1205"/>
          <cell r="AV1205"/>
          <cell r="AW1205"/>
          <cell r="AX1205"/>
          <cell r="AY1205"/>
          <cell r="AZ1205"/>
        </row>
        <row r="1206">
          <cell r="A1206"/>
          <cell r="B1206"/>
          <cell r="C1206"/>
          <cell r="D1206"/>
          <cell r="E1206"/>
          <cell r="F1206"/>
          <cell r="G1206"/>
          <cell r="H1206"/>
          <cell r="I1206"/>
          <cell r="J1206"/>
          <cell r="K1206"/>
          <cell r="L1206"/>
          <cell r="M1206"/>
          <cell r="N1206"/>
          <cell r="O1206"/>
          <cell r="P1206"/>
          <cell r="Q1206"/>
          <cell r="R1206"/>
          <cell r="S1206"/>
          <cell r="T1206"/>
          <cell r="U1206"/>
          <cell r="V1206"/>
          <cell r="W1206"/>
          <cell r="X1206"/>
          <cell r="Y1206"/>
          <cell r="Z1206"/>
          <cell r="AA1206"/>
          <cell r="AB1206"/>
          <cell r="AC1206"/>
          <cell r="AD1206"/>
          <cell r="AE1206"/>
          <cell r="AF1206"/>
          <cell r="AG1206"/>
          <cell r="AH1206"/>
          <cell r="AI1206"/>
          <cell r="AJ1206"/>
          <cell r="AK1206"/>
          <cell r="AL1206"/>
          <cell r="AM1206"/>
          <cell r="AN1206"/>
          <cell r="AO1206"/>
          <cell r="AP1206"/>
          <cell r="AQ1206"/>
          <cell r="AR1206"/>
          <cell r="AS1206"/>
          <cell r="AT1206"/>
          <cell r="AU1206"/>
          <cell r="AV1206"/>
          <cell r="AW1206"/>
          <cell r="AX1206"/>
          <cell r="AY1206"/>
          <cell r="AZ1206"/>
        </row>
        <row r="1207">
          <cell r="A1207"/>
          <cell r="B1207"/>
          <cell r="C1207"/>
          <cell r="D1207"/>
          <cell r="E1207"/>
          <cell r="F1207"/>
          <cell r="G1207"/>
          <cell r="H1207"/>
          <cell r="I1207"/>
          <cell r="J1207"/>
          <cell r="K1207"/>
          <cell r="L1207"/>
          <cell r="M1207"/>
          <cell r="N1207"/>
          <cell r="O1207"/>
          <cell r="P1207"/>
          <cell r="Q1207"/>
          <cell r="R1207"/>
          <cell r="S1207"/>
          <cell r="T1207"/>
          <cell r="U1207"/>
          <cell r="V1207"/>
          <cell r="W1207"/>
          <cell r="X1207"/>
          <cell r="Y1207"/>
          <cell r="Z1207"/>
          <cell r="AA1207"/>
          <cell r="AB1207"/>
          <cell r="AC1207"/>
          <cell r="AD1207"/>
          <cell r="AE1207"/>
          <cell r="AF1207"/>
          <cell r="AG1207"/>
          <cell r="AH1207"/>
          <cell r="AI1207"/>
          <cell r="AJ1207"/>
          <cell r="AK1207"/>
          <cell r="AL1207"/>
          <cell r="AM1207"/>
          <cell r="AN1207"/>
          <cell r="AO1207"/>
          <cell r="AP1207"/>
          <cell r="AQ1207"/>
          <cell r="AR1207"/>
          <cell r="AS1207"/>
          <cell r="AT1207"/>
          <cell r="AU1207"/>
          <cell r="AV1207"/>
          <cell r="AW1207"/>
          <cell r="AX1207"/>
          <cell r="AY1207"/>
          <cell r="AZ1207"/>
        </row>
        <row r="1208">
          <cell r="A1208"/>
          <cell r="B1208"/>
          <cell r="C1208"/>
          <cell r="D1208"/>
          <cell r="E1208"/>
          <cell r="F1208"/>
          <cell r="G1208"/>
          <cell r="H1208"/>
          <cell r="I1208"/>
          <cell r="J1208"/>
          <cell r="K1208"/>
          <cell r="L1208"/>
          <cell r="M1208"/>
          <cell r="N1208"/>
          <cell r="O1208"/>
          <cell r="P1208"/>
          <cell r="Q1208"/>
          <cell r="R1208"/>
          <cell r="S1208"/>
          <cell r="T1208"/>
          <cell r="U1208"/>
          <cell r="V1208"/>
          <cell r="W1208"/>
          <cell r="X1208"/>
          <cell r="Y1208"/>
          <cell r="Z1208"/>
          <cell r="AA1208"/>
          <cell r="AB1208"/>
          <cell r="AC1208"/>
          <cell r="AD1208"/>
          <cell r="AE1208"/>
          <cell r="AF1208"/>
          <cell r="AG1208"/>
          <cell r="AH1208"/>
          <cell r="AI1208"/>
          <cell r="AJ1208"/>
          <cell r="AK1208"/>
          <cell r="AL1208"/>
          <cell r="AM1208"/>
          <cell r="AN1208"/>
          <cell r="AO1208"/>
          <cell r="AP1208"/>
          <cell r="AQ1208"/>
          <cell r="AR1208"/>
          <cell r="AS1208"/>
          <cell r="AT1208"/>
          <cell r="AU1208"/>
          <cell r="AV1208"/>
          <cell r="AW1208"/>
          <cell r="AX1208"/>
          <cell r="AY1208"/>
          <cell r="AZ1208"/>
        </row>
        <row r="1209">
          <cell r="A1209"/>
          <cell r="B1209"/>
          <cell r="C1209"/>
          <cell r="D1209"/>
          <cell r="E1209"/>
          <cell r="F1209"/>
          <cell r="G1209"/>
          <cell r="H1209"/>
          <cell r="I1209"/>
          <cell r="J1209"/>
          <cell r="K1209"/>
          <cell r="L1209"/>
          <cell r="M1209"/>
          <cell r="N1209"/>
          <cell r="O1209"/>
          <cell r="P1209"/>
          <cell r="Q1209"/>
          <cell r="R1209"/>
          <cell r="S1209"/>
          <cell r="T1209"/>
          <cell r="U1209"/>
          <cell r="V1209"/>
          <cell r="W1209"/>
          <cell r="X1209"/>
          <cell r="Y1209"/>
          <cell r="Z1209"/>
          <cell r="AA1209"/>
          <cell r="AB1209"/>
          <cell r="AC1209"/>
          <cell r="AD1209"/>
          <cell r="AE1209"/>
          <cell r="AF1209"/>
          <cell r="AG1209"/>
          <cell r="AH1209"/>
          <cell r="AI1209"/>
          <cell r="AJ1209"/>
          <cell r="AK1209"/>
          <cell r="AL1209"/>
          <cell r="AM1209"/>
          <cell r="AN1209"/>
          <cell r="AO1209"/>
          <cell r="AP1209"/>
          <cell r="AQ1209"/>
          <cell r="AR1209"/>
          <cell r="AS1209"/>
          <cell r="AT1209"/>
          <cell r="AU1209"/>
          <cell r="AV1209"/>
          <cell r="AW1209"/>
          <cell r="AX1209"/>
          <cell r="AY1209"/>
          <cell r="AZ1209"/>
        </row>
        <row r="1210">
          <cell r="A1210"/>
          <cell r="B1210"/>
          <cell r="C1210"/>
          <cell r="D1210"/>
          <cell r="E1210"/>
          <cell r="F1210"/>
          <cell r="G1210"/>
          <cell r="H1210"/>
          <cell r="I1210"/>
          <cell r="J1210"/>
          <cell r="K1210"/>
          <cell r="L1210"/>
          <cell r="M1210"/>
          <cell r="N1210"/>
          <cell r="O1210"/>
          <cell r="P1210"/>
          <cell r="Q1210"/>
          <cell r="R1210"/>
          <cell r="S1210"/>
          <cell r="T1210"/>
          <cell r="U1210"/>
          <cell r="V1210"/>
          <cell r="W1210"/>
          <cell r="X1210"/>
          <cell r="Y1210"/>
          <cell r="Z1210"/>
          <cell r="AA1210"/>
          <cell r="AB1210"/>
          <cell r="AC1210"/>
          <cell r="AD1210"/>
          <cell r="AE1210"/>
          <cell r="AF1210"/>
          <cell r="AG1210"/>
          <cell r="AH1210"/>
          <cell r="AI1210"/>
          <cell r="AJ1210"/>
          <cell r="AK1210"/>
          <cell r="AL1210"/>
          <cell r="AM1210"/>
          <cell r="AN1210"/>
          <cell r="AO1210"/>
          <cell r="AP1210"/>
          <cell r="AQ1210"/>
          <cell r="AR1210"/>
          <cell r="AS1210"/>
          <cell r="AT1210"/>
          <cell r="AU1210"/>
          <cell r="AV1210"/>
          <cell r="AW1210"/>
          <cell r="AX1210"/>
          <cell r="AY1210"/>
          <cell r="AZ1210"/>
        </row>
        <row r="1211">
          <cell r="A1211"/>
          <cell r="B1211"/>
          <cell r="C1211"/>
          <cell r="D1211"/>
          <cell r="E1211"/>
          <cell r="F1211"/>
          <cell r="G1211"/>
          <cell r="H1211"/>
          <cell r="I1211"/>
          <cell r="J1211"/>
          <cell r="K1211"/>
          <cell r="L1211"/>
          <cell r="M1211"/>
          <cell r="N1211"/>
          <cell r="O1211"/>
          <cell r="P1211"/>
          <cell r="Q1211"/>
          <cell r="R1211"/>
          <cell r="S1211"/>
          <cell r="T1211"/>
          <cell r="U1211"/>
          <cell r="V1211"/>
          <cell r="W1211"/>
          <cell r="X1211"/>
          <cell r="Y1211"/>
          <cell r="Z1211"/>
          <cell r="AA1211"/>
          <cell r="AB1211"/>
          <cell r="AC1211"/>
          <cell r="AD1211"/>
          <cell r="AE1211"/>
          <cell r="AF1211"/>
          <cell r="AG1211"/>
          <cell r="AH1211"/>
          <cell r="AI1211"/>
          <cell r="AJ1211"/>
          <cell r="AK1211"/>
          <cell r="AL1211"/>
          <cell r="AM1211"/>
          <cell r="AN1211"/>
          <cell r="AO1211"/>
          <cell r="AP1211"/>
          <cell r="AQ1211"/>
          <cell r="AR1211"/>
          <cell r="AS1211"/>
          <cell r="AT1211"/>
          <cell r="AU1211"/>
          <cell r="AV1211"/>
          <cell r="AW1211"/>
          <cell r="AX1211"/>
          <cell r="AY1211"/>
          <cell r="AZ1211"/>
        </row>
        <row r="1212">
          <cell r="A1212"/>
          <cell r="B1212"/>
          <cell r="C1212"/>
          <cell r="D1212"/>
          <cell r="E1212"/>
          <cell r="F1212"/>
          <cell r="G1212"/>
          <cell r="H1212"/>
          <cell r="I1212"/>
          <cell r="J1212"/>
          <cell r="K1212"/>
          <cell r="L1212"/>
          <cell r="M1212"/>
          <cell r="N1212"/>
          <cell r="O1212"/>
          <cell r="P1212"/>
          <cell r="Q1212"/>
          <cell r="R1212"/>
          <cell r="S1212"/>
          <cell r="T1212"/>
          <cell r="U1212"/>
          <cell r="V1212"/>
          <cell r="W1212"/>
          <cell r="X1212"/>
          <cell r="Y1212"/>
          <cell r="Z1212"/>
          <cell r="AA1212"/>
          <cell r="AB1212"/>
          <cell r="AC1212"/>
          <cell r="AD1212"/>
          <cell r="AE1212"/>
          <cell r="AF1212"/>
          <cell r="AG1212"/>
          <cell r="AH1212"/>
          <cell r="AI1212"/>
          <cell r="AJ1212"/>
          <cell r="AK1212"/>
          <cell r="AL1212"/>
          <cell r="AM1212"/>
          <cell r="AN1212"/>
          <cell r="AO1212"/>
          <cell r="AP1212"/>
          <cell r="AQ1212"/>
          <cell r="AR1212"/>
          <cell r="AS1212"/>
          <cell r="AT1212"/>
          <cell r="AU1212"/>
          <cell r="AV1212"/>
          <cell r="AW1212"/>
          <cell r="AX1212"/>
          <cell r="AY1212"/>
          <cell r="AZ1212"/>
        </row>
        <row r="1213">
          <cell r="A1213"/>
          <cell r="B1213"/>
          <cell r="C1213"/>
          <cell r="D1213"/>
          <cell r="E1213"/>
          <cell r="F1213"/>
          <cell r="G1213"/>
          <cell r="H1213"/>
          <cell r="I1213"/>
          <cell r="J1213"/>
          <cell r="K1213"/>
          <cell r="L1213"/>
          <cell r="M1213"/>
          <cell r="N1213"/>
          <cell r="O1213"/>
          <cell r="P1213"/>
          <cell r="Q1213"/>
          <cell r="R1213"/>
          <cell r="S1213"/>
          <cell r="T1213"/>
          <cell r="U1213"/>
          <cell r="V1213"/>
          <cell r="W1213"/>
          <cell r="X1213"/>
          <cell r="Y1213"/>
          <cell r="Z1213"/>
          <cell r="AA1213"/>
          <cell r="AB1213"/>
          <cell r="AC1213"/>
          <cell r="AD1213"/>
          <cell r="AE1213"/>
          <cell r="AF1213"/>
          <cell r="AG1213"/>
          <cell r="AH1213"/>
          <cell r="AI1213"/>
          <cell r="AJ1213"/>
          <cell r="AK1213"/>
          <cell r="AL1213"/>
          <cell r="AM1213"/>
          <cell r="AN1213"/>
          <cell r="AO1213"/>
          <cell r="AP1213"/>
          <cell r="AQ1213"/>
          <cell r="AR1213"/>
          <cell r="AS1213"/>
          <cell r="AT1213"/>
          <cell r="AU1213"/>
          <cell r="AV1213"/>
          <cell r="AW1213"/>
          <cell r="AX1213"/>
          <cell r="AY1213"/>
          <cell r="AZ1213"/>
        </row>
        <row r="1214">
          <cell r="A1214"/>
          <cell r="B1214"/>
          <cell r="C1214"/>
          <cell r="D1214"/>
          <cell r="E1214"/>
          <cell r="F1214"/>
          <cell r="G1214"/>
          <cell r="H1214"/>
          <cell r="I1214"/>
          <cell r="J1214"/>
          <cell r="K1214"/>
          <cell r="L1214"/>
          <cell r="M1214"/>
          <cell r="N1214"/>
          <cell r="O1214"/>
          <cell r="P1214"/>
          <cell r="Q1214"/>
          <cell r="R1214"/>
          <cell r="S1214"/>
          <cell r="T1214"/>
          <cell r="U1214"/>
          <cell r="V1214"/>
          <cell r="W1214"/>
          <cell r="X1214"/>
          <cell r="Y1214"/>
          <cell r="Z1214"/>
          <cell r="AA1214"/>
          <cell r="AB1214"/>
          <cell r="AC1214"/>
          <cell r="AD1214"/>
          <cell r="AE1214"/>
          <cell r="AF1214"/>
          <cell r="AG1214"/>
          <cell r="AH1214"/>
          <cell r="AI1214"/>
          <cell r="AJ1214"/>
          <cell r="AK1214"/>
          <cell r="AL1214"/>
          <cell r="AM1214"/>
          <cell r="AN1214"/>
          <cell r="AO1214"/>
          <cell r="AP1214"/>
          <cell r="AQ1214"/>
          <cell r="AR1214"/>
          <cell r="AS1214"/>
          <cell r="AT1214"/>
          <cell r="AU1214"/>
          <cell r="AV1214"/>
          <cell r="AW1214"/>
          <cell r="AX1214"/>
          <cell r="AY1214"/>
          <cell r="AZ1214"/>
        </row>
        <row r="1215">
          <cell r="A1215"/>
          <cell r="B1215"/>
          <cell r="C1215"/>
          <cell r="D1215"/>
          <cell r="E1215"/>
          <cell r="F1215"/>
          <cell r="G1215"/>
          <cell r="H1215"/>
          <cell r="I1215"/>
          <cell r="J1215"/>
          <cell r="K1215"/>
          <cell r="L1215"/>
          <cell r="M1215"/>
          <cell r="N1215"/>
          <cell r="O1215"/>
          <cell r="P1215"/>
          <cell r="Q1215"/>
          <cell r="R1215"/>
          <cell r="S1215"/>
          <cell r="T1215"/>
          <cell r="U1215"/>
          <cell r="V1215"/>
          <cell r="W1215"/>
          <cell r="X1215"/>
          <cell r="Y1215"/>
          <cell r="Z1215"/>
          <cell r="AA1215"/>
          <cell r="AB1215"/>
          <cell r="AC1215"/>
          <cell r="AD1215"/>
          <cell r="AE1215"/>
          <cell r="AF1215"/>
          <cell r="AG1215"/>
          <cell r="AH1215"/>
          <cell r="AI1215"/>
          <cell r="AJ1215"/>
          <cell r="AK1215"/>
          <cell r="AL1215"/>
          <cell r="AM1215"/>
          <cell r="AN1215"/>
          <cell r="AO1215"/>
          <cell r="AP1215"/>
          <cell r="AQ1215"/>
          <cell r="AR1215"/>
          <cell r="AS1215"/>
          <cell r="AT1215"/>
          <cell r="AU1215"/>
          <cell r="AV1215"/>
          <cell r="AW1215"/>
          <cell r="AX1215"/>
          <cell r="AY1215"/>
          <cell r="AZ1215"/>
        </row>
        <row r="1216">
          <cell r="A1216"/>
          <cell r="B1216"/>
          <cell r="C1216"/>
          <cell r="D1216"/>
          <cell r="E1216"/>
          <cell r="F1216"/>
          <cell r="G1216"/>
          <cell r="H1216"/>
          <cell r="I1216"/>
          <cell r="J1216"/>
          <cell r="K1216"/>
          <cell r="L1216"/>
          <cell r="M1216"/>
          <cell r="N1216"/>
          <cell r="O1216"/>
          <cell r="P1216"/>
          <cell r="Q1216"/>
          <cell r="R1216"/>
          <cell r="S1216"/>
          <cell r="T1216"/>
          <cell r="U1216"/>
          <cell r="V1216"/>
          <cell r="W1216"/>
          <cell r="X1216"/>
          <cell r="Y1216"/>
          <cell r="Z1216"/>
          <cell r="AA1216"/>
          <cell r="AB1216"/>
          <cell r="AC1216"/>
          <cell r="AD1216"/>
          <cell r="AE1216"/>
          <cell r="AF1216"/>
          <cell r="AG1216"/>
          <cell r="AH1216"/>
          <cell r="AI1216"/>
          <cell r="AJ1216"/>
          <cell r="AK1216"/>
          <cell r="AL1216"/>
          <cell r="AM1216"/>
          <cell r="AN1216"/>
          <cell r="AO1216"/>
          <cell r="AP1216"/>
          <cell r="AQ1216"/>
          <cell r="AR1216"/>
          <cell r="AS1216"/>
          <cell r="AT1216"/>
          <cell r="AU1216"/>
          <cell r="AV1216"/>
          <cell r="AW1216"/>
          <cell r="AX1216"/>
          <cell r="AY1216"/>
          <cell r="AZ1216"/>
        </row>
        <row r="1217">
          <cell r="A1217"/>
          <cell r="B1217"/>
          <cell r="C1217"/>
          <cell r="D1217"/>
          <cell r="E1217"/>
          <cell r="F1217"/>
          <cell r="G1217"/>
          <cell r="H1217"/>
          <cell r="I1217"/>
          <cell r="J1217"/>
          <cell r="K1217"/>
          <cell r="L1217"/>
          <cell r="M1217"/>
          <cell r="N1217"/>
          <cell r="O1217"/>
          <cell r="P1217"/>
          <cell r="Q1217"/>
          <cell r="R1217"/>
          <cell r="S1217"/>
          <cell r="T1217"/>
          <cell r="U1217"/>
          <cell r="V1217"/>
          <cell r="W1217"/>
          <cell r="X1217"/>
          <cell r="Y1217"/>
          <cell r="Z1217"/>
          <cell r="AA1217"/>
          <cell r="AB1217"/>
          <cell r="AC1217"/>
          <cell r="AD1217"/>
          <cell r="AE1217"/>
          <cell r="AF1217"/>
          <cell r="AG1217"/>
          <cell r="AH1217"/>
          <cell r="AI1217"/>
          <cell r="AJ1217"/>
          <cell r="AK1217"/>
          <cell r="AL1217"/>
          <cell r="AM1217"/>
          <cell r="AN1217"/>
          <cell r="AO1217"/>
          <cell r="AP1217"/>
          <cell r="AQ1217"/>
          <cell r="AR1217"/>
          <cell r="AS1217"/>
          <cell r="AT1217"/>
          <cell r="AU1217"/>
          <cell r="AV1217"/>
          <cell r="AW1217"/>
          <cell r="AX1217"/>
          <cell r="AY1217"/>
          <cell r="AZ1217"/>
        </row>
        <row r="1218">
          <cell r="A1218"/>
          <cell r="B1218"/>
          <cell r="C1218"/>
          <cell r="D1218"/>
          <cell r="E1218"/>
          <cell r="F1218"/>
          <cell r="G1218"/>
          <cell r="H1218"/>
          <cell r="I1218"/>
          <cell r="J1218"/>
          <cell r="K1218"/>
          <cell r="L1218"/>
          <cell r="M1218"/>
          <cell r="N1218"/>
          <cell r="O1218"/>
          <cell r="P1218"/>
          <cell r="Q1218"/>
          <cell r="R1218"/>
          <cell r="S1218"/>
          <cell r="T1218"/>
          <cell r="U1218"/>
          <cell r="V1218"/>
          <cell r="W1218"/>
          <cell r="X1218"/>
          <cell r="Y1218"/>
          <cell r="Z1218"/>
          <cell r="AA1218"/>
          <cell r="AB1218"/>
          <cell r="AC1218"/>
          <cell r="AD1218"/>
          <cell r="AE1218"/>
          <cell r="AF1218"/>
          <cell r="AG1218"/>
          <cell r="AH1218"/>
          <cell r="AI1218"/>
          <cell r="AJ1218"/>
          <cell r="AK1218"/>
          <cell r="AL1218"/>
          <cell r="AM1218"/>
          <cell r="AN1218"/>
          <cell r="AO1218"/>
          <cell r="AP1218"/>
          <cell r="AQ1218"/>
          <cell r="AR1218"/>
          <cell r="AS1218"/>
          <cell r="AT1218"/>
          <cell r="AU1218"/>
          <cell r="AV1218"/>
          <cell r="AW1218"/>
          <cell r="AX1218"/>
          <cell r="AY1218"/>
          <cell r="AZ1218"/>
        </row>
        <row r="1219">
          <cell r="A1219"/>
          <cell r="B1219"/>
          <cell r="C1219"/>
          <cell r="D1219"/>
          <cell r="E1219"/>
          <cell r="F1219"/>
          <cell r="G1219"/>
          <cell r="H1219"/>
          <cell r="I1219"/>
          <cell r="J1219"/>
          <cell r="K1219"/>
          <cell r="L1219"/>
          <cell r="M1219"/>
          <cell r="N1219"/>
          <cell r="O1219"/>
          <cell r="P1219"/>
          <cell r="Q1219"/>
          <cell r="R1219"/>
          <cell r="S1219"/>
          <cell r="T1219"/>
          <cell r="U1219"/>
          <cell r="V1219"/>
          <cell r="W1219"/>
          <cell r="X1219"/>
          <cell r="Y1219"/>
          <cell r="Z1219"/>
          <cell r="AA1219"/>
          <cell r="AB1219"/>
          <cell r="AC1219"/>
          <cell r="AD1219"/>
          <cell r="AE1219"/>
          <cell r="AF1219"/>
          <cell r="AG1219"/>
          <cell r="AH1219"/>
          <cell r="AI1219"/>
          <cell r="AJ1219"/>
          <cell r="AK1219"/>
          <cell r="AL1219"/>
          <cell r="AM1219"/>
          <cell r="AN1219"/>
          <cell r="AO1219"/>
          <cell r="AP1219"/>
          <cell r="AQ1219"/>
          <cell r="AR1219"/>
          <cell r="AS1219"/>
          <cell r="AT1219"/>
          <cell r="AU1219"/>
          <cell r="AV1219"/>
          <cell r="AW1219"/>
          <cell r="AX1219"/>
          <cell r="AY1219"/>
          <cell r="AZ1219"/>
        </row>
        <row r="1220">
          <cell r="A1220"/>
          <cell r="B1220"/>
          <cell r="C1220"/>
          <cell r="D1220"/>
          <cell r="E1220"/>
          <cell r="F1220"/>
          <cell r="G1220"/>
          <cell r="H1220"/>
          <cell r="I1220"/>
          <cell r="J1220"/>
          <cell r="K1220"/>
          <cell r="L1220"/>
          <cell r="M1220"/>
          <cell r="N1220"/>
          <cell r="O1220"/>
          <cell r="P1220"/>
          <cell r="Q1220"/>
          <cell r="R1220"/>
          <cell r="S1220"/>
          <cell r="T1220"/>
          <cell r="U1220"/>
          <cell r="V1220"/>
          <cell r="W1220"/>
          <cell r="X1220"/>
          <cell r="Y1220"/>
          <cell r="Z1220"/>
          <cell r="AA1220"/>
          <cell r="AB1220"/>
          <cell r="AC1220"/>
          <cell r="AD1220"/>
          <cell r="AE1220"/>
          <cell r="AF1220"/>
          <cell r="AG1220"/>
          <cell r="AH1220"/>
          <cell r="AI1220"/>
          <cell r="AJ1220"/>
          <cell r="AK1220"/>
          <cell r="AL1220"/>
          <cell r="AM1220"/>
          <cell r="AN1220"/>
          <cell r="AO1220"/>
          <cell r="AP1220"/>
          <cell r="AQ1220"/>
          <cell r="AR1220"/>
          <cell r="AS1220"/>
          <cell r="AT1220"/>
          <cell r="AU1220"/>
          <cell r="AV1220"/>
          <cell r="AW1220"/>
          <cell r="AX1220"/>
          <cell r="AY1220"/>
          <cell r="AZ1220"/>
        </row>
        <row r="1221">
          <cell r="A1221"/>
          <cell r="B1221"/>
          <cell r="C1221"/>
          <cell r="D1221"/>
          <cell r="E1221"/>
          <cell r="F1221"/>
          <cell r="G1221"/>
          <cell r="H1221"/>
          <cell r="I1221"/>
          <cell r="J1221"/>
          <cell r="K1221"/>
          <cell r="L1221"/>
          <cell r="M1221"/>
          <cell r="N1221"/>
          <cell r="O1221"/>
          <cell r="P1221"/>
          <cell r="Q1221"/>
          <cell r="R1221"/>
          <cell r="S1221"/>
          <cell r="T1221"/>
          <cell r="U1221"/>
          <cell r="V1221"/>
          <cell r="W1221"/>
          <cell r="X1221"/>
          <cell r="Y1221"/>
          <cell r="Z1221"/>
          <cell r="AA1221"/>
          <cell r="AB1221"/>
          <cell r="AC1221"/>
          <cell r="AD1221"/>
          <cell r="AE1221"/>
          <cell r="AF1221"/>
          <cell r="AG1221"/>
          <cell r="AH1221"/>
          <cell r="AI1221"/>
          <cell r="AJ1221"/>
          <cell r="AK1221"/>
          <cell r="AL1221"/>
          <cell r="AM1221"/>
          <cell r="AN1221"/>
          <cell r="AO1221"/>
          <cell r="AP1221"/>
          <cell r="AQ1221"/>
          <cell r="AR1221"/>
          <cell r="AS1221"/>
          <cell r="AT1221"/>
          <cell r="AU1221"/>
          <cell r="AV1221"/>
          <cell r="AW1221"/>
          <cell r="AX1221"/>
          <cell r="AY1221"/>
          <cell r="AZ1221"/>
        </row>
        <row r="1222">
          <cell r="A1222"/>
          <cell r="B1222"/>
          <cell r="C1222"/>
          <cell r="D1222"/>
          <cell r="E1222"/>
          <cell r="F1222"/>
          <cell r="G1222"/>
          <cell r="H1222"/>
          <cell r="I1222"/>
          <cell r="J1222"/>
          <cell r="K1222"/>
          <cell r="L1222"/>
          <cell r="M1222"/>
          <cell r="N1222"/>
          <cell r="O1222"/>
          <cell r="P1222"/>
          <cell r="Q1222"/>
          <cell r="R1222"/>
          <cell r="S1222"/>
          <cell r="T1222"/>
          <cell r="U1222"/>
          <cell r="V1222"/>
          <cell r="W1222"/>
          <cell r="X1222"/>
          <cell r="Y1222"/>
          <cell r="Z1222"/>
          <cell r="AA1222"/>
          <cell r="AB1222"/>
          <cell r="AC1222"/>
          <cell r="AD1222"/>
          <cell r="AE1222"/>
          <cell r="AF1222"/>
          <cell r="AG1222"/>
          <cell r="AH1222"/>
          <cell r="AI1222"/>
          <cell r="AJ1222"/>
          <cell r="AK1222"/>
          <cell r="AL1222"/>
          <cell r="AM1222"/>
          <cell r="AN1222"/>
          <cell r="AO1222"/>
          <cell r="AP1222"/>
          <cell r="AQ1222"/>
          <cell r="AR1222"/>
          <cell r="AS1222"/>
          <cell r="AT1222"/>
          <cell r="AU1222"/>
          <cell r="AV1222"/>
          <cell r="AW1222"/>
          <cell r="AX1222"/>
          <cell r="AY1222"/>
          <cell r="AZ1222"/>
        </row>
        <row r="1223">
          <cell r="A1223"/>
          <cell r="B1223"/>
          <cell r="C1223"/>
          <cell r="D1223"/>
          <cell r="E1223"/>
          <cell r="F1223"/>
          <cell r="G1223"/>
          <cell r="H1223"/>
          <cell r="I1223"/>
          <cell r="J1223"/>
          <cell r="K1223"/>
          <cell r="L1223"/>
          <cell r="M1223"/>
          <cell r="N1223"/>
          <cell r="O1223"/>
          <cell r="P1223"/>
          <cell r="Q1223"/>
          <cell r="R1223"/>
          <cell r="S1223"/>
          <cell r="T1223"/>
          <cell r="U1223"/>
          <cell r="V1223"/>
          <cell r="W1223"/>
          <cell r="X1223"/>
          <cell r="Y1223"/>
          <cell r="Z1223"/>
          <cell r="AA1223"/>
          <cell r="AB1223"/>
          <cell r="AC1223"/>
          <cell r="AD1223"/>
          <cell r="AE1223"/>
          <cell r="AF1223"/>
          <cell r="AG1223"/>
          <cell r="AH1223"/>
          <cell r="AI1223"/>
          <cell r="AJ1223"/>
          <cell r="AK1223"/>
          <cell r="AL1223"/>
          <cell r="AM1223"/>
          <cell r="AN1223"/>
          <cell r="AO1223"/>
          <cell r="AP1223"/>
          <cell r="AQ1223"/>
          <cell r="AR1223"/>
          <cell r="AS1223"/>
          <cell r="AT1223"/>
          <cell r="AU1223"/>
          <cell r="AV1223"/>
          <cell r="AW1223"/>
          <cell r="AX1223"/>
          <cell r="AY1223"/>
          <cell r="AZ1223"/>
        </row>
        <row r="1224">
          <cell r="A1224"/>
          <cell r="B1224"/>
          <cell r="C1224"/>
          <cell r="D1224"/>
          <cell r="E1224"/>
          <cell r="F1224"/>
          <cell r="G1224"/>
          <cell r="H1224"/>
          <cell r="I1224"/>
          <cell r="J1224"/>
          <cell r="K1224"/>
          <cell r="L1224"/>
          <cell r="M1224"/>
          <cell r="N1224"/>
          <cell r="O1224"/>
          <cell r="P1224"/>
          <cell r="Q1224"/>
          <cell r="R1224"/>
          <cell r="S1224"/>
          <cell r="T1224"/>
          <cell r="U1224"/>
          <cell r="V1224"/>
          <cell r="W1224"/>
          <cell r="X1224"/>
          <cell r="Y1224"/>
          <cell r="Z1224"/>
          <cell r="AA1224"/>
          <cell r="AB1224"/>
          <cell r="AC1224"/>
          <cell r="AD1224"/>
          <cell r="AE1224"/>
          <cell r="AF1224"/>
          <cell r="AG1224"/>
          <cell r="AH1224"/>
          <cell r="AI1224"/>
          <cell r="AJ1224"/>
          <cell r="AK1224"/>
          <cell r="AL1224"/>
          <cell r="AM1224"/>
          <cell r="AN1224"/>
          <cell r="AO1224"/>
          <cell r="AP1224"/>
          <cell r="AQ1224"/>
          <cell r="AR1224"/>
          <cell r="AS1224"/>
          <cell r="AT1224"/>
          <cell r="AU1224"/>
          <cell r="AV1224"/>
          <cell r="AW1224"/>
          <cell r="AX1224"/>
          <cell r="AY1224"/>
          <cell r="AZ1224"/>
        </row>
        <row r="1225">
          <cell r="A1225"/>
          <cell r="B1225"/>
          <cell r="C1225"/>
          <cell r="D1225"/>
          <cell r="E1225"/>
          <cell r="F1225"/>
          <cell r="G1225"/>
          <cell r="H1225"/>
          <cell r="I1225"/>
          <cell r="J1225"/>
          <cell r="K1225"/>
          <cell r="L1225"/>
          <cell r="M1225"/>
          <cell r="N1225"/>
          <cell r="O1225"/>
          <cell r="P1225"/>
          <cell r="Q1225"/>
          <cell r="R1225"/>
          <cell r="S1225"/>
          <cell r="T1225"/>
          <cell r="U1225"/>
          <cell r="V1225"/>
          <cell r="W1225"/>
          <cell r="X1225"/>
          <cell r="Y1225"/>
          <cell r="Z1225"/>
          <cell r="AA1225"/>
          <cell r="AB1225"/>
          <cell r="AC1225"/>
          <cell r="AD1225"/>
          <cell r="AE1225"/>
          <cell r="AF1225"/>
          <cell r="AG1225"/>
          <cell r="AH1225"/>
          <cell r="AI1225"/>
          <cell r="AJ1225"/>
          <cell r="AK1225"/>
          <cell r="AL1225"/>
          <cell r="AM1225"/>
          <cell r="AN1225"/>
          <cell r="AO1225"/>
          <cell r="AP1225"/>
          <cell r="AQ1225"/>
          <cell r="AR1225"/>
          <cell r="AS1225"/>
          <cell r="AT1225"/>
          <cell r="AU1225"/>
          <cell r="AV1225"/>
          <cell r="AW1225"/>
          <cell r="AX1225"/>
          <cell r="AY1225"/>
          <cell r="AZ1225"/>
        </row>
        <row r="1226">
          <cell r="A1226"/>
          <cell r="B1226"/>
          <cell r="C1226"/>
          <cell r="D1226"/>
          <cell r="E1226"/>
          <cell r="F1226"/>
          <cell r="G1226"/>
          <cell r="H1226"/>
          <cell r="I1226"/>
          <cell r="J1226"/>
          <cell r="K1226"/>
          <cell r="L1226"/>
          <cell r="M1226"/>
          <cell r="N1226"/>
          <cell r="O1226"/>
          <cell r="P1226"/>
          <cell r="Q1226"/>
          <cell r="R1226"/>
          <cell r="S1226"/>
          <cell r="T1226"/>
          <cell r="U1226"/>
          <cell r="V1226"/>
          <cell r="W1226"/>
          <cell r="X1226"/>
          <cell r="Y1226"/>
          <cell r="Z1226"/>
          <cell r="AA1226"/>
          <cell r="AB1226"/>
          <cell r="AC1226"/>
          <cell r="AD1226"/>
          <cell r="AE1226"/>
          <cell r="AF1226"/>
          <cell r="AG1226"/>
          <cell r="AH1226"/>
          <cell r="AI1226"/>
          <cell r="AJ1226"/>
          <cell r="AK1226"/>
          <cell r="AL1226"/>
          <cell r="AM1226"/>
          <cell r="AN1226"/>
          <cell r="AO1226"/>
          <cell r="AP1226"/>
          <cell r="AQ1226"/>
          <cell r="AR1226"/>
          <cell r="AS1226"/>
          <cell r="AT1226"/>
          <cell r="AU1226"/>
          <cell r="AV1226"/>
          <cell r="AW1226"/>
          <cell r="AX1226"/>
          <cell r="AY1226"/>
          <cell r="AZ1226"/>
        </row>
        <row r="1227">
          <cell r="A1227"/>
          <cell r="B1227"/>
          <cell r="C1227"/>
          <cell r="D1227"/>
          <cell r="E1227"/>
          <cell r="F1227"/>
          <cell r="G1227"/>
          <cell r="H1227"/>
          <cell r="I1227"/>
          <cell r="J1227"/>
          <cell r="K1227"/>
          <cell r="L1227"/>
          <cell r="M1227"/>
          <cell r="N1227"/>
          <cell r="O1227"/>
          <cell r="P1227"/>
          <cell r="Q1227"/>
          <cell r="R1227"/>
          <cell r="S1227"/>
          <cell r="T1227"/>
          <cell r="U1227"/>
          <cell r="V1227"/>
          <cell r="W1227"/>
          <cell r="X1227"/>
          <cell r="Y1227"/>
          <cell r="Z1227"/>
          <cell r="AA1227"/>
          <cell r="AB1227"/>
          <cell r="AC1227"/>
          <cell r="AD1227"/>
          <cell r="AE1227"/>
          <cell r="AF1227"/>
          <cell r="AG1227"/>
          <cell r="AH1227"/>
          <cell r="AI1227"/>
          <cell r="AJ1227"/>
          <cell r="AK1227"/>
          <cell r="AL1227"/>
          <cell r="AM1227"/>
          <cell r="AN1227"/>
          <cell r="AO1227"/>
          <cell r="AP1227"/>
          <cell r="AQ1227"/>
          <cell r="AR1227"/>
          <cell r="AS1227"/>
          <cell r="AT1227"/>
          <cell r="AU1227"/>
          <cell r="AV1227"/>
          <cell r="AW1227"/>
          <cell r="AX1227"/>
          <cell r="AY1227"/>
          <cell r="AZ1227"/>
        </row>
        <row r="1228">
          <cell r="A1228"/>
          <cell r="B1228"/>
          <cell r="C1228"/>
          <cell r="D1228"/>
          <cell r="E1228"/>
          <cell r="F1228"/>
          <cell r="G1228"/>
          <cell r="H1228"/>
          <cell r="I1228"/>
          <cell r="J1228"/>
          <cell r="K1228"/>
          <cell r="L1228"/>
          <cell r="M1228"/>
          <cell r="N1228"/>
          <cell r="O1228"/>
          <cell r="P1228"/>
          <cell r="Q1228"/>
          <cell r="R1228"/>
          <cell r="S1228"/>
          <cell r="T1228"/>
          <cell r="U1228"/>
          <cell r="V1228"/>
          <cell r="W1228"/>
          <cell r="X1228"/>
          <cell r="Y1228"/>
          <cell r="Z1228"/>
          <cell r="AA1228"/>
          <cell r="AB1228"/>
          <cell r="AC1228"/>
          <cell r="AD1228"/>
          <cell r="AE1228"/>
          <cell r="AF1228"/>
          <cell r="AG1228"/>
          <cell r="AH1228"/>
          <cell r="AI1228"/>
          <cell r="AJ1228"/>
          <cell r="AK1228"/>
          <cell r="AL1228"/>
          <cell r="AM1228"/>
          <cell r="AN1228"/>
          <cell r="AO1228"/>
          <cell r="AP1228"/>
          <cell r="AQ1228"/>
          <cell r="AR1228"/>
          <cell r="AS1228"/>
          <cell r="AT1228"/>
          <cell r="AU1228"/>
          <cell r="AV1228"/>
          <cell r="AW1228"/>
          <cell r="AX1228"/>
          <cell r="AY1228"/>
          <cell r="AZ1228"/>
        </row>
        <row r="1229">
          <cell r="A1229"/>
          <cell r="B1229"/>
          <cell r="C1229"/>
          <cell r="D1229"/>
          <cell r="E1229"/>
          <cell r="F1229"/>
          <cell r="G1229"/>
          <cell r="H1229"/>
          <cell r="I1229"/>
          <cell r="J1229"/>
          <cell r="K1229"/>
          <cell r="L1229"/>
          <cell r="M1229"/>
          <cell r="N1229"/>
          <cell r="O1229"/>
          <cell r="P1229"/>
          <cell r="Q1229"/>
          <cell r="R1229"/>
          <cell r="S1229"/>
          <cell r="T1229"/>
          <cell r="U1229"/>
          <cell r="V1229"/>
          <cell r="W1229"/>
          <cell r="X1229"/>
          <cell r="Y1229"/>
          <cell r="Z1229"/>
          <cell r="AA1229"/>
          <cell r="AB1229"/>
          <cell r="AC1229"/>
          <cell r="AD1229"/>
          <cell r="AE1229"/>
          <cell r="AF1229"/>
          <cell r="AG1229"/>
          <cell r="AH1229"/>
          <cell r="AI1229"/>
          <cell r="AJ1229"/>
          <cell r="AK1229"/>
          <cell r="AL1229"/>
          <cell r="AM1229"/>
          <cell r="AN1229"/>
          <cell r="AO1229"/>
          <cell r="AP1229"/>
          <cell r="AQ1229"/>
          <cell r="AR1229"/>
          <cell r="AS1229"/>
          <cell r="AT1229"/>
          <cell r="AU1229"/>
          <cell r="AV1229"/>
          <cell r="AW1229"/>
          <cell r="AX1229"/>
          <cell r="AY1229"/>
          <cell r="AZ1229"/>
        </row>
        <row r="1230">
          <cell r="A1230"/>
          <cell r="B1230"/>
          <cell r="C1230"/>
          <cell r="D1230"/>
          <cell r="E1230"/>
          <cell r="F1230"/>
          <cell r="G1230"/>
          <cell r="H1230"/>
          <cell r="I1230"/>
          <cell r="J1230"/>
          <cell r="K1230"/>
          <cell r="L1230"/>
          <cell r="M1230"/>
          <cell r="N1230"/>
          <cell r="O1230"/>
          <cell r="P1230"/>
          <cell r="Q1230"/>
          <cell r="R1230"/>
          <cell r="S1230"/>
          <cell r="T1230"/>
          <cell r="U1230"/>
          <cell r="V1230"/>
          <cell r="W1230"/>
          <cell r="X1230"/>
          <cell r="Y1230"/>
          <cell r="Z1230"/>
          <cell r="AA1230"/>
          <cell r="AB1230"/>
          <cell r="AC1230"/>
          <cell r="AD1230"/>
          <cell r="AE1230"/>
          <cell r="AF1230"/>
          <cell r="AG1230"/>
          <cell r="AH1230"/>
          <cell r="AI1230"/>
          <cell r="AJ1230"/>
          <cell r="AK1230"/>
          <cell r="AL1230"/>
          <cell r="AM1230"/>
          <cell r="AN1230"/>
          <cell r="AO1230"/>
          <cell r="AP1230"/>
          <cell r="AQ1230"/>
          <cell r="AR1230"/>
          <cell r="AS1230"/>
          <cell r="AT1230"/>
          <cell r="AU1230"/>
          <cell r="AV1230"/>
          <cell r="AW1230"/>
          <cell r="AX1230"/>
          <cell r="AY1230"/>
          <cell r="AZ1230"/>
        </row>
        <row r="1231">
          <cell r="A1231"/>
          <cell r="B1231"/>
          <cell r="C1231"/>
          <cell r="D1231"/>
          <cell r="E1231"/>
          <cell r="F1231"/>
          <cell r="G1231"/>
          <cell r="H1231"/>
          <cell r="I1231"/>
          <cell r="J1231"/>
          <cell r="K1231"/>
          <cell r="L1231"/>
          <cell r="M1231"/>
          <cell r="N1231"/>
          <cell r="O1231"/>
          <cell r="P1231"/>
          <cell r="Q1231"/>
          <cell r="R1231"/>
          <cell r="S1231"/>
          <cell r="T1231"/>
          <cell r="U1231"/>
          <cell r="V1231"/>
          <cell r="W1231"/>
          <cell r="X1231"/>
          <cell r="Y1231"/>
          <cell r="Z1231"/>
          <cell r="AA1231"/>
          <cell r="AB1231"/>
          <cell r="AC1231"/>
          <cell r="AD1231"/>
          <cell r="AE1231"/>
          <cell r="AF1231"/>
          <cell r="AG1231"/>
          <cell r="AH1231"/>
          <cell r="AI1231"/>
          <cell r="AJ1231"/>
          <cell r="AK1231"/>
          <cell r="AL1231"/>
          <cell r="AM1231"/>
          <cell r="AN1231"/>
          <cell r="AO1231"/>
          <cell r="AP1231"/>
          <cell r="AQ1231"/>
          <cell r="AR1231"/>
          <cell r="AS1231"/>
          <cell r="AT1231"/>
          <cell r="AU1231"/>
          <cell r="AV1231"/>
          <cell r="AW1231"/>
          <cell r="AX1231"/>
          <cell r="AY1231"/>
          <cell r="AZ1231"/>
        </row>
        <row r="1232">
          <cell r="A1232"/>
          <cell r="B1232"/>
          <cell r="C1232"/>
          <cell r="D1232"/>
          <cell r="E1232"/>
          <cell r="F1232"/>
          <cell r="G1232"/>
          <cell r="H1232"/>
          <cell r="I1232"/>
          <cell r="J1232"/>
          <cell r="K1232"/>
          <cell r="L1232"/>
          <cell r="M1232"/>
          <cell r="N1232"/>
          <cell r="O1232"/>
          <cell r="P1232"/>
          <cell r="Q1232"/>
          <cell r="R1232"/>
          <cell r="S1232"/>
          <cell r="T1232"/>
          <cell r="U1232"/>
          <cell r="V1232"/>
          <cell r="W1232"/>
          <cell r="X1232"/>
          <cell r="Y1232"/>
          <cell r="Z1232"/>
          <cell r="AA1232"/>
          <cell r="AB1232"/>
          <cell r="AC1232"/>
          <cell r="AD1232"/>
          <cell r="AE1232"/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/>
          <cell r="AS1232"/>
          <cell r="AT1232"/>
          <cell r="AU1232"/>
          <cell r="AV1232"/>
          <cell r="AW1232"/>
          <cell r="AX1232"/>
          <cell r="AY1232"/>
          <cell r="AZ1232"/>
        </row>
        <row r="1233">
          <cell r="A1233"/>
          <cell r="B1233"/>
          <cell r="C1233"/>
          <cell r="D1233"/>
          <cell r="E1233"/>
          <cell r="F1233"/>
          <cell r="G1233"/>
          <cell r="H1233"/>
          <cell r="I1233"/>
          <cell r="J1233"/>
          <cell r="K1233"/>
          <cell r="L1233"/>
          <cell r="M1233"/>
          <cell r="N1233"/>
          <cell r="O1233"/>
          <cell r="P1233"/>
          <cell r="Q1233"/>
          <cell r="R1233"/>
          <cell r="S1233"/>
          <cell r="T1233"/>
          <cell r="U1233"/>
          <cell r="V1233"/>
          <cell r="W1233"/>
          <cell r="X1233"/>
          <cell r="Y1233"/>
          <cell r="Z1233"/>
          <cell r="AA1233"/>
          <cell r="AB1233"/>
          <cell r="AC1233"/>
          <cell r="AD1233"/>
          <cell r="AE1233"/>
          <cell r="AF1233"/>
          <cell r="AG1233"/>
          <cell r="AH1233"/>
          <cell r="AI1233"/>
          <cell r="AJ1233"/>
          <cell r="AK1233"/>
          <cell r="AL1233"/>
          <cell r="AM1233"/>
          <cell r="AN1233"/>
          <cell r="AO1233"/>
          <cell r="AP1233"/>
          <cell r="AQ1233"/>
          <cell r="AR1233"/>
          <cell r="AS1233"/>
          <cell r="AT1233"/>
          <cell r="AU1233"/>
          <cell r="AV1233"/>
          <cell r="AW1233"/>
          <cell r="AX1233"/>
          <cell r="AY1233"/>
          <cell r="AZ1233"/>
        </row>
        <row r="1234">
          <cell r="A1234"/>
          <cell r="B1234"/>
          <cell r="C1234"/>
          <cell r="D1234"/>
          <cell r="E1234"/>
          <cell r="F1234"/>
          <cell r="G1234"/>
          <cell r="H1234"/>
          <cell r="I1234"/>
          <cell r="J1234"/>
          <cell r="K1234"/>
          <cell r="L1234"/>
          <cell r="M1234"/>
          <cell r="N1234"/>
          <cell r="O1234"/>
          <cell r="P1234"/>
          <cell r="Q1234"/>
          <cell r="R1234"/>
          <cell r="S1234"/>
          <cell r="T1234"/>
          <cell r="U1234"/>
          <cell r="V1234"/>
          <cell r="W1234"/>
          <cell r="X1234"/>
          <cell r="Y1234"/>
          <cell r="Z1234"/>
          <cell r="AA1234"/>
          <cell r="AB1234"/>
          <cell r="AC1234"/>
          <cell r="AD1234"/>
          <cell r="AE1234"/>
          <cell r="AF1234"/>
          <cell r="AG1234"/>
          <cell r="AH1234"/>
          <cell r="AI1234"/>
          <cell r="AJ1234"/>
          <cell r="AK1234"/>
          <cell r="AL1234"/>
          <cell r="AM1234"/>
          <cell r="AN1234"/>
          <cell r="AO1234"/>
          <cell r="AP1234"/>
          <cell r="AQ1234"/>
          <cell r="AR1234"/>
          <cell r="AS1234"/>
          <cell r="AT1234"/>
          <cell r="AU1234"/>
          <cell r="AV1234"/>
          <cell r="AW1234"/>
          <cell r="AX1234"/>
          <cell r="AY1234"/>
          <cell r="AZ1234"/>
        </row>
        <row r="1235">
          <cell r="A1235"/>
          <cell r="B1235"/>
          <cell r="C1235"/>
          <cell r="D1235"/>
          <cell r="E1235"/>
          <cell r="F1235"/>
          <cell r="G1235"/>
          <cell r="H1235"/>
          <cell r="I1235"/>
          <cell r="J1235"/>
          <cell r="K1235"/>
          <cell r="L1235"/>
          <cell r="M1235"/>
          <cell r="N1235"/>
          <cell r="O1235"/>
          <cell r="P1235"/>
          <cell r="Q1235"/>
          <cell r="R1235"/>
          <cell r="S1235"/>
          <cell r="T1235"/>
          <cell r="U1235"/>
          <cell r="V1235"/>
          <cell r="W1235"/>
          <cell r="X1235"/>
          <cell r="Y1235"/>
          <cell r="Z1235"/>
          <cell r="AA1235"/>
          <cell r="AB1235"/>
          <cell r="AC1235"/>
          <cell r="AD1235"/>
          <cell r="AE1235"/>
          <cell r="AF1235"/>
          <cell r="AG1235"/>
          <cell r="AH1235"/>
          <cell r="AI1235"/>
          <cell r="AJ1235"/>
          <cell r="AK1235"/>
          <cell r="AL1235"/>
          <cell r="AM1235"/>
          <cell r="AN1235"/>
          <cell r="AO1235"/>
          <cell r="AP1235"/>
          <cell r="AQ1235"/>
          <cell r="AR1235"/>
          <cell r="AS1235"/>
          <cell r="AT1235"/>
          <cell r="AU1235"/>
          <cell r="AV1235"/>
          <cell r="AW1235"/>
          <cell r="AX1235"/>
          <cell r="AY1235"/>
          <cell r="AZ1235"/>
        </row>
        <row r="1236">
          <cell r="A1236"/>
          <cell r="B1236"/>
          <cell r="C1236"/>
          <cell r="D1236"/>
          <cell r="E1236"/>
          <cell r="F1236"/>
          <cell r="G1236"/>
          <cell r="H1236"/>
          <cell r="I1236"/>
          <cell r="J1236"/>
          <cell r="K1236"/>
          <cell r="L1236"/>
          <cell r="M1236"/>
          <cell r="N1236"/>
          <cell r="O1236"/>
          <cell r="P1236"/>
          <cell r="Q1236"/>
          <cell r="R1236"/>
          <cell r="S1236"/>
          <cell r="T1236"/>
          <cell r="U1236"/>
          <cell r="V1236"/>
          <cell r="W1236"/>
          <cell r="X1236"/>
          <cell r="Y1236"/>
          <cell r="Z1236"/>
          <cell r="AA1236"/>
          <cell r="AB1236"/>
          <cell r="AC1236"/>
          <cell r="AD1236"/>
          <cell r="AE1236"/>
          <cell r="AF1236"/>
          <cell r="AG1236"/>
          <cell r="AH1236"/>
          <cell r="AI1236"/>
          <cell r="AJ1236"/>
          <cell r="AK1236"/>
          <cell r="AL1236"/>
          <cell r="AM1236"/>
          <cell r="AN1236"/>
          <cell r="AO1236"/>
          <cell r="AP1236"/>
          <cell r="AQ1236"/>
          <cell r="AR1236"/>
          <cell r="AS1236"/>
          <cell r="AT1236"/>
          <cell r="AU1236"/>
          <cell r="AV1236"/>
          <cell r="AW1236"/>
          <cell r="AX1236"/>
          <cell r="AY1236"/>
          <cell r="AZ1236"/>
        </row>
        <row r="1237">
          <cell r="A1237"/>
          <cell r="B1237"/>
          <cell r="C1237"/>
          <cell r="D1237"/>
          <cell r="E1237"/>
          <cell r="F1237"/>
          <cell r="G1237"/>
          <cell r="H1237"/>
          <cell r="I1237"/>
          <cell r="J1237"/>
          <cell r="K1237"/>
          <cell r="L1237"/>
          <cell r="M1237"/>
          <cell r="N1237"/>
          <cell r="O1237"/>
          <cell r="P1237"/>
          <cell r="Q1237"/>
          <cell r="R1237"/>
          <cell r="S1237"/>
          <cell r="T1237"/>
          <cell r="U1237"/>
          <cell r="V1237"/>
          <cell r="W1237"/>
          <cell r="X1237"/>
          <cell r="Y1237"/>
          <cell r="Z1237"/>
          <cell r="AA1237"/>
          <cell r="AB1237"/>
          <cell r="AC1237"/>
          <cell r="AD1237"/>
          <cell r="AE1237"/>
          <cell r="AF1237"/>
          <cell r="AG1237"/>
          <cell r="AH1237"/>
          <cell r="AI1237"/>
          <cell r="AJ1237"/>
          <cell r="AK1237"/>
          <cell r="AL1237"/>
          <cell r="AM1237"/>
          <cell r="AN1237"/>
          <cell r="AO1237"/>
          <cell r="AP1237"/>
          <cell r="AQ1237"/>
          <cell r="AR1237"/>
          <cell r="AS1237"/>
          <cell r="AT1237"/>
          <cell r="AU1237"/>
          <cell r="AV1237"/>
          <cell r="AW1237"/>
          <cell r="AX1237"/>
          <cell r="AY1237"/>
          <cell r="AZ1237"/>
        </row>
        <row r="1238">
          <cell r="A1238"/>
          <cell r="B1238"/>
          <cell r="C1238"/>
          <cell r="D1238"/>
          <cell r="E1238"/>
          <cell r="F1238"/>
          <cell r="G1238"/>
          <cell r="H1238"/>
          <cell r="I1238"/>
          <cell r="J1238"/>
          <cell r="K1238"/>
          <cell r="L1238"/>
          <cell r="M1238"/>
          <cell r="N1238"/>
          <cell r="O1238"/>
          <cell r="P1238"/>
          <cell r="Q1238"/>
          <cell r="R1238"/>
          <cell r="S1238"/>
          <cell r="T1238"/>
          <cell r="U1238"/>
          <cell r="V1238"/>
          <cell r="W1238"/>
          <cell r="X1238"/>
          <cell r="Y1238"/>
          <cell r="Z1238"/>
          <cell r="AA1238"/>
          <cell r="AB1238"/>
          <cell r="AC1238"/>
          <cell r="AD1238"/>
          <cell r="AE1238"/>
          <cell r="AF1238"/>
          <cell r="AG1238"/>
          <cell r="AH1238"/>
          <cell r="AI1238"/>
          <cell r="AJ1238"/>
          <cell r="AK1238"/>
          <cell r="AL1238"/>
          <cell r="AM1238"/>
          <cell r="AN1238"/>
          <cell r="AO1238"/>
          <cell r="AP1238"/>
          <cell r="AQ1238"/>
          <cell r="AR1238"/>
          <cell r="AS1238"/>
          <cell r="AT1238"/>
          <cell r="AU1238"/>
          <cell r="AV1238"/>
          <cell r="AW1238"/>
          <cell r="AX1238"/>
          <cell r="AY1238"/>
          <cell r="AZ1238"/>
        </row>
        <row r="1239">
          <cell r="A1239"/>
          <cell r="B1239"/>
          <cell r="C1239"/>
          <cell r="D1239"/>
          <cell r="E1239"/>
          <cell r="F1239"/>
          <cell r="G1239"/>
          <cell r="H1239"/>
          <cell r="I1239"/>
          <cell r="J1239"/>
          <cell r="K1239"/>
          <cell r="L1239"/>
          <cell r="M1239"/>
          <cell r="N1239"/>
          <cell r="O1239"/>
          <cell r="P1239"/>
          <cell r="Q1239"/>
          <cell r="R1239"/>
          <cell r="S1239"/>
          <cell r="T1239"/>
          <cell r="U1239"/>
          <cell r="V1239"/>
          <cell r="W1239"/>
          <cell r="X1239"/>
          <cell r="Y1239"/>
          <cell r="Z1239"/>
          <cell r="AA1239"/>
          <cell r="AB1239"/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/>
          <cell r="AS1239"/>
          <cell r="AT1239"/>
          <cell r="AU1239"/>
          <cell r="AV1239"/>
          <cell r="AW1239"/>
          <cell r="AX1239"/>
          <cell r="AY1239"/>
          <cell r="AZ1239"/>
        </row>
        <row r="1240">
          <cell r="A1240"/>
          <cell r="B1240"/>
          <cell r="C1240"/>
          <cell r="D1240"/>
          <cell r="E1240"/>
          <cell r="F1240"/>
          <cell r="G1240"/>
          <cell r="H1240"/>
          <cell r="I1240"/>
          <cell r="J1240"/>
          <cell r="K1240"/>
          <cell r="L1240"/>
          <cell r="M1240"/>
          <cell r="N1240"/>
          <cell r="O1240"/>
          <cell r="P1240"/>
          <cell r="Q1240"/>
          <cell r="R1240"/>
          <cell r="S1240"/>
          <cell r="T1240"/>
          <cell r="U1240"/>
          <cell r="V1240"/>
          <cell r="W1240"/>
          <cell r="X1240"/>
          <cell r="Y1240"/>
          <cell r="Z1240"/>
          <cell r="AA1240"/>
          <cell r="AB1240"/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/>
          <cell r="AS1240"/>
          <cell r="AT1240"/>
          <cell r="AU1240"/>
          <cell r="AV1240"/>
          <cell r="AW1240"/>
          <cell r="AX1240"/>
          <cell r="AY1240"/>
          <cell r="AZ1240"/>
        </row>
        <row r="1241">
          <cell r="A1241"/>
          <cell r="B1241"/>
          <cell r="C1241"/>
          <cell r="D1241"/>
          <cell r="E1241"/>
          <cell r="F1241"/>
          <cell r="G1241"/>
          <cell r="H1241"/>
          <cell r="I1241"/>
          <cell r="J1241"/>
          <cell r="K1241"/>
          <cell r="L1241"/>
          <cell r="M1241"/>
          <cell r="N1241"/>
          <cell r="O1241"/>
          <cell r="P1241"/>
          <cell r="Q1241"/>
          <cell r="R1241"/>
          <cell r="S1241"/>
          <cell r="T1241"/>
          <cell r="U1241"/>
          <cell r="V1241"/>
          <cell r="W1241"/>
          <cell r="X1241"/>
          <cell r="Y1241"/>
          <cell r="Z1241"/>
          <cell r="AA1241"/>
          <cell r="AB1241"/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/>
          <cell r="AS1241"/>
          <cell r="AT1241"/>
          <cell r="AU1241"/>
          <cell r="AV1241"/>
          <cell r="AW1241"/>
          <cell r="AX1241"/>
          <cell r="AY1241"/>
          <cell r="AZ1241"/>
        </row>
        <row r="1242">
          <cell r="A1242"/>
          <cell r="B1242"/>
          <cell r="C1242"/>
          <cell r="D1242"/>
          <cell r="E1242"/>
          <cell r="F1242"/>
          <cell r="G1242"/>
          <cell r="H1242"/>
          <cell r="I1242"/>
          <cell r="J1242"/>
          <cell r="K1242"/>
          <cell r="L1242"/>
          <cell r="M1242"/>
          <cell r="N1242"/>
          <cell r="O1242"/>
          <cell r="P1242"/>
          <cell r="Q1242"/>
          <cell r="R1242"/>
          <cell r="S1242"/>
          <cell r="T1242"/>
          <cell r="U1242"/>
          <cell r="V1242"/>
          <cell r="W1242"/>
          <cell r="X1242"/>
          <cell r="Y1242"/>
          <cell r="Z1242"/>
          <cell r="AA1242"/>
          <cell r="AB1242"/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/>
          <cell r="AS1242"/>
          <cell r="AT1242"/>
          <cell r="AU1242"/>
          <cell r="AV1242"/>
          <cell r="AW1242"/>
          <cell r="AX1242"/>
          <cell r="AY1242"/>
          <cell r="AZ1242"/>
        </row>
        <row r="1243">
          <cell r="A1243"/>
          <cell r="B1243"/>
          <cell r="C1243"/>
          <cell r="D1243"/>
          <cell r="E1243"/>
          <cell r="F1243"/>
          <cell r="G1243"/>
          <cell r="H1243"/>
          <cell r="I1243"/>
          <cell r="J1243"/>
          <cell r="K1243"/>
          <cell r="L1243"/>
          <cell r="M1243"/>
          <cell r="N1243"/>
          <cell r="O1243"/>
          <cell r="P1243"/>
          <cell r="Q1243"/>
          <cell r="R1243"/>
          <cell r="S1243"/>
          <cell r="T1243"/>
          <cell r="U1243"/>
          <cell r="V1243"/>
          <cell r="W1243"/>
          <cell r="X1243"/>
          <cell r="Y1243"/>
          <cell r="Z1243"/>
          <cell r="AA1243"/>
          <cell r="AB1243"/>
          <cell r="AC1243"/>
          <cell r="AD1243"/>
          <cell r="AE1243"/>
          <cell r="AF1243"/>
          <cell r="AG1243"/>
          <cell r="AH1243"/>
          <cell r="AI1243"/>
          <cell r="AJ1243"/>
          <cell r="AK1243"/>
          <cell r="AL1243"/>
          <cell r="AM1243"/>
          <cell r="AN1243"/>
          <cell r="AO1243"/>
          <cell r="AP1243"/>
          <cell r="AQ1243"/>
          <cell r="AR1243"/>
          <cell r="AS1243"/>
          <cell r="AT1243"/>
          <cell r="AU1243"/>
          <cell r="AV1243"/>
          <cell r="AW1243"/>
          <cell r="AX1243"/>
          <cell r="AY1243"/>
          <cell r="AZ1243"/>
        </row>
        <row r="1244">
          <cell r="A1244"/>
          <cell r="B1244"/>
          <cell r="C1244"/>
          <cell r="D1244"/>
          <cell r="E1244"/>
          <cell r="F1244"/>
          <cell r="G1244"/>
          <cell r="H1244"/>
          <cell r="I1244"/>
          <cell r="J1244"/>
          <cell r="K1244"/>
          <cell r="L1244"/>
          <cell r="M1244"/>
          <cell r="N1244"/>
          <cell r="O1244"/>
          <cell r="P1244"/>
          <cell r="Q1244"/>
          <cell r="R1244"/>
          <cell r="S1244"/>
          <cell r="T1244"/>
          <cell r="U1244"/>
          <cell r="V1244"/>
          <cell r="W1244"/>
          <cell r="X1244"/>
          <cell r="Y1244"/>
          <cell r="Z1244"/>
          <cell r="AA1244"/>
          <cell r="AB1244"/>
          <cell r="AC1244"/>
          <cell r="AD1244"/>
          <cell r="AE1244"/>
          <cell r="AF1244"/>
          <cell r="AG1244"/>
          <cell r="AH1244"/>
          <cell r="AI1244"/>
          <cell r="AJ1244"/>
          <cell r="AK1244"/>
          <cell r="AL1244"/>
          <cell r="AM1244"/>
          <cell r="AN1244"/>
          <cell r="AO1244"/>
          <cell r="AP1244"/>
          <cell r="AQ1244"/>
          <cell r="AR1244"/>
          <cell r="AS1244"/>
          <cell r="AT1244"/>
          <cell r="AU1244"/>
          <cell r="AV1244"/>
          <cell r="AW1244"/>
          <cell r="AX1244"/>
          <cell r="AY1244"/>
          <cell r="AZ1244"/>
        </row>
        <row r="1245">
          <cell r="A1245"/>
          <cell r="B1245"/>
          <cell r="C1245"/>
          <cell r="D1245"/>
          <cell r="E1245"/>
          <cell r="F1245"/>
          <cell r="G1245"/>
          <cell r="H1245"/>
          <cell r="I1245"/>
          <cell r="J1245"/>
          <cell r="K1245"/>
          <cell r="L1245"/>
          <cell r="M1245"/>
          <cell r="N1245"/>
          <cell r="O1245"/>
          <cell r="P1245"/>
          <cell r="Q1245"/>
          <cell r="R1245"/>
          <cell r="S1245"/>
          <cell r="T1245"/>
          <cell r="U1245"/>
          <cell r="V1245"/>
          <cell r="W1245"/>
          <cell r="X1245"/>
          <cell r="Y1245"/>
          <cell r="Z1245"/>
          <cell r="AA1245"/>
          <cell r="AB1245"/>
          <cell r="AC1245"/>
          <cell r="AD1245"/>
          <cell r="AE1245"/>
          <cell r="AF1245"/>
          <cell r="AG1245"/>
          <cell r="AH1245"/>
          <cell r="AI1245"/>
          <cell r="AJ1245"/>
          <cell r="AK1245"/>
          <cell r="AL1245"/>
          <cell r="AM1245"/>
          <cell r="AN1245"/>
          <cell r="AO1245"/>
          <cell r="AP1245"/>
          <cell r="AQ1245"/>
          <cell r="AR1245"/>
          <cell r="AS1245"/>
          <cell r="AT1245"/>
          <cell r="AU1245"/>
          <cell r="AV1245"/>
          <cell r="AW1245"/>
          <cell r="AX1245"/>
          <cell r="AY1245"/>
          <cell r="AZ1245"/>
        </row>
        <row r="1246">
          <cell r="A1246"/>
          <cell r="B1246"/>
          <cell r="C1246"/>
          <cell r="D1246"/>
          <cell r="E1246"/>
          <cell r="F1246"/>
          <cell r="G1246"/>
          <cell r="H1246"/>
          <cell r="I1246"/>
          <cell r="J1246"/>
          <cell r="K1246"/>
          <cell r="L1246"/>
          <cell r="M1246"/>
          <cell r="N1246"/>
          <cell r="O1246"/>
          <cell r="P1246"/>
          <cell r="Q1246"/>
          <cell r="R1246"/>
          <cell r="S1246"/>
          <cell r="T1246"/>
          <cell r="U1246"/>
          <cell r="V1246"/>
          <cell r="W1246"/>
          <cell r="X1246"/>
          <cell r="Y1246"/>
          <cell r="Z1246"/>
          <cell r="AA1246"/>
          <cell r="AB1246"/>
          <cell r="AC1246"/>
          <cell r="AD1246"/>
          <cell r="AE1246"/>
          <cell r="AF1246"/>
          <cell r="AG1246"/>
          <cell r="AH1246"/>
          <cell r="AI1246"/>
          <cell r="AJ1246"/>
          <cell r="AK1246"/>
          <cell r="AL1246"/>
          <cell r="AM1246"/>
          <cell r="AN1246"/>
          <cell r="AO1246"/>
          <cell r="AP1246"/>
          <cell r="AQ1246"/>
          <cell r="AR1246"/>
          <cell r="AS1246"/>
          <cell r="AT1246"/>
          <cell r="AU1246"/>
          <cell r="AV1246"/>
          <cell r="AW1246"/>
          <cell r="AX1246"/>
          <cell r="AY1246"/>
          <cell r="AZ1246"/>
        </row>
        <row r="1247">
          <cell r="A1247"/>
          <cell r="B1247"/>
          <cell r="C1247"/>
          <cell r="D1247"/>
          <cell r="E1247"/>
          <cell r="F1247"/>
          <cell r="G1247"/>
          <cell r="H1247"/>
          <cell r="I1247"/>
          <cell r="J1247"/>
          <cell r="K1247"/>
          <cell r="L1247"/>
          <cell r="M1247"/>
          <cell r="N1247"/>
          <cell r="O1247"/>
          <cell r="P1247"/>
          <cell r="Q1247"/>
          <cell r="R1247"/>
          <cell r="S1247"/>
          <cell r="T1247"/>
          <cell r="U1247"/>
          <cell r="V1247"/>
          <cell r="W1247"/>
          <cell r="X1247"/>
          <cell r="Y1247"/>
          <cell r="Z1247"/>
          <cell r="AA1247"/>
          <cell r="AB1247"/>
          <cell r="AC1247"/>
          <cell r="AD1247"/>
          <cell r="AE1247"/>
          <cell r="AF1247"/>
          <cell r="AG1247"/>
          <cell r="AH1247"/>
          <cell r="AI1247"/>
          <cell r="AJ1247"/>
          <cell r="AK1247"/>
          <cell r="AL1247"/>
          <cell r="AM1247"/>
          <cell r="AN1247"/>
          <cell r="AO1247"/>
          <cell r="AP1247"/>
          <cell r="AQ1247"/>
          <cell r="AR1247"/>
          <cell r="AS1247"/>
          <cell r="AT1247"/>
          <cell r="AU1247"/>
          <cell r="AV1247"/>
          <cell r="AW1247"/>
          <cell r="AX1247"/>
          <cell r="AY1247"/>
          <cell r="AZ1247"/>
        </row>
        <row r="1248">
          <cell r="A1248"/>
          <cell r="B1248"/>
          <cell r="C1248"/>
          <cell r="D1248"/>
          <cell r="E1248"/>
          <cell r="F1248"/>
          <cell r="G1248"/>
          <cell r="H1248"/>
          <cell r="I1248"/>
          <cell r="J1248"/>
          <cell r="K1248"/>
          <cell r="L1248"/>
          <cell r="M1248"/>
          <cell r="N1248"/>
          <cell r="O1248"/>
          <cell r="P1248"/>
          <cell r="Q1248"/>
          <cell r="R1248"/>
          <cell r="S1248"/>
          <cell r="T1248"/>
          <cell r="U1248"/>
          <cell r="V1248"/>
          <cell r="W1248"/>
          <cell r="X1248"/>
          <cell r="Y1248"/>
          <cell r="Z1248"/>
          <cell r="AA1248"/>
          <cell r="AB1248"/>
          <cell r="AC1248"/>
          <cell r="AD1248"/>
          <cell r="AE1248"/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/>
          <cell r="AS1248"/>
          <cell r="AT1248"/>
          <cell r="AU1248"/>
          <cell r="AV1248"/>
          <cell r="AW1248"/>
          <cell r="AX1248"/>
          <cell r="AY1248"/>
          <cell r="AZ1248"/>
        </row>
        <row r="1249">
          <cell r="A1249"/>
          <cell r="B1249"/>
          <cell r="C1249"/>
          <cell r="D1249"/>
          <cell r="E1249"/>
          <cell r="F1249"/>
          <cell r="G1249"/>
          <cell r="H1249"/>
          <cell r="I1249"/>
          <cell r="J1249"/>
          <cell r="K1249"/>
          <cell r="L1249"/>
          <cell r="M1249"/>
          <cell r="N1249"/>
          <cell r="O1249"/>
          <cell r="P1249"/>
          <cell r="Q1249"/>
          <cell r="R1249"/>
          <cell r="S1249"/>
          <cell r="T1249"/>
          <cell r="U1249"/>
          <cell r="V1249"/>
          <cell r="W1249"/>
          <cell r="X1249"/>
          <cell r="Y1249"/>
          <cell r="Z1249"/>
          <cell r="AA1249"/>
          <cell r="AB1249"/>
          <cell r="AC1249"/>
          <cell r="AD1249"/>
          <cell r="AE1249"/>
          <cell r="AF1249"/>
          <cell r="AG1249"/>
          <cell r="AH1249"/>
          <cell r="AI1249"/>
          <cell r="AJ1249"/>
          <cell r="AK1249"/>
          <cell r="AL1249"/>
          <cell r="AM1249"/>
          <cell r="AN1249"/>
          <cell r="AO1249"/>
          <cell r="AP1249"/>
          <cell r="AQ1249"/>
          <cell r="AR1249"/>
          <cell r="AS1249"/>
          <cell r="AT1249"/>
          <cell r="AU1249"/>
          <cell r="AV1249"/>
          <cell r="AW1249"/>
          <cell r="AX1249"/>
          <cell r="AY1249"/>
          <cell r="AZ1249"/>
        </row>
        <row r="1250">
          <cell r="A1250"/>
          <cell r="B1250"/>
          <cell r="C1250"/>
          <cell r="D1250"/>
          <cell r="E1250"/>
          <cell r="F1250"/>
          <cell r="G1250"/>
          <cell r="H1250"/>
          <cell r="I1250"/>
          <cell r="J1250"/>
          <cell r="K1250"/>
          <cell r="L1250"/>
          <cell r="M1250"/>
          <cell r="N1250"/>
          <cell r="O1250"/>
          <cell r="P1250"/>
          <cell r="Q1250"/>
          <cell r="R1250"/>
          <cell r="S1250"/>
          <cell r="T1250"/>
          <cell r="U1250"/>
          <cell r="V1250"/>
          <cell r="W1250"/>
          <cell r="X1250"/>
          <cell r="Y1250"/>
          <cell r="Z1250"/>
          <cell r="AA1250"/>
          <cell r="AB1250"/>
          <cell r="AC1250"/>
          <cell r="AD1250"/>
          <cell r="AE1250"/>
          <cell r="AF1250"/>
          <cell r="AG1250"/>
          <cell r="AH1250"/>
          <cell r="AI1250"/>
          <cell r="AJ1250"/>
          <cell r="AK1250"/>
          <cell r="AL1250"/>
          <cell r="AM1250"/>
          <cell r="AN1250"/>
          <cell r="AO1250"/>
          <cell r="AP1250"/>
          <cell r="AQ1250"/>
          <cell r="AR1250"/>
          <cell r="AS1250"/>
          <cell r="AT1250"/>
          <cell r="AU1250"/>
          <cell r="AV1250"/>
          <cell r="AW1250"/>
          <cell r="AX1250"/>
          <cell r="AY1250"/>
          <cell r="AZ1250"/>
        </row>
        <row r="1251">
          <cell r="A1251"/>
          <cell r="B1251"/>
          <cell r="C1251"/>
          <cell r="D1251"/>
          <cell r="E1251"/>
          <cell r="F1251"/>
          <cell r="G1251"/>
          <cell r="H1251"/>
          <cell r="I1251"/>
          <cell r="J1251"/>
          <cell r="K1251"/>
          <cell r="L1251"/>
          <cell r="M1251"/>
          <cell r="N1251"/>
          <cell r="O1251"/>
          <cell r="P1251"/>
          <cell r="Q1251"/>
          <cell r="R1251"/>
          <cell r="S1251"/>
          <cell r="T1251"/>
          <cell r="U1251"/>
          <cell r="V1251"/>
          <cell r="W1251"/>
          <cell r="X1251"/>
          <cell r="Y1251"/>
          <cell r="Z1251"/>
          <cell r="AA1251"/>
          <cell r="AB1251"/>
          <cell r="AC1251"/>
          <cell r="AD1251"/>
          <cell r="AE1251"/>
          <cell r="AF1251"/>
          <cell r="AG1251"/>
          <cell r="AH1251"/>
          <cell r="AI1251"/>
          <cell r="AJ1251"/>
          <cell r="AK1251"/>
          <cell r="AL1251"/>
          <cell r="AM1251"/>
          <cell r="AN1251"/>
          <cell r="AO1251"/>
          <cell r="AP1251"/>
          <cell r="AQ1251"/>
          <cell r="AR1251"/>
          <cell r="AS1251"/>
          <cell r="AT1251"/>
          <cell r="AU1251"/>
          <cell r="AV1251"/>
          <cell r="AW1251"/>
          <cell r="AX1251"/>
          <cell r="AY1251"/>
          <cell r="AZ1251"/>
        </row>
        <row r="1252">
          <cell r="A1252"/>
          <cell r="B1252"/>
          <cell r="C1252"/>
          <cell r="D1252"/>
          <cell r="E1252"/>
          <cell r="F1252"/>
          <cell r="G1252"/>
          <cell r="H1252"/>
          <cell r="I1252"/>
          <cell r="J1252"/>
          <cell r="K1252"/>
          <cell r="L1252"/>
          <cell r="M1252"/>
          <cell r="N1252"/>
          <cell r="O1252"/>
          <cell r="P1252"/>
          <cell r="Q1252"/>
          <cell r="R1252"/>
          <cell r="S1252"/>
          <cell r="T1252"/>
          <cell r="U1252"/>
          <cell r="V1252"/>
          <cell r="W1252"/>
          <cell r="X1252"/>
          <cell r="Y1252"/>
          <cell r="Z1252"/>
          <cell r="AA1252"/>
          <cell r="AB1252"/>
          <cell r="AC1252"/>
          <cell r="AD1252"/>
          <cell r="AE1252"/>
          <cell r="AF1252"/>
          <cell r="AG1252"/>
          <cell r="AH1252"/>
          <cell r="AI1252"/>
          <cell r="AJ1252"/>
          <cell r="AK1252"/>
          <cell r="AL1252"/>
          <cell r="AM1252"/>
          <cell r="AN1252"/>
          <cell r="AO1252"/>
          <cell r="AP1252"/>
          <cell r="AQ1252"/>
          <cell r="AR1252"/>
          <cell r="AS1252"/>
          <cell r="AT1252"/>
          <cell r="AU1252"/>
          <cell r="AV1252"/>
          <cell r="AW1252"/>
          <cell r="AX1252"/>
          <cell r="AY1252"/>
          <cell r="AZ1252"/>
        </row>
        <row r="1253">
          <cell r="A1253"/>
          <cell r="B1253"/>
          <cell r="C1253"/>
          <cell r="D1253"/>
          <cell r="E1253"/>
          <cell r="F1253"/>
          <cell r="G1253"/>
          <cell r="H1253"/>
          <cell r="I1253"/>
          <cell r="J1253"/>
          <cell r="K1253"/>
          <cell r="L1253"/>
          <cell r="M1253"/>
          <cell r="N1253"/>
          <cell r="O1253"/>
          <cell r="P1253"/>
          <cell r="Q1253"/>
          <cell r="R1253"/>
          <cell r="S1253"/>
          <cell r="T1253"/>
          <cell r="U1253"/>
          <cell r="V1253"/>
          <cell r="W1253"/>
          <cell r="X1253"/>
          <cell r="Y1253"/>
          <cell r="Z1253"/>
          <cell r="AA1253"/>
          <cell r="AB1253"/>
          <cell r="AC1253"/>
          <cell r="AD1253"/>
          <cell r="AE1253"/>
          <cell r="AF1253"/>
          <cell r="AG1253"/>
          <cell r="AH1253"/>
          <cell r="AI1253"/>
          <cell r="AJ1253"/>
          <cell r="AK1253"/>
          <cell r="AL1253"/>
          <cell r="AM1253"/>
          <cell r="AN1253"/>
          <cell r="AO1253"/>
          <cell r="AP1253"/>
          <cell r="AQ1253"/>
          <cell r="AR1253"/>
          <cell r="AS1253"/>
          <cell r="AT1253"/>
          <cell r="AU1253"/>
          <cell r="AV1253"/>
          <cell r="AW1253"/>
          <cell r="AX1253"/>
          <cell r="AY1253"/>
          <cell r="AZ1253"/>
        </row>
        <row r="1254">
          <cell r="A1254"/>
          <cell r="B1254"/>
          <cell r="C1254"/>
          <cell r="D1254"/>
          <cell r="E1254"/>
          <cell r="F1254"/>
          <cell r="G1254"/>
          <cell r="H1254"/>
          <cell r="I1254"/>
          <cell r="J1254"/>
          <cell r="K1254"/>
          <cell r="L1254"/>
          <cell r="M1254"/>
          <cell r="N1254"/>
          <cell r="O1254"/>
          <cell r="P1254"/>
          <cell r="Q1254"/>
          <cell r="R1254"/>
          <cell r="S1254"/>
          <cell r="T1254"/>
          <cell r="U1254"/>
          <cell r="V1254"/>
          <cell r="W1254"/>
          <cell r="X1254"/>
          <cell r="Y1254"/>
          <cell r="Z1254"/>
          <cell r="AA1254"/>
          <cell r="AB1254"/>
          <cell r="AC1254"/>
          <cell r="AD1254"/>
          <cell r="AE1254"/>
          <cell r="AF1254"/>
          <cell r="AG1254"/>
          <cell r="AH1254"/>
          <cell r="AI1254"/>
          <cell r="AJ1254"/>
          <cell r="AK1254"/>
          <cell r="AL1254"/>
          <cell r="AM1254"/>
          <cell r="AN1254"/>
          <cell r="AO1254"/>
          <cell r="AP1254"/>
          <cell r="AQ1254"/>
          <cell r="AR1254"/>
          <cell r="AS1254"/>
          <cell r="AT1254"/>
          <cell r="AU1254"/>
          <cell r="AV1254"/>
          <cell r="AW1254"/>
          <cell r="AX1254"/>
          <cell r="AY1254"/>
          <cell r="AZ1254"/>
        </row>
        <row r="1255">
          <cell r="A1255"/>
          <cell r="B1255"/>
          <cell r="C1255"/>
          <cell r="D1255"/>
          <cell r="E1255"/>
          <cell r="F1255"/>
          <cell r="G1255"/>
          <cell r="H1255"/>
          <cell r="I1255"/>
          <cell r="J1255"/>
          <cell r="K1255"/>
          <cell r="L1255"/>
          <cell r="M1255"/>
          <cell r="N1255"/>
          <cell r="O1255"/>
          <cell r="P1255"/>
          <cell r="Q1255"/>
          <cell r="R1255"/>
          <cell r="S1255"/>
          <cell r="T1255"/>
          <cell r="U1255"/>
          <cell r="V1255"/>
          <cell r="W1255"/>
          <cell r="X1255"/>
          <cell r="Y1255"/>
          <cell r="Z1255"/>
          <cell r="AA1255"/>
          <cell r="AB1255"/>
          <cell r="AC1255"/>
          <cell r="AD1255"/>
          <cell r="AE1255"/>
          <cell r="AF1255"/>
          <cell r="AG1255"/>
          <cell r="AH1255"/>
          <cell r="AI1255"/>
          <cell r="AJ1255"/>
          <cell r="AK1255"/>
          <cell r="AL1255"/>
          <cell r="AM1255"/>
          <cell r="AN1255"/>
          <cell r="AO1255"/>
          <cell r="AP1255"/>
          <cell r="AQ1255"/>
          <cell r="AR1255"/>
          <cell r="AS1255"/>
          <cell r="AT1255"/>
          <cell r="AU1255"/>
          <cell r="AV1255"/>
          <cell r="AW1255"/>
          <cell r="AX1255"/>
          <cell r="AY1255"/>
          <cell r="AZ1255"/>
        </row>
        <row r="1256">
          <cell r="A1256"/>
          <cell r="B1256"/>
          <cell r="C1256"/>
          <cell r="D1256"/>
          <cell r="E1256"/>
          <cell r="F1256"/>
          <cell r="G1256"/>
          <cell r="H1256"/>
          <cell r="I1256"/>
          <cell r="J1256"/>
          <cell r="K1256"/>
          <cell r="L1256"/>
          <cell r="M1256"/>
          <cell r="N1256"/>
          <cell r="O1256"/>
          <cell r="P1256"/>
          <cell r="Q1256"/>
          <cell r="R1256"/>
          <cell r="S1256"/>
          <cell r="T1256"/>
          <cell r="U1256"/>
          <cell r="V1256"/>
          <cell r="W1256"/>
          <cell r="X1256"/>
          <cell r="Y1256"/>
          <cell r="Z1256"/>
          <cell r="AA1256"/>
          <cell r="AB1256"/>
          <cell r="AC1256"/>
          <cell r="AD1256"/>
          <cell r="AE1256"/>
          <cell r="AF1256"/>
          <cell r="AG1256"/>
          <cell r="AH1256"/>
          <cell r="AI1256"/>
          <cell r="AJ1256"/>
          <cell r="AK1256"/>
          <cell r="AL1256"/>
          <cell r="AM1256"/>
          <cell r="AN1256"/>
          <cell r="AO1256"/>
          <cell r="AP1256"/>
          <cell r="AQ1256"/>
          <cell r="AR1256"/>
          <cell r="AS1256"/>
          <cell r="AT1256"/>
          <cell r="AU1256"/>
          <cell r="AV1256"/>
          <cell r="AW1256"/>
          <cell r="AX1256"/>
          <cell r="AY1256"/>
          <cell r="AZ1256"/>
        </row>
        <row r="1257">
          <cell r="A1257"/>
          <cell r="B1257"/>
          <cell r="C1257"/>
          <cell r="D1257"/>
          <cell r="E1257"/>
          <cell r="F1257"/>
          <cell r="G1257"/>
          <cell r="H1257"/>
          <cell r="I1257"/>
          <cell r="J1257"/>
          <cell r="K1257"/>
          <cell r="L1257"/>
          <cell r="M1257"/>
          <cell r="N1257"/>
          <cell r="O1257"/>
          <cell r="P1257"/>
          <cell r="Q1257"/>
          <cell r="R1257"/>
          <cell r="S1257"/>
          <cell r="T1257"/>
          <cell r="U1257"/>
          <cell r="V1257"/>
          <cell r="W1257"/>
          <cell r="X1257"/>
          <cell r="Y1257"/>
          <cell r="Z1257"/>
          <cell r="AA1257"/>
          <cell r="AB1257"/>
          <cell r="AC1257"/>
          <cell r="AD1257"/>
          <cell r="AE1257"/>
          <cell r="AF1257"/>
          <cell r="AG1257"/>
          <cell r="AH1257"/>
          <cell r="AI1257"/>
          <cell r="AJ1257"/>
          <cell r="AK1257"/>
          <cell r="AL1257"/>
          <cell r="AM1257"/>
          <cell r="AN1257"/>
          <cell r="AO1257"/>
          <cell r="AP1257"/>
          <cell r="AQ1257"/>
          <cell r="AR1257"/>
          <cell r="AS1257"/>
          <cell r="AT1257"/>
          <cell r="AU1257"/>
          <cell r="AV1257"/>
          <cell r="AW1257"/>
          <cell r="AX1257"/>
          <cell r="AY1257"/>
          <cell r="AZ1257"/>
        </row>
        <row r="1258">
          <cell r="A1258"/>
          <cell r="B1258"/>
          <cell r="C1258"/>
          <cell r="D1258"/>
          <cell r="E1258"/>
          <cell r="F1258"/>
          <cell r="G1258"/>
          <cell r="H1258"/>
          <cell r="I1258"/>
          <cell r="J1258"/>
          <cell r="K1258"/>
          <cell r="L1258"/>
          <cell r="M1258"/>
          <cell r="N1258"/>
          <cell r="O1258"/>
          <cell r="P1258"/>
          <cell r="Q1258"/>
          <cell r="R1258"/>
          <cell r="S1258"/>
          <cell r="T1258"/>
          <cell r="U1258"/>
          <cell r="V1258"/>
          <cell r="W1258"/>
          <cell r="X1258"/>
          <cell r="Y1258"/>
          <cell r="Z1258"/>
          <cell r="AA1258"/>
          <cell r="AB1258"/>
          <cell r="AC1258"/>
          <cell r="AD1258"/>
          <cell r="AE1258"/>
          <cell r="AF1258"/>
          <cell r="AG1258"/>
          <cell r="AH1258"/>
          <cell r="AI1258"/>
          <cell r="AJ1258"/>
          <cell r="AK1258"/>
          <cell r="AL1258"/>
          <cell r="AM1258"/>
          <cell r="AN1258"/>
          <cell r="AO1258"/>
          <cell r="AP1258"/>
          <cell r="AQ1258"/>
          <cell r="AR1258"/>
          <cell r="AS1258"/>
          <cell r="AT1258"/>
          <cell r="AU1258"/>
          <cell r="AV1258"/>
          <cell r="AW1258"/>
          <cell r="AX1258"/>
          <cell r="AY1258"/>
          <cell r="AZ1258"/>
        </row>
        <row r="1259">
          <cell r="A1259"/>
          <cell r="B1259"/>
          <cell r="C1259"/>
          <cell r="D1259"/>
          <cell r="E1259"/>
          <cell r="F1259"/>
          <cell r="G1259"/>
          <cell r="H1259"/>
          <cell r="I1259"/>
          <cell r="J1259"/>
          <cell r="K1259"/>
          <cell r="L1259"/>
          <cell r="M1259"/>
          <cell r="N1259"/>
          <cell r="O1259"/>
          <cell r="P1259"/>
          <cell r="Q1259"/>
          <cell r="R1259"/>
          <cell r="S1259"/>
          <cell r="T1259"/>
          <cell r="U1259"/>
          <cell r="V1259"/>
          <cell r="W1259"/>
          <cell r="X1259"/>
          <cell r="Y1259"/>
          <cell r="Z1259"/>
          <cell r="AA1259"/>
          <cell r="AB1259"/>
          <cell r="AC1259"/>
          <cell r="AD1259"/>
          <cell r="AE1259"/>
          <cell r="AF1259"/>
          <cell r="AG1259"/>
          <cell r="AH1259"/>
          <cell r="AI1259"/>
          <cell r="AJ1259"/>
          <cell r="AK1259"/>
          <cell r="AL1259"/>
          <cell r="AM1259"/>
          <cell r="AN1259"/>
          <cell r="AO1259"/>
          <cell r="AP1259"/>
          <cell r="AQ1259"/>
          <cell r="AR1259"/>
          <cell r="AS1259"/>
          <cell r="AT1259"/>
          <cell r="AU1259"/>
          <cell r="AV1259"/>
          <cell r="AW1259"/>
          <cell r="AX1259"/>
          <cell r="AY1259"/>
          <cell r="AZ1259"/>
        </row>
        <row r="1260">
          <cell r="A1260"/>
          <cell r="B1260"/>
          <cell r="C1260"/>
          <cell r="D1260"/>
          <cell r="E1260"/>
          <cell r="F1260"/>
          <cell r="G1260"/>
          <cell r="H1260"/>
          <cell r="I1260"/>
          <cell r="J1260"/>
          <cell r="K1260"/>
          <cell r="L1260"/>
          <cell r="M1260"/>
          <cell r="N1260"/>
          <cell r="O1260"/>
          <cell r="P1260"/>
          <cell r="Q1260"/>
          <cell r="R1260"/>
          <cell r="S1260"/>
          <cell r="T1260"/>
          <cell r="U1260"/>
          <cell r="V1260"/>
          <cell r="W1260"/>
          <cell r="X1260"/>
          <cell r="Y1260"/>
          <cell r="Z1260"/>
          <cell r="AA1260"/>
          <cell r="AB1260"/>
          <cell r="AC1260"/>
          <cell r="AD1260"/>
          <cell r="AE1260"/>
          <cell r="AF1260"/>
          <cell r="AG1260"/>
          <cell r="AH1260"/>
          <cell r="AI1260"/>
          <cell r="AJ1260"/>
          <cell r="AK1260"/>
          <cell r="AL1260"/>
          <cell r="AM1260"/>
          <cell r="AN1260"/>
          <cell r="AO1260"/>
          <cell r="AP1260"/>
          <cell r="AQ1260"/>
          <cell r="AR1260"/>
          <cell r="AS1260"/>
          <cell r="AT1260"/>
          <cell r="AU1260"/>
          <cell r="AV1260"/>
          <cell r="AW1260"/>
          <cell r="AX1260"/>
          <cell r="AY1260"/>
          <cell r="AZ1260"/>
        </row>
        <row r="1261">
          <cell r="A1261"/>
          <cell r="B1261"/>
          <cell r="C1261"/>
          <cell r="D1261"/>
          <cell r="E1261"/>
          <cell r="F1261"/>
          <cell r="G1261"/>
          <cell r="H1261"/>
          <cell r="I1261"/>
          <cell r="J1261"/>
          <cell r="K1261"/>
          <cell r="L1261"/>
          <cell r="M1261"/>
          <cell r="N1261"/>
          <cell r="O1261"/>
          <cell r="P1261"/>
          <cell r="Q1261"/>
          <cell r="R1261"/>
          <cell r="S1261"/>
          <cell r="T1261"/>
          <cell r="U1261"/>
          <cell r="V1261"/>
          <cell r="W1261"/>
          <cell r="X1261"/>
          <cell r="Y1261"/>
          <cell r="Z1261"/>
          <cell r="AA1261"/>
          <cell r="AB1261"/>
          <cell r="AC1261"/>
          <cell r="AD1261"/>
          <cell r="AE1261"/>
          <cell r="AF1261"/>
          <cell r="AG1261"/>
          <cell r="AH1261"/>
          <cell r="AI1261"/>
          <cell r="AJ1261"/>
          <cell r="AK1261"/>
          <cell r="AL1261"/>
          <cell r="AM1261"/>
          <cell r="AN1261"/>
          <cell r="AO1261"/>
          <cell r="AP1261"/>
          <cell r="AQ1261"/>
          <cell r="AR1261"/>
          <cell r="AS1261"/>
          <cell r="AT1261"/>
          <cell r="AU1261"/>
          <cell r="AV1261"/>
          <cell r="AW1261"/>
          <cell r="AX1261"/>
          <cell r="AY1261"/>
          <cell r="AZ1261"/>
        </row>
        <row r="1262">
          <cell r="A1262"/>
          <cell r="B1262"/>
          <cell r="C1262"/>
          <cell r="D1262"/>
          <cell r="E1262"/>
          <cell r="F1262"/>
          <cell r="G1262"/>
          <cell r="H1262"/>
          <cell r="I1262"/>
          <cell r="J1262"/>
          <cell r="K1262"/>
          <cell r="L1262"/>
          <cell r="M1262"/>
          <cell r="N1262"/>
          <cell r="O1262"/>
          <cell r="P1262"/>
          <cell r="Q1262"/>
          <cell r="R1262"/>
          <cell r="S1262"/>
          <cell r="T1262"/>
          <cell r="U1262"/>
          <cell r="V1262"/>
          <cell r="W1262"/>
          <cell r="X1262"/>
          <cell r="Y1262"/>
          <cell r="Z1262"/>
          <cell r="AA1262"/>
          <cell r="AB1262"/>
          <cell r="AC1262"/>
          <cell r="AD1262"/>
          <cell r="AE1262"/>
          <cell r="AF1262"/>
          <cell r="AG1262"/>
          <cell r="AH1262"/>
          <cell r="AI1262"/>
          <cell r="AJ1262"/>
          <cell r="AK1262"/>
          <cell r="AL1262"/>
          <cell r="AM1262"/>
          <cell r="AN1262"/>
          <cell r="AO1262"/>
          <cell r="AP1262"/>
          <cell r="AQ1262"/>
          <cell r="AR1262"/>
          <cell r="AS1262"/>
          <cell r="AT1262"/>
          <cell r="AU1262"/>
          <cell r="AV1262"/>
          <cell r="AW1262"/>
          <cell r="AX1262"/>
          <cell r="AY1262"/>
          <cell r="AZ1262"/>
        </row>
        <row r="1263">
          <cell r="A1263"/>
          <cell r="B1263"/>
          <cell r="C1263"/>
          <cell r="D1263"/>
          <cell r="E1263"/>
          <cell r="F1263"/>
          <cell r="G1263"/>
          <cell r="H1263"/>
          <cell r="I1263"/>
          <cell r="J1263"/>
          <cell r="K1263"/>
          <cell r="L1263"/>
          <cell r="M1263"/>
          <cell r="N1263"/>
          <cell r="O1263"/>
          <cell r="P1263"/>
          <cell r="Q1263"/>
          <cell r="R1263"/>
          <cell r="S1263"/>
          <cell r="T1263"/>
          <cell r="U1263"/>
          <cell r="V1263"/>
          <cell r="W1263"/>
          <cell r="X1263"/>
          <cell r="Y1263"/>
          <cell r="Z1263"/>
          <cell r="AA1263"/>
          <cell r="AB1263"/>
          <cell r="AC1263"/>
          <cell r="AD1263"/>
          <cell r="AE1263"/>
          <cell r="AF1263"/>
          <cell r="AG1263"/>
          <cell r="AH1263"/>
          <cell r="AI1263"/>
          <cell r="AJ1263"/>
          <cell r="AK1263"/>
          <cell r="AL1263"/>
          <cell r="AM1263"/>
          <cell r="AN1263"/>
          <cell r="AO1263"/>
          <cell r="AP1263"/>
          <cell r="AQ1263"/>
          <cell r="AR1263"/>
          <cell r="AS1263"/>
          <cell r="AT1263"/>
          <cell r="AU1263"/>
          <cell r="AV1263"/>
          <cell r="AW1263"/>
          <cell r="AX1263"/>
          <cell r="AY1263"/>
          <cell r="AZ1263"/>
        </row>
        <row r="1264">
          <cell r="A1264"/>
          <cell r="B1264"/>
          <cell r="C1264"/>
          <cell r="D1264"/>
          <cell r="E1264"/>
          <cell r="F1264"/>
          <cell r="G1264"/>
          <cell r="H1264"/>
          <cell r="I1264"/>
          <cell r="J1264"/>
          <cell r="K1264"/>
          <cell r="L1264"/>
          <cell r="M1264"/>
          <cell r="N1264"/>
          <cell r="O1264"/>
          <cell r="P1264"/>
          <cell r="Q1264"/>
          <cell r="R1264"/>
          <cell r="S1264"/>
          <cell r="T1264"/>
          <cell r="U1264"/>
          <cell r="V1264"/>
          <cell r="W1264"/>
          <cell r="X1264"/>
          <cell r="Y1264"/>
          <cell r="Z1264"/>
          <cell r="AA1264"/>
          <cell r="AB1264"/>
          <cell r="AC1264"/>
          <cell r="AD1264"/>
          <cell r="AE1264"/>
          <cell r="AF1264"/>
          <cell r="AG1264"/>
          <cell r="AH1264"/>
          <cell r="AI1264"/>
          <cell r="AJ1264"/>
          <cell r="AK1264"/>
          <cell r="AL1264"/>
          <cell r="AM1264"/>
          <cell r="AN1264"/>
          <cell r="AO1264"/>
          <cell r="AP1264"/>
          <cell r="AQ1264"/>
          <cell r="AR1264"/>
          <cell r="AS1264"/>
          <cell r="AT1264"/>
          <cell r="AU1264"/>
          <cell r="AV1264"/>
          <cell r="AW1264"/>
          <cell r="AX1264"/>
          <cell r="AY1264"/>
          <cell r="AZ1264"/>
        </row>
        <row r="1265">
          <cell r="A1265"/>
          <cell r="B1265"/>
          <cell r="C1265"/>
          <cell r="D1265"/>
          <cell r="E1265"/>
          <cell r="F1265"/>
          <cell r="G1265"/>
          <cell r="H1265"/>
          <cell r="I1265"/>
          <cell r="J1265"/>
          <cell r="K1265"/>
          <cell r="L1265"/>
          <cell r="M1265"/>
          <cell r="N1265"/>
          <cell r="O1265"/>
          <cell r="P1265"/>
          <cell r="Q1265"/>
          <cell r="R1265"/>
          <cell r="S1265"/>
          <cell r="T1265"/>
          <cell r="U1265"/>
          <cell r="V1265"/>
          <cell r="W1265"/>
          <cell r="X1265"/>
          <cell r="Y1265"/>
          <cell r="Z1265"/>
          <cell r="AA1265"/>
          <cell r="AB1265"/>
          <cell r="AC1265"/>
          <cell r="AD1265"/>
          <cell r="AE1265"/>
          <cell r="AF1265"/>
          <cell r="AG1265"/>
          <cell r="AH1265"/>
          <cell r="AI1265"/>
          <cell r="AJ1265"/>
          <cell r="AK1265"/>
          <cell r="AL1265"/>
          <cell r="AM1265"/>
          <cell r="AN1265"/>
          <cell r="AO1265"/>
          <cell r="AP1265"/>
          <cell r="AQ1265"/>
          <cell r="AR1265"/>
          <cell r="AS1265"/>
          <cell r="AT1265"/>
          <cell r="AU1265"/>
          <cell r="AV1265"/>
          <cell r="AW1265"/>
          <cell r="AX1265"/>
          <cell r="AY1265"/>
          <cell r="AZ1265"/>
        </row>
        <row r="1266">
          <cell r="A1266"/>
          <cell r="B1266"/>
          <cell r="C1266"/>
          <cell r="D1266"/>
          <cell r="E1266"/>
          <cell r="F1266"/>
          <cell r="G1266"/>
          <cell r="H1266"/>
          <cell r="I1266"/>
          <cell r="J1266"/>
          <cell r="K1266"/>
          <cell r="L1266"/>
          <cell r="M1266"/>
          <cell r="N1266"/>
          <cell r="O1266"/>
          <cell r="P1266"/>
          <cell r="Q1266"/>
          <cell r="R1266"/>
          <cell r="S1266"/>
          <cell r="T1266"/>
          <cell r="U1266"/>
          <cell r="V1266"/>
          <cell r="W1266"/>
          <cell r="X1266"/>
          <cell r="Y1266"/>
          <cell r="Z1266"/>
          <cell r="AA1266"/>
          <cell r="AB1266"/>
          <cell r="AC1266"/>
          <cell r="AD1266"/>
          <cell r="AE1266"/>
          <cell r="AF1266"/>
          <cell r="AG1266"/>
          <cell r="AH1266"/>
          <cell r="AI1266"/>
          <cell r="AJ1266"/>
          <cell r="AK1266"/>
          <cell r="AL1266"/>
          <cell r="AM1266"/>
          <cell r="AN1266"/>
          <cell r="AO1266"/>
          <cell r="AP1266"/>
          <cell r="AQ1266"/>
          <cell r="AR1266"/>
          <cell r="AS1266"/>
          <cell r="AT1266"/>
          <cell r="AU1266"/>
          <cell r="AV1266"/>
          <cell r="AW1266"/>
          <cell r="AX1266"/>
          <cell r="AY1266"/>
          <cell r="AZ1266"/>
        </row>
        <row r="1267">
          <cell r="A1267"/>
          <cell r="B1267"/>
          <cell r="C1267"/>
          <cell r="D1267"/>
          <cell r="E1267"/>
          <cell r="F1267"/>
          <cell r="G1267"/>
          <cell r="H1267"/>
          <cell r="I1267"/>
          <cell r="J1267"/>
          <cell r="K1267"/>
          <cell r="L1267"/>
          <cell r="M1267"/>
          <cell r="N1267"/>
          <cell r="O1267"/>
          <cell r="P1267"/>
          <cell r="Q1267"/>
          <cell r="R1267"/>
          <cell r="S1267"/>
          <cell r="T1267"/>
          <cell r="U1267"/>
          <cell r="V1267"/>
          <cell r="W1267"/>
          <cell r="X1267"/>
          <cell r="Y1267"/>
          <cell r="Z1267"/>
          <cell r="AA1267"/>
          <cell r="AB1267"/>
          <cell r="AC1267"/>
          <cell r="AD1267"/>
          <cell r="AE1267"/>
          <cell r="AF1267"/>
          <cell r="AG1267"/>
          <cell r="AH1267"/>
          <cell r="AI1267"/>
          <cell r="AJ1267"/>
          <cell r="AK1267"/>
          <cell r="AL1267"/>
          <cell r="AM1267"/>
          <cell r="AN1267"/>
          <cell r="AO1267"/>
          <cell r="AP1267"/>
          <cell r="AQ1267"/>
          <cell r="AR1267"/>
          <cell r="AS1267"/>
          <cell r="AT1267"/>
          <cell r="AU1267"/>
          <cell r="AV1267"/>
          <cell r="AW1267"/>
          <cell r="AX1267"/>
          <cell r="AY1267"/>
          <cell r="AZ1267"/>
        </row>
        <row r="1268">
          <cell r="A1268"/>
          <cell r="B1268"/>
          <cell r="C1268"/>
          <cell r="D1268"/>
          <cell r="E1268"/>
          <cell r="F1268"/>
          <cell r="G1268"/>
          <cell r="H1268"/>
          <cell r="I1268"/>
          <cell r="J1268"/>
          <cell r="K1268"/>
          <cell r="L1268"/>
          <cell r="M1268"/>
          <cell r="N1268"/>
          <cell r="O1268"/>
          <cell r="P1268"/>
          <cell r="Q1268"/>
          <cell r="R1268"/>
          <cell r="S1268"/>
          <cell r="T1268"/>
          <cell r="U1268"/>
          <cell r="V1268"/>
          <cell r="W1268"/>
          <cell r="X1268"/>
          <cell r="Y1268"/>
          <cell r="Z1268"/>
          <cell r="AA1268"/>
          <cell r="AB1268"/>
          <cell r="AC1268"/>
          <cell r="AD1268"/>
          <cell r="AE1268"/>
          <cell r="AF1268"/>
          <cell r="AG1268"/>
          <cell r="AH1268"/>
          <cell r="AI1268"/>
          <cell r="AJ1268"/>
          <cell r="AK1268"/>
          <cell r="AL1268"/>
          <cell r="AM1268"/>
          <cell r="AN1268"/>
          <cell r="AO1268"/>
          <cell r="AP1268"/>
          <cell r="AQ1268"/>
          <cell r="AR1268"/>
          <cell r="AS1268"/>
          <cell r="AT1268"/>
          <cell r="AU1268"/>
          <cell r="AV1268"/>
          <cell r="AW1268"/>
          <cell r="AX1268"/>
          <cell r="AY1268"/>
          <cell r="AZ1268"/>
        </row>
        <row r="1269">
          <cell r="A1269"/>
          <cell r="B1269"/>
          <cell r="C1269"/>
          <cell r="D1269"/>
          <cell r="E1269"/>
          <cell r="F1269"/>
          <cell r="G1269"/>
          <cell r="H1269"/>
          <cell r="I1269"/>
          <cell r="J1269"/>
          <cell r="K1269"/>
          <cell r="L1269"/>
          <cell r="M1269"/>
          <cell r="N1269"/>
          <cell r="O1269"/>
          <cell r="P1269"/>
          <cell r="Q1269"/>
          <cell r="R1269"/>
          <cell r="S1269"/>
          <cell r="T1269"/>
          <cell r="U1269"/>
          <cell r="V1269"/>
          <cell r="W1269"/>
          <cell r="X1269"/>
          <cell r="Y1269"/>
          <cell r="Z1269"/>
          <cell r="AA1269"/>
          <cell r="AB1269"/>
          <cell r="AC1269"/>
          <cell r="AD1269"/>
          <cell r="AE1269"/>
          <cell r="AF1269"/>
          <cell r="AG1269"/>
          <cell r="AH1269"/>
          <cell r="AI1269"/>
          <cell r="AJ1269"/>
          <cell r="AK1269"/>
          <cell r="AL1269"/>
          <cell r="AM1269"/>
          <cell r="AN1269"/>
          <cell r="AO1269"/>
          <cell r="AP1269"/>
          <cell r="AQ1269"/>
          <cell r="AR1269"/>
          <cell r="AS1269"/>
          <cell r="AT1269"/>
          <cell r="AU1269"/>
          <cell r="AV1269"/>
          <cell r="AW1269"/>
          <cell r="AX1269"/>
          <cell r="AY1269"/>
          <cell r="AZ1269"/>
        </row>
        <row r="1270">
          <cell r="A1270"/>
          <cell r="B1270"/>
          <cell r="C1270"/>
          <cell r="D1270"/>
          <cell r="E1270"/>
          <cell r="F1270"/>
          <cell r="G1270"/>
          <cell r="H1270"/>
          <cell r="I1270"/>
          <cell r="J1270"/>
          <cell r="K1270"/>
          <cell r="L1270"/>
          <cell r="M1270"/>
          <cell r="N1270"/>
          <cell r="O1270"/>
          <cell r="P1270"/>
          <cell r="Q1270"/>
          <cell r="R1270"/>
          <cell r="S1270"/>
          <cell r="T1270"/>
          <cell r="U1270"/>
          <cell r="V1270"/>
          <cell r="W1270"/>
          <cell r="X1270"/>
          <cell r="Y1270"/>
          <cell r="Z1270"/>
          <cell r="AA1270"/>
          <cell r="AB1270"/>
          <cell r="AC1270"/>
          <cell r="AD1270"/>
          <cell r="AE1270"/>
          <cell r="AF1270"/>
          <cell r="AG1270"/>
          <cell r="AH1270"/>
          <cell r="AI1270"/>
          <cell r="AJ1270"/>
          <cell r="AK1270"/>
          <cell r="AL1270"/>
          <cell r="AM1270"/>
          <cell r="AN1270"/>
          <cell r="AO1270"/>
          <cell r="AP1270"/>
          <cell r="AQ1270"/>
          <cell r="AR1270"/>
          <cell r="AS1270"/>
          <cell r="AT1270"/>
          <cell r="AU1270"/>
          <cell r="AV1270"/>
          <cell r="AW1270"/>
          <cell r="AX1270"/>
          <cell r="AY1270"/>
          <cell r="AZ1270"/>
        </row>
        <row r="1271">
          <cell r="A1271"/>
          <cell r="B1271"/>
          <cell r="C1271"/>
          <cell r="D1271"/>
          <cell r="E1271"/>
          <cell r="F1271"/>
          <cell r="G1271"/>
          <cell r="H1271"/>
          <cell r="I1271"/>
          <cell r="J1271"/>
          <cell r="K1271"/>
          <cell r="L1271"/>
          <cell r="M1271"/>
          <cell r="N1271"/>
          <cell r="O1271"/>
          <cell r="P1271"/>
          <cell r="Q1271"/>
          <cell r="R1271"/>
          <cell r="S1271"/>
          <cell r="T1271"/>
          <cell r="U1271"/>
          <cell r="V1271"/>
          <cell r="W1271"/>
          <cell r="X1271"/>
          <cell r="Y1271"/>
          <cell r="Z1271"/>
          <cell r="AA1271"/>
          <cell r="AB1271"/>
          <cell r="AC1271"/>
          <cell r="AD1271"/>
          <cell r="AE1271"/>
          <cell r="AF1271"/>
          <cell r="AG1271"/>
          <cell r="AH1271"/>
          <cell r="AI1271"/>
          <cell r="AJ1271"/>
          <cell r="AK1271"/>
          <cell r="AL1271"/>
          <cell r="AM1271"/>
          <cell r="AN1271"/>
          <cell r="AO1271"/>
          <cell r="AP1271"/>
          <cell r="AQ1271"/>
          <cell r="AR1271"/>
          <cell r="AS1271"/>
          <cell r="AT1271"/>
          <cell r="AU1271"/>
          <cell r="AV1271"/>
          <cell r="AW1271"/>
          <cell r="AX1271"/>
          <cell r="AY1271"/>
          <cell r="AZ1271"/>
        </row>
        <row r="1272">
          <cell r="A1272"/>
          <cell r="B1272"/>
          <cell r="C1272"/>
          <cell r="D1272"/>
          <cell r="E1272"/>
          <cell r="F1272"/>
          <cell r="G1272"/>
          <cell r="H1272"/>
          <cell r="I1272"/>
          <cell r="J1272"/>
          <cell r="K1272"/>
          <cell r="L1272"/>
          <cell r="M1272"/>
          <cell r="N1272"/>
          <cell r="O1272"/>
          <cell r="P1272"/>
          <cell r="Q1272"/>
          <cell r="R1272"/>
          <cell r="S1272"/>
          <cell r="T1272"/>
          <cell r="U1272"/>
          <cell r="V1272"/>
          <cell r="W1272"/>
          <cell r="X1272"/>
          <cell r="Y1272"/>
          <cell r="Z1272"/>
          <cell r="AA1272"/>
          <cell r="AB1272"/>
          <cell r="AC1272"/>
          <cell r="AD1272"/>
          <cell r="AE1272"/>
          <cell r="AF1272"/>
          <cell r="AG1272"/>
          <cell r="AH1272"/>
          <cell r="AI1272"/>
          <cell r="AJ1272"/>
          <cell r="AK1272"/>
          <cell r="AL1272"/>
          <cell r="AM1272"/>
          <cell r="AN1272"/>
          <cell r="AO1272"/>
          <cell r="AP1272"/>
          <cell r="AQ1272"/>
          <cell r="AR1272"/>
          <cell r="AS1272"/>
          <cell r="AT1272"/>
          <cell r="AU1272"/>
          <cell r="AV1272"/>
          <cell r="AW1272"/>
          <cell r="AX1272"/>
          <cell r="AY1272"/>
          <cell r="AZ1272"/>
        </row>
        <row r="1273">
          <cell r="A1273"/>
          <cell r="B1273"/>
          <cell r="C1273"/>
          <cell r="D1273"/>
          <cell r="E1273"/>
          <cell r="F1273"/>
          <cell r="G1273"/>
          <cell r="H1273"/>
          <cell r="I1273"/>
          <cell r="J1273"/>
          <cell r="K1273"/>
          <cell r="L1273"/>
          <cell r="M1273"/>
          <cell r="N1273"/>
          <cell r="O1273"/>
          <cell r="P1273"/>
          <cell r="Q1273"/>
          <cell r="R1273"/>
          <cell r="S1273"/>
          <cell r="T1273"/>
          <cell r="U1273"/>
          <cell r="V1273"/>
          <cell r="W1273"/>
          <cell r="X1273"/>
          <cell r="Y1273"/>
          <cell r="Z1273"/>
          <cell r="AA1273"/>
          <cell r="AB1273"/>
          <cell r="AC1273"/>
          <cell r="AD1273"/>
          <cell r="AE1273"/>
          <cell r="AF1273"/>
          <cell r="AG1273"/>
          <cell r="AH1273"/>
          <cell r="AI1273"/>
          <cell r="AJ1273"/>
          <cell r="AK1273"/>
          <cell r="AL1273"/>
          <cell r="AM1273"/>
          <cell r="AN1273"/>
          <cell r="AO1273"/>
          <cell r="AP1273"/>
          <cell r="AQ1273"/>
          <cell r="AR1273"/>
          <cell r="AS1273"/>
          <cell r="AT1273"/>
          <cell r="AU1273"/>
          <cell r="AV1273"/>
          <cell r="AW1273"/>
          <cell r="AX1273"/>
          <cell r="AY1273"/>
          <cell r="AZ1273"/>
        </row>
        <row r="1274">
          <cell r="A1274"/>
          <cell r="B1274"/>
          <cell r="C1274"/>
          <cell r="D1274"/>
          <cell r="E1274"/>
          <cell r="F1274"/>
          <cell r="G1274"/>
          <cell r="H1274"/>
          <cell r="I1274"/>
          <cell r="J1274"/>
          <cell r="K1274"/>
          <cell r="L1274"/>
          <cell r="M1274"/>
          <cell r="N1274"/>
          <cell r="O1274"/>
          <cell r="P1274"/>
          <cell r="Q1274"/>
          <cell r="R1274"/>
          <cell r="S1274"/>
          <cell r="T1274"/>
          <cell r="U1274"/>
          <cell r="V1274"/>
          <cell r="W1274"/>
          <cell r="X1274"/>
          <cell r="Y1274"/>
          <cell r="Z1274"/>
          <cell r="AA1274"/>
          <cell r="AB1274"/>
          <cell r="AC1274"/>
          <cell r="AD1274"/>
          <cell r="AE1274"/>
          <cell r="AF1274"/>
          <cell r="AG1274"/>
          <cell r="AH1274"/>
          <cell r="AI1274"/>
          <cell r="AJ1274"/>
          <cell r="AK1274"/>
          <cell r="AL1274"/>
          <cell r="AM1274"/>
          <cell r="AN1274"/>
          <cell r="AO1274"/>
          <cell r="AP1274"/>
          <cell r="AQ1274"/>
          <cell r="AR1274"/>
          <cell r="AS1274"/>
          <cell r="AT1274"/>
          <cell r="AU1274"/>
          <cell r="AV1274"/>
          <cell r="AW1274"/>
          <cell r="AX1274"/>
          <cell r="AY1274"/>
          <cell r="AZ1274"/>
        </row>
        <row r="1275">
          <cell r="A1275"/>
          <cell r="B1275"/>
          <cell r="C1275"/>
          <cell r="D1275"/>
          <cell r="E1275"/>
          <cell r="F1275"/>
          <cell r="G1275"/>
          <cell r="H1275"/>
          <cell r="I1275"/>
          <cell r="J1275"/>
          <cell r="K1275"/>
          <cell r="L1275"/>
          <cell r="M1275"/>
          <cell r="N1275"/>
          <cell r="O1275"/>
          <cell r="P1275"/>
          <cell r="Q1275"/>
          <cell r="R1275"/>
          <cell r="S1275"/>
          <cell r="T1275"/>
          <cell r="U1275"/>
          <cell r="V1275"/>
          <cell r="W1275"/>
          <cell r="X1275"/>
          <cell r="Y1275"/>
          <cell r="Z1275"/>
          <cell r="AA1275"/>
          <cell r="AB1275"/>
          <cell r="AC1275"/>
          <cell r="AD1275"/>
          <cell r="AE1275"/>
          <cell r="AF1275"/>
          <cell r="AG1275"/>
          <cell r="AH1275"/>
          <cell r="AI1275"/>
          <cell r="AJ1275"/>
          <cell r="AK1275"/>
          <cell r="AL1275"/>
          <cell r="AM1275"/>
          <cell r="AN1275"/>
          <cell r="AO1275"/>
          <cell r="AP1275"/>
          <cell r="AQ1275"/>
          <cell r="AR1275"/>
          <cell r="AS1275"/>
          <cell r="AT1275"/>
          <cell r="AU1275"/>
          <cell r="AV1275"/>
          <cell r="AW1275"/>
          <cell r="AX1275"/>
          <cell r="AY1275"/>
          <cell r="AZ1275"/>
        </row>
        <row r="1276">
          <cell r="A1276"/>
          <cell r="B1276"/>
          <cell r="C1276"/>
          <cell r="D1276"/>
          <cell r="E1276"/>
          <cell r="F1276"/>
          <cell r="G1276"/>
          <cell r="H1276"/>
          <cell r="I1276"/>
          <cell r="J1276"/>
          <cell r="K1276"/>
          <cell r="L1276"/>
          <cell r="M1276"/>
          <cell r="N1276"/>
          <cell r="O1276"/>
          <cell r="P1276"/>
          <cell r="Q1276"/>
          <cell r="R1276"/>
          <cell r="S1276"/>
          <cell r="T1276"/>
          <cell r="U1276"/>
          <cell r="V1276"/>
          <cell r="W1276"/>
          <cell r="X1276"/>
          <cell r="Y1276"/>
          <cell r="Z1276"/>
          <cell r="AA1276"/>
          <cell r="AB1276"/>
          <cell r="AC1276"/>
          <cell r="AD1276"/>
          <cell r="AE1276"/>
          <cell r="AF1276"/>
          <cell r="AG1276"/>
          <cell r="AH1276"/>
          <cell r="AI1276"/>
          <cell r="AJ1276"/>
          <cell r="AK1276"/>
          <cell r="AL1276"/>
          <cell r="AM1276"/>
          <cell r="AN1276"/>
          <cell r="AO1276"/>
          <cell r="AP1276"/>
          <cell r="AQ1276"/>
          <cell r="AR1276"/>
          <cell r="AS1276"/>
          <cell r="AT1276"/>
          <cell r="AU1276"/>
          <cell r="AV1276"/>
          <cell r="AW1276"/>
          <cell r="AX1276"/>
          <cell r="AY1276"/>
          <cell r="AZ1276"/>
        </row>
        <row r="1277">
          <cell r="A1277"/>
          <cell r="B1277"/>
          <cell r="C1277"/>
          <cell r="D1277"/>
          <cell r="E1277"/>
          <cell r="F1277"/>
          <cell r="G1277"/>
          <cell r="H1277"/>
          <cell r="I1277"/>
          <cell r="J1277"/>
          <cell r="K1277"/>
          <cell r="L1277"/>
          <cell r="M1277"/>
          <cell r="N1277"/>
          <cell r="O1277"/>
          <cell r="P1277"/>
          <cell r="Q1277"/>
          <cell r="R1277"/>
          <cell r="S1277"/>
          <cell r="T1277"/>
          <cell r="U1277"/>
          <cell r="V1277"/>
          <cell r="W1277"/>
          <cell r="X1277"/>
          <cell r="Y1277"/>
          <cell r="Z1277"/>
          <cell r="AA1277"/>
          <cell r="AB1277"/>
          <cell r="AC1277"/>
          <cell r="AD1277"/>
          <cell r="AE1277"/>
          <cell r="AF1277"/>
          <cell r="AG1277"/>
          <cell r="AH1277"/>
          <cell r="AI1277"/>
          <cell r="AJ1277"/>
          <cell r="AK1277"/>
          <cell r="AL1277"/>
          <cell r="AM1277"/>
          <cell r="AN1277"/>
          <cell r="AO1277"/>
          <cell r="AP1277"/>
          <cell r="AQ1277"/>
          <cell r="AR1277"/>
          <cell r="AS1277"/>
          <cell r="AT1277"/>
          <cell r="AU1277"/>
          <cell r="AV1277"/>
          <cell r="AW1277"/>
          <cell r="AX1277"/>
          <cell r="AY1277"/>
          <cell r="AZ1277"/>
        </row>
        <row r="1278">
          <cell r="A1278"/>
          <cell r="B1278"/>
          <cell r="C1278"/>
          <cell r="D1278"/>
          <cell r="E1278"/>
          <cell r="F1278"/>
          <cell r="G1278"/>
          <cell r="H1278"/>
          <cell r="I1278"/>
          <cell r="J1278"/>
          <cell r="K1278"/>
          <cell r="L1278"/>
          <cell r="M1278"/>
          <cell r="N1278"/>
          <cell r="O1278"/>
          <cell r="P1278"/>
          <cell r="Q1278"/>
          <cell r="R1278"/>
          <cell r="S1278"/>
          <cell r="T1278"/>
          <cell r="U1278"/>
          <cell r="V1278"/>
          <cell r="W1278"/>
          <cell r="X1278"/>
          <cell r="Y1278"/>
          <cell r="Z1278"/>
          <cell r="AA1278"/>
          <cell r="AB1278"/>
          <cell r="AC1278"/>
          <cell r="AD1278"/>
          <cell r="AE1278"/>
          <cell r="AF1278"/>
          <cell r="AG1278"/>
          <cell r="AH1278"/>
          <cell r="AI1278"/>
          <cell r="AJ1278"/>
          <cell r="AK1278"/>
          <cell r="AL1278"/>
          <cell r="AM1278"/>
          <cell r="AN1278"/>
          <cell r="AO1278"/>
          <cell r="AP1278"/>
          <cell r="AQ1278"/>
          <cell r="AR1278"/>
          <cell r="AS1278"/>
          <cell r="AT1278"/>
          <cell r="AU1278"/>
          <cell r="AV1278"/>
          <cell r="AW1278"/>
          <cell r="AX1278"/>
          <cell r="AY1278"/>
          <cell r="AZ1278"/>
        </row>
        <row r="1279">
          <cell r="A1279"/>
          <cell r="B1279"/>
          <cell r="C1279"/>
          <cell r="D1279"/>
          <cell r="E1279"/>
          <cell r="F1279"/>
          <cell r="G1279"/>
          <cell r="H1279"/>
          <cell r="I1279"/>
          <cell r="J1279"/>
          <cell r="K1279"/>
          <cell r="L1279"/>
          <cell r="M1279"/>
          <cell r="N1279"/>
          <cell r="O1279"/>
          <cell r="P1279"/>
          <cell r="Q1279"/>
          <cell r="R1279"/>
          <cell r="S1279"/>
          <cell r="T1279"/>
          <cell r="U1279"/>
          <cell r="V1279"/>
          <cell r="W1279"/>
          <cell r="X1279"/>
          <cell r="Y1279"/>
          <cell r="Z1279"/>
          <cell r="AA1279"/>
          <cell r="AB1279"/>
          <cell r="AC1279"/>
          <cell r="AD1279"/>
          <cell r="AE1279"/>
          <cell r="AF1279"/>
          <cell r="AG1279"/>
          <cell r="AH1279"/>
          <cell r="AI1279"/>
          <cell r="AJ1279"/>
          <cell r="AK1279"/>
          <cell r="AL1279"/>
          <cell r="AM1279"/>
          <cell r="AN1279"/>
          <cell r="AO1279"/>
          <cell r="AP1279"/>
          <cell r="AQ1279"/>
          <cell r="AR1279"/>
          <cell r="AS1279"/>
          <cell r="AT1279"/>
          <cell r="AU1279"/>
          <cell r="AV1279"/>
          <cell r="AW1279"/>
          <cell r="AX1279"/>
          <cell r="AY1279"/>
          <cell r="AZ1279"/>
        </row>
        <row r="1280">
          <cell r="A1280"/>
          <cell r="B1280"/>
          <cell r="C1280"/>
          <cell r="D1280"/>
          <cell r="E1280"/>
          <cell r="F1280"/>
          <cell r="G1280"/>
          <cell r="H1280"/>
          <cell r="I1280"/>
          <cell r="J1280"/>
          <cell r="K1280"/>
          <cell r="L1280"/>
          <cell r="M1280"/>
          <cell r="N1280"/>
          <cell r="O1280"/>
          <cell r="P1280"/>
          <cell r="Q1280"/>
          <cell r="R1280"/>
          <cell r="S1280"/>
          <cell r="T1280"/>
          <cell r="U1280"/>
          <cell r="V1280"/>
          <cell r="W1280"/>
          <cell r="X1280"/>
          <cell r="Y1280"/>
          <cell r="Z1280"/>
          <cell r="AA1280"/>
          <cell r="AB1280"/>
          <cell r="AC1280"/>
          <cell r="AD1280"/>
          <cell r="AE1280"/>
          <cell r="AF1280"/>
          <cell r="AG1280"/>
          <cell r="AH1280"/>
          <cell r="AI1280"/>
          <cell r="AJ1280"/>
          <cell r="AK1280"/>
          <cell r="AL1280"/>
          <cell r="AM1280"/>
          <cell r="AN1280"/>
          <cell r="AO1280"/>
          <cell r="AP1280"/>
          <cell r="AQ1280"/>
          <cell r="AR1280"/>
          <cell r="AS1280"/>
          <cell r="AT1280"/>
          <cell r="AU1280"/>
          <cell r="AV1280"/>
          <cell r="AW1280"/>
          <cell r="AX1280"/>
          <cell r="AY1280"/>
          <cell r="AZ1280"/>
        </row>
        <row r="1281">
          <cell r="A1281"/>
          <cell r="B1281"/>
          <cell r="C1281"/>
          <cell r="D1281"/>
          <cell r="E1281"/>
          <cell r="F1281"/>
          <cell r="G1281"/>
          <cell r="H1281"/>
          <cell r="I1281"/>
          <cell r="J1281"/>
          <cell r="K1281"/>
          <cell r="L1281"/>
          <cell r="M1281"/>
          <cell r="N1281"/>
          <cell r="O1281"/>
          <cell r="P1281"/>
          <cell r="Q1281"/>
          <cell r="R1281"/>
          <cell r="S1281"/>
          <cell r="T1281"/>
          <cell r="U1281"/>
          <cell r="V1281"/>
          <cell r="W1281"/>
          <cell r="X1281"/>
          <cell r="Y1281"/>
          <cell r="Z1281"/>
          <cell r="AA1281"/>
          <cell r="AB1281"/>
          <cell r="AC1281"/>
          <cell r="AD1281"/>
          <cell r="AE1281"/>
          <cell r="AF1281"/>
          <cell r="AG1281"/>
          <cell r="AH1281"/>
          <cell r="AI1281"/>
          <cell r="AJ1281"/>
          <cell r="AK1281"/>
          <cell r="AL1281"/>
          <cell r="AM1281"/>
          <cell r="AN1281"/>
          <cell r="AO1281"/>
          <cell r="AP1281"/>
          <cell r="AQ1281"/>
          <cell r="AR1281"/>
          <cell r="AS1281"/>
          <cell r="AT1281"/>
          <cell r="AU1281"/>
          <cell r="AV1281"/>
          <cell r="AW1281"/>
          <cell r="AX1281"/>
          <cell r="AY1281"/>
          <cell r="AZ1281"/>
        </row>
        <row r="1282">
          <cell r="A1282"/>
          <cell r="B1282"/>
          <cell r="C1282"/>
          <cell r="D1282"/>
          <cell r="E1282"/>
          <cell r="F1282"/>
          <cell r="G1282"/>
          <cell r="H1282"/>
          <cell r="I1282"/>
          <cell r="J1282"/>
          <cell r="K1282"/>
          <cell r="L1282"/>
          <cell r="M1282"/>
          <cell r="N1282"/>
          <cell r="O1282"/>
          <cell r="P1282"/>
          <cell r="Q1282"/>
          <cell r="R1282"/>
          <cell r="S1282"/>
          <cell r="T1282"/>
          <cell r="U1282"/>
          <cell r="V1282"/>
          <cell r="W1282"/>
          <cell r="X1282"/>
          <cell r="Y1282"/>
          <cell r="Z1282"/>
          <cell r="AA1282"/>
          <cell r="AB1282"/>
          <cell r="AC1282"/>
          <cell r="AD1282"/>
          <cell r="AE1282"/>
          <cell r="AF1282"/>
          <cell r="AG1282"/>
          <cell r="AH1282"/>
          <cell r="AI1282"/>
          <cell r="AJ1282"/>
          <cell r="AK1282"/>
          <cell r="AL1282"/>
          <cell r="AM1282"/>
          <cell r="AN1282"/>
          <cell r="AO1282"/>
          <cell r="AP1282"/>
          <cell r="AQ1282"/>
          <cell r="AR1282"/>
          <cell r="AS1282"/>
          <cell r="AT1282"/>
          <cell r="AU1282"/>
          <cell r="AV1282"/>
          <cell r="AW1282"/>
          <cell r="AX1282"/>
          <cell r="AY1282"/>
          <cell r="AZ1282"/>
        </row>
        <row r="1283">
          <cell r="A1283"/>
          <cell r="B1283"/>
          <cell r="C1283"/>
          <cell r="D1283"/>
          <cell r="E1283"/>
          <cell r="F1283"/>
          <cell r="G1283"/>
          <cell r="H1283"/>
          <cell r="I1283"/>
          <cell r="J1283"/>
          <cell r="K1283"/>
          <cell r="L1283"/>
          <cell r="M1283"/>
          <cell r="N1283"/>
          <cell r="O1283"/>
          <cell r="P1283"/>
          <cell r="Q1283"/>
          <cell r="R1283"/>
          <cell r="S1283"/>
          <cell r="T1283"/>
          <cell r="U1283"/>
          <cell r="V1283"/>
          <cell r="W1283"/>
          <cell r="X1283"/>
          <cell r="Y1283"/>
          <cell r="Z1283"/>
          <cell r="AA1283"/>
          <cell r="AB1283"/>
          <cell r="AC1283"/>
          <cell r="AD1283"/>
          <cell r="AE1283"/>
          <cell r="AF1283"/>
          <cell r="AG1283"/>
          <cell r="AH1283"/>
          <cell r="AI1283"/>
          <cell r="AJ1283"/>
          <cell r="AK1283"/>
          <cell r="AL1283"/>
          <cell r="AM1283"/>
          <cell r="AN1283"/>
          <cell r="AO1283"/>
          <cell r="AP1283"/>
          <cell r="AQ1283"/>
          <cell r="AR1283"/>
          <cell r="AS1283"/>
          <cell r="AT1283"/>
          <cell r="AU1283"/>
          <cell r="AV1283"/>
          <cell r="AW1283"/>
          <cell r="AX1283"/>
          <cell r="AY1283"/>
          <cell r="AZ1283"/>
        </row>
        <row r="1284">
          <cell r="A1284"/>
          <cell r="B1284"/>
          <cell r="C1284"/>
          <cell r="D1284"/>
          <cell r="E1284"/>
          <cell r="F1284"/>
          <cell r="G1284"/>
          <cell r="H1284"/>
          <cell r="I1284"/>
          <cell r="J1284"/>
          <cell r="K1284"/>
          <cell r="L1284"/>
          <cell r="M1284"/>
          <cell r="N1284"/>
          <cell r="O1284"/>
          <cell r="P1284"/>
          <cell r="Q1284"/>
          <cell r="R1284"/>
          <cell r="S1284"/>
          <cell r="T1284"/>
          <cell r="U1284"/>
          <cell r="V1284"/>
          <cell r="W1284"/>
          <cell r="X1284"/>
          <cell r="Y1284"/>
          <cell r="Z1284"/>
          <cell r="AA1284"/>
          <cell r="AB1284"/>
          <cell r="AC1284"/>
          <cell r="AD1284"/>
          <cell r="AE1284"/>
          <cell r="AF1284"/>
          <cell r="AG1284"/>
          <cell r="AH1284"/>
          <cell r="AI1284"/>
          <cell r="AJ1284"/>
          <cell r="AK1284"/>
          <cell r="AL1284"/>
          <cell r="AM1284"/>
          <cell r="AN1284"/>
          <cell r="AO1284"/>
          <cell r="AP1284"/>
          <cell r="AQ1284"/>
          <cell r="AR1284"/>
          <cell r="AS1284"/>
          <cell r="AT1284"/>
          <cell r="AU1284"/>
          <cell r="AV1284"/>
          <cell r="AW1284"/>
          <cell r="AX1284"/>
          <cell r="AY1284"/>
          <cell r="AZ1284"/>
        </row>
        <row r="1285">
          <cell r="A1285"/>
          <cell r="B1285"/>
          <cell r="C1285"/>
          <cell r="D1285"/>
          <cell r="E1285"/>
          <cell r="F1285"/>
          <cell r="G1285"/>
          <cell r="H1285"/>
          <cell r="I1285"/>
          <cell r="J1285"/>
          <cell r="K1285"/>
          <cell r="L1285"/>
          <cell r="M1285"/>
          <cell r="N1285"/>
          <cell r="O1285"/>
          <cell r="P1285"/>
          <cell r="Q1285"/>
          <cell r="R1285"/>
          <cell r="S1285"/>
          <cell r="T1285"/>
          <cell r="U1285"/>
          <cell r="V1285"/>
          <cell r="W1285"/>
          <cell r="X1285"/>
          <cell r="Y1285"/>
          <cell r="Z1285"/>
          <cell r="AA1285"/>
          <cell r="AB1285"/>
          <cell r="AC1285"/>
          <cell r="AD1285"/>
          <cell r="AE1285"/>
          <cell r="AF1285"/>
          <cell r="AG1285"/>
          <cell r="AH1285"/>
          <cell r="AI1285"/>
          <cell r="AJ1285"/>
          <cell r="AK1285"/>
          <cell r="AL1285"/>
          <cell r="AM1285"/>
          <cell r="AN1285"/>
          <cell r="AO1285"/>
          <cell r="AP1285"/>
          <cell r="AQ1285"/>
          <cell r="AR1285"/>
          <cell r="AS1285"/>
          <cell r="AT1285"/>
          <cell r="AU1285"/>
          <cell r="AV1285"/>
          <cell r="AW1285"/>
          <cell r="AX1285"/>
          <cell r="AY1285"/>
          <cell r="AZ1285"/>
        </row>
        <row r="1286">
          <cell r="A1286"/>
          <cell r="B1286"/>
          <cell r="C1286"/>
          <cell r="D1286"/>
          <cell r="E1286"/>
          <cell r="F1286"/>
          <cell r="G1286"/>
          <cell r="H1286"/>
          <cell r="I1286"/>
          <cell r="J1286"/>
          <cell r="K1286"/>
          <cell r="L1286"/>
          <cell r="M1286"/>
          <cell r="N1286"/>
          <cell r="O1286"/>
          <cell r="P1286"/>
          <cell r="Q1286"/>
          <cell r="R1286"/>
          <cell r="S1286"/>
          <cell r="T1286"/>
          <cell r="U1286"/>
          <cell r="V1286"/>
          <cell r="W1286"/>
          <cell r="X1286"/>
          <cell r="Y1286"/>
          <cell r="Z1286"/>
          <cell r="AA1286"/>
          <cell r="AB1286"/>
          <cell r="AC1286"/>
          <cell r="AD1286"/>
          <cell r="AE1286"/>
          <cell r="AF1286"/>
          <cell r="AG1286"/>
          <cell r="AH1286"/>
          <cell r="AI1286"/>
          <cell r="AJ1286"/>
          <cell r="AK1286"/>
          <cell r="AL1286"/>
          <cell r="AM1286"/>
          <cell r="AN1286"/>
          <cell r="AO1286"/>
          <cell r="AP1286"/>
          <cell r="AQ1286"/>
          <cell r="AR1286"/>
          <cell r="AS1286"/>
          <cell r="AT1286"/>
          <cell r="AU1286"/>
          <cell r="AV1286"/>
          <cell r="AW1286"/>
          <cell r="AX1286"/>
          <cell r="AY1286"/>
          <cell r="AZ1286"/>
        </row>
        <row r="1287">
          <cell r="A1287"/>
          <cell r="B1287"/>
          <cell r="C1287"/>
          <cell r="D1287"/>
          <cell r="E1287"/>
          <cell r="F1287"/>
          <cell r="G1287"/>
          <cell r="H1287"/>
          <cell r="I1287"/>
          <cell r="J1287"/>
          <cell r="K1287"/>
          <cell r="L1287"/>
          <cell r="M1287"/>
          <cell r="N1287"/>
          <cell r="O1287"/>
          <cell r="P1287"/>
          <cell r="Q1287"/>
          <cell r="R1287"/>
          <cell r="S1287"/>
          <cell r="T1287"/>
          <cell r="U1287"/>
          <cell r="V1287"/>
          <cell r="W1287"/>
          <cell r="X1287"/>
          <cell r="Y1287"/>
          <cell r="Z1287"/>
          <cell r="AA1287"/>
          <cell r="AB1287"/>
          <cell r="AC1287"/>
          <cell r="AD1287"/>
          <cell r="AE1287"/>
          <cell r="AF1287"/>
          <cell r="AG1287"/>
          <cell r="AH1287"/>
          <cell r="AI1287"/>
          <cell r="AJ1287"/>
          <cell r="AK1287"/>
          <cell r="AL1287"/>
          <cell r="AM1287"/>
          <cell r="AN1287"/>
          <cell r="AO1287"/>
          <cell r="AP1287"/>
          <cell r="AQ1287"/>
          <cell r="AR1287"/>
          <cell r="AS1287"/>
          <cell r="AT1287"/>
          <cell r="AU1287"/>
          <cell r="AV1287"/>
          <cell r="AW1287"/>
          <cell r="AX1287"/>
          <cell r="AY1287"/>
          <cell r="AZ1287"/>
        </row>
        <row r="1288">
          <cell r="A1288"/>
          <cell r="B1288"/>
          <cell r="C1288"/>
          <cell r="D1288"/>
          <cell r="E1288"/>
          <cell r="F1288"/>
          <cell r="G1288"/>
          <cell r="H1288"/>
          <cell r="I1288"/>
          <cell r="J1288"/>
          <cell r="K1288"/>
          <cell r="L1288"/>
          <cell r="M1288"/>
          <cell r="N1288"/>
          <cell r="O1288"/>
          <cell r="P1288"/>
          <cell r="Q1288"/>
          <cell r="R1288"/>
          <cell r="S1288"/>
          <cell r="T1288"/>
          <cell r="U1288"/>
          <cell r="V1288"/>
          <cell r="W1288"/>
          <cell r="X1288"/>
          <cell r="Y1288"/>
          <cell r="Z1288"/>
          <cell r="AA1288"/>
          <cell r="AB1288"/>
          <cell r="AC1288"/>
          <cell r="AD1288"/>
          <cell r="AE1288"/>
          <cell r="AF1288"/>
          <cell r="AG1288"/>
          <cell r="AH1288"/>
          <cell r="AI1288"/>
          <cell r="AJ1288"/>
          <cell r="AK1288"/>
          <cell r="AL1288"/>
          <cell r="AM1288"/>
          <cell r="AN1288"/>
          <cell r="AO1288"/>
          <cell r="AP1288"/>
          <cell r="AQ1288"/>
          <cell r="AR1288"/>
          <cell r="AS1288"/>
          <cell r="AT1288"/>
          <cell r="AU1288"/>
          <cell r="AV1288"/>
          <cell r="AW1288"/>
          <cell r="AX1288"/>
          <cell r="AY1288"/>
          <cell r="AZ1288"/>
        </row>
        <row r="1289">
          <cell r="A1289"/>
          <cell r="B1289"/>
          <cell r="C1289"/>
          <cell r="D1289"/>
          <cell r="E1289"/>
          <cell r="F1289"/>
          <cell r="G1289"/>
          <cell r="H1289"/>
          <cell r="I1289"/>
          <cell r="J1289"/>
          <cell r="K1289"/>
          <cell r="L1289"/>
          <cell r="M1289"/>
          <cell r="N1289"/>
          <cell r="O1289"/>
          <cell r="P1289"/>
          <cell r="Q1289"/>
          <cell r="R1289"/>
          <cell r="S1289"/>
          <cell r="T1289"/>
          <cell r="U1289"/>
          <cell r="V1289"/>
          <cell r="W1289"/>
          <cell r="X1289"/>
          <cell r="Y1289"/>
          <cell r="Z1289"/>
          <cell r="AA1289"/>
          <cell r="AB1289"/>
          <cell r="AC1289"/>
          <cell r="AD1289"/>
          <cell r="AE1289"/>
          <cell r="AF1289"/>
          <cell r="AG1289"/>
          <cell r="AH1289"/>
          <cell r="AI1289"/>
          <cell r="AJ1289"/>
          <cell r="AK1289"/>
          <cell r="AL1289"/>
          <cell r="AM1289"/>
          <cell r="AN1289"/>
          <cell r="AO1289"/>
          <cell r="AP1289"/>
          <cell r="AQ1289"/>
          <cell r="AR1289"/>
          <cell r="AS1289"/>
          <cell r="AT1289"/>
          <cell r="AU1289"/>
          <cell r="AV1289"/>
          <cell r="AW1289"/>
          <cell r="AX1289"/>
          <cell r="AY1289"/>
          <cell r="AZ1289"/>
        </row>
        <row r="1290">
          <cell r="A1290"/>
          <cell r="B1290"/>
          <cell r="C1290"/>
          <cell r="D1290"/>
          <cell r="E1290"/>
          <cell r="F1290"/>
          <cell r="G1290"/>
          <cell r="H1290"/>
          <cell r="I1290"/>
          <cell r="J1290"/>
          <cell r="K1290"/>
          <cell r="L1290"/>
          <cell r="M1290"/>
          <cell r="N1290"/>
          <cell r="O1290"/>
          <cell r="P1290"/>
          <cell r="Q1290"/>
          <cell r="R1290"/>
          <cell r="S1290"/>
          <cell r="T1290"/>
          <cell r="U1290"/>
          <cell r="V1290"/>
          <cell r="W1290"/>
          <cell r="X1290"/>
          <cell r="Y1290"/>
          <cell r="Z1290"/>
          <cell r="AA1290"/>
          <cell r="AB1290"/>
          <cell r="AC1290"/>
          <cell r="AD1290"/>
          <cell r="AE1290"/>
          <cell r="AF1290"/>
          <cell r="AG1290"/>
          <cell r="AH1290"/>
          <cell r="AI1290"/>
          <cell r="AJ1290"/>
          <cell r="AK1290"/>
          <cell r="AL1290"/>
          <cell r="AM1290"/>
          <cell r="AN1290"/>
          <cell r="AO1290"/>
          <cell r="AP1290"/>
          <cell r="AQ1290"/>
          <cell r="AR1290"/>
          <cell r="AS1290"/>
          <cell r="AT1290"/>
          <cell r="AU1290"/>
          <cell r="AV1290"/>
          <cell r="AW1290"/>
          <cell r="AX1290"/>
          <cell r="AY1290"/>
          <cell r="AZ1290"/>
        </row>
        <row r="1291">
          <cell r="A1291"/>
          <cell r="B1291"/>
          <cell r="C1291"/>
          <cell r="D1291"/>
          <cell r="E1291"/>
          <cell r="F1291"/>
          <cell r="G1291"/>
          <cell r="H1291"/>
          <cell r="I1291"/>
          <cell r="J1291"/>
          <cell r="K1291"/>
          <cell r="L1291"/>
          <cell r="M1291"/>
          <cell r="N1291"/>
          <cell r="O1291"/>
          <cell r="P1291"/>
          <cell r="Q1291"/>
          <cell r="R1291"/>
          <cell r="S1291"/>
          <cell r="T1291"/>
          <cell r="U1291"/>
          <cell r="V1291"/>
          <cell r="W1291"/>
          <cell r="X1291"/>
          <cell r="Y1291"/>
          <cell r="Z1291"/>
          <cell r="AA1291"/>
          <cell r="AB1291"/>
          <cell r="AC1291"/>
          <cell r="AD1291"/>
          <cell r="AE1291"/>
          <cell r="AF1291"/>
          <cell r="AG1291"/>
          <cell r="AH1291"/>
          <cell r="AI1291"/>
          <cell r="AJ1291"/>
          <cell r="AK1291"/>
          <cell r="AL1291"/>
          <cell r="AM1291"/>
          <cell r="AN1291"/>
          <cell r="AO1291"/>
          <cell r="AP1291"/>
          <cell r="AQ1291"/>
          <cell r="AR1291"/>
          <cell r="AS1291"/>
          <cell r="AT1291"/>
          <cell r="AU1291"/>
          <cell r="AV1291"/>
          <cell r="AW1291"/>
          <cell r="AX1291"/>
          <cell r="AY1291"/>
          <cell r="AZ1291"/>
        </row>
        <row r="1292">
          <cell r="A1292"/>
          <cell r="B1292"/>
          <cell r="C1292"/>
          <cell r="D1292"/>
          <cell r="E1292"/>
          <cell r="F1292"/>
          <cell r="G1292"/>
          <cell r="H1292"/>
          <cell r="I1292"/>
          <cell r="J1292"/>
          <cell r="K1292"/>
          <cell r="L1292"/>
          <cell r="M1292"/>
          <cell r="N1292"/>
          <cell r="O1292"/>
          <cell r="P1292"/>
          <cell r="Q1292"/>
          <cell r="R1292"/>
          <cell r="S1292"/>
          <cell r="T1292"/>
          <cell r="U1292"/>
          <cell r="V1292"/>
          <cell r="W1292"/>
          <cell r="X1292"/>
          <cell r="Y1292"/>
          <cell r="Z1292"/>
          <cell r="AA1292"/>
          <cell r="AB1292"/>
          <cell r="AC1292"/>
          <cell r="AD1292"/>
          <cell r="AE1292"/>
          <cell r="AF1292"/>
          <cell r="AG1292"/>
          <cell r="AH1292"/>
          <cell r="AI1292"/>
          <cell r="AJ1292"/>
          <cell r="AK1292"/>
          <cell r="AL1292"/>
          <cell r="AM1292"/>
          <cell r="AN1292"/>
          <cell r="AO1292"/>
          <cell r="AP1292"/>
          <cell r="AQ1292"/>
          <cell r="AR1292"/>
          <cell r="AS1292"/>
          <cell r="AT1292"/>
          <cell r="AU1292"/>
          <cell r="AV1292"/>
          <cell r="AW1292"/>
          <cell r="AX1292"/>
          <cell r="AY1292"/>
          <cell r="AZ1292"/>
        </row>
        <row r="1293">
          <cell r="A1293"/>
          <cell r="B1293"/>
          <cell r="C1293"/>
          <cell r="D1293"/>
          <cell r="E1293"/>
          <cell r="F1293"/>
          <cell r="G1293"/>
          <cell r="H1293"/>
          <cell r="I1293"/>
          <cell r="J1293"/>
          <cell r="K1293"/>
          <cell r="L1293"/>
          <cell r="M1293"/>
          <cell r="N1293"/>
          <cell r="O1293"/>
          <cell r="P1293"/>
          <cell r="Q1293"/>
          <cell r="R1293"/>
          <cell r="S1293"/>
          <cell r="T1293"/>
          <cell r="U1293"/>
          <cell r="V1293"/>
          <cell r="W1293"/>
          <cell r="X1293"/>
          <cell r="Y1293"/>
          <cell r="Z1293"/>
          <cell r="AA1293"/>
          <cell r="AB1293"/>
          <cell r="AC1293"/>
          <cell r="AD1293"/>
          <cell r="AE1293"/>
          <cell r="AF1293"/>
          <cell r="AG1293"/>
          <cell r="AH1293"/>
          <cell r="AI1293"/>
          <cell r="AJ1293"/>
          <cell r="AK1293"/>
          <cell r="AL1293"/>
          <cell r="AM1293"/>
          <cell r="AN1293"/>
          <cell r="AO1293"/>
          <cell r="AP1293"/>
          <cell r="AQ1293"/>
          <cell r="AR1293"/>
          <cell r="AS1293"/>
          <cell r="AT1293"/>
          <cell r="AU1293"/>
          <cell r="AV1293"/>
          <cell r="AW1293"/>
          <cell r="AX1293"/>
          <cell r="AY1293"/>
          <cell r="AZ1293"/>
        </row>
        <row r="1294">
          <cell r="A1294"/>
          <cell r="B1294"/>
          <cell r="C1294"/>
          <cell r="D1294"/>
          <cell r="E1294"/>
          <cell r="F1294"/>
          <cell r="G1294"/>
          <cell r="H1294"/>
          <cell r="I1294"/>
          <cell r="J1294"/>
          <cell r="K1294"/>
          <cell r="L1294"/>
          <cell r="M1294"/>
          <cell r="N1294"/>
          <cell r="O1294"/>
          <cell r="P1294"/>
          <cell r="Q1294"/>
          <cell r="R1294"/>
          <cell r="S1294"/>
          <cell r="T1294"/>
          <cell r="U1294"/>
          <cell r="V1294"/>
          <cell r="W1294"/>
          <cell r="X1294"/>
          <cell r="Y1294"/>
          <cell r="Z1294"/>
          <cell r="AA1294"/>
          <cell r="AB1294"/>
          <cell r="AC1294"/>
          <cell r="AD1294"/>
          <cell r="AE1294"/>
          <cell r="AF1294"/>
          <cell r="AG1294"/>
          <cell r="AH1294"/>
          <cell r="AI1294"/>
          <cell r="AJ1294"/>
          <cell r="AK1294"/>
          <cell r="AL1294"/>
          <cell r="AM1294"/>
          <cell r="AN1294"/>
          <cell r="AO1294"/>
          <cell r="AP1294"/>
          <cell r="AQ1294"/>
          <cell r="AR1294"/>
          <cell r="AS1294"/>
          <cell r="AT1294"/>
          <cell r="AU1294"/>
          <cell r="AV1294"/>
          <cell r="AW1294"/>
          <cell r="AX1294"/>
          <cell r="AY1294"/>
          <cell r="AZ1294"/>
        </row>
        <row r="1295">
          <cell r="A1295"/>
          <cell r="B1295"/>
          <cell r="C1295"/>
          <cell r="D1295"/>
          <cell r="E1295"/>
          <cell r="F1295"/>
          <cell r="G1295"/>
          <cell r="H1295"/>
          <cell r="I1295"/>
          <cell r="J1295"/>
          <cell r="K1295"/>
          <cell r="L1295"/>
          <cell r="M1295"/>
          <cell r="N1295"/>
          <cell r="O1295"/>
          <cell r="P1295"/>
          <cell r="Q1295"/>
          <cell r="R1295"/>
          <cell r="S1295"/>
          <cell r="T1295"/>
          <cell r="U1295"/>
          <cell r="V1295"/>
          <cell r="W1295"/>
          <cell r="X1295"/>
          <cell r="Y1295"/>
          <cell r="Z1295"/>
          <cell r="AA1295"/>
          <cell r="AB1295"/>
          <cell r="AC1295"/>
          <cell r="AD1295"/>
          <cell r="AE1295"/>
          <cell r="AF1295"/>
          <cell r="AG1295"/>
          <cell r="AH1295"/>
          <cell r="AI1295"/>
          <cell r="AJ1295"/>
          <cell r="AK1295"/>
          <cell r="AL1295"/>
          <cell r="AM1295"/>
          <cell r="AN1295"/>
          <cell r="AO1295"/>
          <cell r="AP1295"/>
          <cell r="AQ1295"/>
          <cell r="AR1295"/>
          <cell r="AS1295"/>
          <cell r="AT1295"/>
          <cell r="AU1295"/>
          <cell r="AV1295"/>
          <cell r="AW1295"/>
          <cell r="AX1295"/>
          <cell r="AY1295"/>
          <cell r="AZ1295"/>
        </row>
        <row r="1296">
          <cell r="A1296"/>
          <cell r="B1296"/>
          <cell r="C1296"/>
          <cell r="D1296"/>
          <cell r="E1296"/>
          <cell r="F1296"/>
          <cell r="G1296"/>
          <cell r="H1296"/>
          <cell r="I1296"/>
          <cell r="J1296"/>
          <cell r="K1296"/>
          <cell r="L1296"/>
          <cell r="M1296"/>
          <cell r="N1296"/>
          <cell r="O1296"/>
          <cell r="P1296"/>
          <cell r="Q1296"/>
          <cell r="R1296"/>
          <cell r="S1296"/>
          <cell r="T1296"/>
          <cell r="U1296"/>
          <cell r="V1296"/>
          <cell r="W1296"/>
          <cell r="X1296"/>
          <cell r="Y1296"/>
          <cell r="Z1296"/>
          <cell r="AA1296"/>
          <cell r="AB1296"/>
          <cell r="AC1296"/>
          <cell r="AD1296"/>
          <cell r="AE1296"/>
          <cell r="AF1296"/>
          <cell r="AG1296"/>
          <cell r="AH1296"/>
          <cell r="AI1296"/>
          <cell r="AJ1296"/>
          <cell r="AK1296"/>
          <cell r="AL1296"/>
          <cell r="AM1296"/>
          <cell r="AN1296"/>
          <cell r="AO1296"/>
          <cell r="AP1296"/>
          <cell r="AQ1296"/>
          <cell r="AR1296"/>
          <cell r="AS1296"/>
          <cell r="AT1296"/>
          <cell r="AU1296"/>
          <cell r="AV1296"/>
          <cell r="AW1296"/>
          <cell r="AX1296"/>
          <cell r="AY1296"/>
          <cell r="AZ1296"/>
        </row>
        <row r="1297">
          <cell r="A1297"/>
          <cell r="B1297"/>
          <cell r="C1297"/>
          <cell r="D1297"/>
          <cell r="E1297"/>
          <cell r="F1297"/>
          <cell r="G1297"/>
          <cell r="H1297"/>
          <cell r="I1297"/>
          <cell r="J1297"/>
          <cell r="K1297"/>
          <cell r="L1297"/>
          <cell r="M1297"/>
          <cell r="N1297"/>
          <cell r="O1297"/>
          <cell r="P1297"/>
          <cell r="Q1297"/>
          <cell r="R1297"/>
          <cell r="S1297"/>
          <cell r="T1297"/>
          <cell r="U1297"/>
          <cell r="V1297"/>
          <cell r="W1297"/>
          <cell r="X1297"/>
          <cell r="Y1297"/>
          <cell r="Z1297"/>
          <cell r="AA1297"/>
          <cell r="AB1297"/>
          <cell r="AC1297"/>
          <cell r="AD1297"/>
          <cell r="AE1297"/>
          <cell r="AF1297"/>
          <cell r="AG1297"/>
          <cell r="AH1297"/>
          <cell r="AI1297"/>
          <cell r="AJ1297"/>
          <cell r="AK1297"/>
          <cell r="AL1297"/>
          <cell r="AM1297"/>
          <cell r="AN1297"/>
          <cell r="AO1297"/>
          <cell r="AP1297"/>
          <cell r="AQ1297"/>
          <cell r="AR1297"/>
          <cell r="AS1297"/>
          <cell r="AT1297"/>
          <cell r="AU1297"/>
          <cell r="AV1297"/>
          <cell r="AW1297"/>
          <cell r="AX1297"/>
          <cell r="AY1297"/>
          <cell r="AZ1297"/>
        </row>
        <row r="1298">
          <cell r="A1298"/>
          <cell r="B1298"/>
          <cell r="C1298"/>
          <cell r="D1298"/>
          <cell r="E1298"/>
          <cell r="F1298"/>
          <cell r="G1298"/>
          <cell r="H1298"/>
          <cell r="I1298"/>
          <cell r="J1298"/>
          <cell r="K1298"/>
          <cell r="L1298"/>
          <cell r="M1298"/>
          <cell r="N1298"/>
          <cell r="O1298"/>
          <cell r="P1298"/>
          <cell r="Q1298"/>
          <cell r="R1298"/>
          <cell r="S1298"/>
          <cell r="T1298"/>
          <cell r="U1298"/>
          <cell r="V1298"/>
          <cell r="W1298"/>
          <cell r="X1298"/>
          <cell r="Y1298"/>
          <cell r="Z1298"/>
          <cell r="AA1298"/>
          <cell r="AB1298"/>
          <cell r="AC1298"/>
          <cell r="AD1298"/>
          <cell r="AE1298"/>
          <cell r="AF1298"/>
          <cell r="AG1298"/>
          <cell r="AH1298"/>
          <cell r="AI1298"/>
          <cell r="AJ1298"/>
          <cell r="AK1298"/>
          <cell r="AL1298"/>
          <cell r="AM1298"/>
          <cell r="AN1298"/>
          <cell r="AO1298"/>
          <cell r="AP1298"/>
          <cell r="AQ1298"/>
          <cell r="AR1298"/>
          <cell r="AS1298"/>
          <cell r="AT1298"/>
          <cell r="AU1298"/>
          <cell r="AV1298"/>
          <cell r="AW1298"/>
          <cell r="AX1298"/>
          <cell r="AY1298"/>
          <cell r="AZ1298"/>
        </row>
        <row r="1299">
          <cell r="A1299"/>
          <cell r="B1299"/>
          <cell r="C1299"/>
          <cell r="D1299"/>
          <cell r="E1299"/>
          <cell r="F1299"/>
          <cell r="G1299"/>
          <cell r="H1299"/>
          <cell r="I1299"/>
          <cell r="J1299"/>
          <cell r="K1299"/>
          <cell r="L1299"/>
          <cell r="M1299"/>
          <cell r="N1299"/>
          <cell r="O1299"/>
          <cell r="P1299"/>
          <cell r="Q1299"/>
          <cell r="R1299"/>
          <cell r="S1299"/>
          <cell r="T1299"/>
          <cell r="U1299"/>
          <cell r="V1299"/>
          <cell r="W1299"/>
          <cell r="X1299"/>
          <cell r="Y1299"/>
          <cell r="Z1299"/>
          <cell r="AA1299"/>
          <cell r="AB1299"/>
          <cell r="AC1299"/>
          <cell r="AD1299"/>
          <cell r="AE1299"/>
          <cell r="AF1299"/>
          <cell r="AG1299"/>
          <cell r="AH1299"/>
          <cell r="AI1299"/>
          <cell r="AJ1299"/>
          <cell r="AK1299"/>
          <cell r="AL1299"/>
          <cell r="AM1299"/>
          <cell r="AN1299"/>
          <cell r="AO1299"/>
          <cell r="AP1299"/>
          <cell r="AQ1299"/>
          <cell r="AR1299"/>
          <cell r="AS1299"/>
          <cell r="AT1299"/>
          <cell r="AU1299"/>
          <cell r="AV1299"/>
          <cell r="AW1299"/>
          <cell r="AX1299"/>
          <cell r="AY1299"/>
          <cell r="AZ1299"/>
        </row>
        <row r="1300">
          <cell r="A1300"/>
          <cell r="B1300"/>
          <cell r="C1300"/>
          <cell r="D1300"/>
          <cell r="E1300"/>
          <cell r="F1300"/>
          <cell r="G1300"/>
          <cell r="H1300"/>
          <cell r="I1300"/>
          <cell r="J1300"/>
          <cell r="K1300"/>
          <cell r="L1300"/>
          <cell r="M1300"/>
          <cell r="N1300"/>
          <cell r="O1300"/>
          <cell r="P1300"/>
          <cell r="Q1300"/>
          <cell r="R1300"/>
          <cell r="S1300"/>
          <cell r="T1300"/>
          <cell r="U1300"/>
          <cell r="V1300"/>
          <cell r="W1300"/>
          <cell r="X1300"/>
          <cell r="Y1300"/>
          <cell r="Z1300"/>
          <cell r="AA1300"/>
          <cell r="AB1300"/>
          <cell r="AC1300"/>
          <cell r="AD1300"/>
          <cell r="AE1300"/>
          <cell r="AF1300"/>
          <cell r="AG1300"/>
          <cell r="AH1300"/>
          <cell r="AI1300"/>
          <cell r="AJ1300"/>
          <cell r="AK1300"/>
          <cell r="AL1300"/>
          <cell r="AM1300"/>
          <cell r="AN1300"/>
          <cell r="AO1300"/>
          <cell r="AP1300"/>
          <cell r="AQ1300"/>
          <cell r="AR1300"/>
          <cell r="AS1300"/>
          <cell r="AT1300"/>
          <cell r="AU1300"/>
          <cell r="AV1300"/>
          <cell r="AW1300"/>
          <cell r="AX1300"/>
          <cell r="AY1300"/>
          <cell r="AZ1300"/>
        </row>
        <row r="1301">
          <cell r="A1301"/>
          <cell r="B1301"/>
          <cell r="C1301"/>
          <cell r="D1301"/>
          <cell r="E1301"/>
          <cell r="F1301"/>
          <cell r="G1301"/>
          <cell r="H1301"/>
          <cell r="I1301"/>
          <cell r="J1301"/>
          <cell r="K1301"/>
          <cell r="L1301"/>
          <cell r="M1301"/>
          <cell r="N1301"/>
          <cell r="O1301"/>
          <cell r="P1301"/>
          <cell r="Q1301"/>
          <cell r="R1301"/>
          <cell r="S1301"/>
          <cell r="T1301"/>
          <cell r="U1301"/>
          <cell r="V1301"/>
          <cell r="W1301"/>
          <cell r="X1301"/>
          <cell r="Y1301"/>
          <cell r="Z1301"/>
          <cell r="AA1301"/>
          <cell r="AB1301"/>
          <cell r="AC1301"/>
          <cell r="AD1301"/>
          <cell r="AE1301"/>
          <cell r="AF1301"/>
          <cell r="AG1301"/>
          <cell r="AH1301"/>
          <cell r="AI1301"/>
          <cell r="AJ1301"/>
          <cell r="AK1301"/>
          <cell r="AL1301"/>
          <cell r="AM1301"/>
          <cell r="AN1301"/>
          <cell r="AO1301"/>
          <cell r="AP1301"/>
          <cell r="AQ1301"/>
          <cell r="AR1301"/>
          <cell r="AS1301"/>
          <cell r="AT1301"/>
          <cell r="AU1301"/>
          <cell r="AV1301"/>
          <cell r="AW1301"/>
          <cell r="AX1301"/>
          <cell r="AY1301"/>
          <cell r="AZ1301"/>
        </row>
        <row r="1302">
          <cell r="A1302"/>
          <cell r="B1302"/>
          <cell r="C1302"/>
          <cell r="D1302"/>
          <cell r="E1302"/>
          <cell r="F1302"/>
          <cell r="G1302"/>
          <cell r="H1302"/>
          <cell r="I1302"/>
          <cell r="J1302"/>
          <cell r="K1302"/>
          <cell r="L1302"/>
          <cell r="M1302"/>
          <cell r="N1302"/>
          <cell r="O1302"/>
          <cell r="P1302"/>
          <cell r="Q1302"/>
          <cell r="R1302"/>
          <cell r="S1302"/>
          <cell r="T1302"/>
          <cell r="U1302"/>
          <cell r="V1302"/>
          <cell r="W1302"/>
          <cell r="X1302"/>
          <cell r="Y1302"/>
          <cell r="Z1302"/>
          <cell r="AA1302"/>
          <cell r="AB1302"/>
          <cell r="AC1302"/>
          <cell r="AD1302"/>
          <cell r="AE1302"/>
          <cell r="AF1302"/>
          <cell r="AG1302"/>
          <cell r="AH1302"/>
          <cell r="AI1302"/>
          <cell r="AJ1302"/>
          <cell r="AK1302"/>
          <cell r="AL1302"/>
          <cell r="AM1302"/>
          <cell r="AN1302"/>
          <cell r="AO1302"/>
          <cell r="AP1302"/>
          <cell r="AQ1302"/>
          <cell r="AR1302"/>
          <cell r="AS1302"/>
          <cell r="AT1302"/>
          <cell r="AU1302"/>
          <cell r="AV1302"/>
          <cell r="AW1302"/>
          <cell r="AX1302"/>
          <cell r="AY1302"/>
          <cell r="AZ1302"/>
        </row>
        <row r="1303">
          <cell r="A1303"/>
          <cell r="B1303"/>
          <cell r="C1303"/>
          <cell r="D1303"/>
          <cell r="E1303"/>
          <cell r="F1303"/>
          <cell r="G1303"/>
          <cell r="H1303"/>
          <cell r="I1303"/>
          <cell r="J1303"/>
          <cell r="K1303"/>
          <cell r="L1303"/>
          <cell r="M1303"/>
          <cell r="N1303"/>
          <cell r="O1303"/>
          <cell r="P1303"/>
          <cell r="Q1303"/>
          <cell r="R1303"/>
          <cell r="S1303"/>
          <cell r="T1303"/>
          <cell r="U1303"/>
          <cell r="V1303"/>
          <cell r="W1303"/>
          <cell r="X1303"/>
          <cell r="Y1303"/>
          <cell r="Z1303"/>
          <cell r="AA1303"/>
          <cell r="AB1303"/>
          <cell r="AC1303"/>
          <cell r="AD1303"/>
          <cell r="AE1303"/>
          <cell r="AF1303"/>
          <cell r="AG1303"/>
          <cell r="AH1303"/>
          <cell r="AI1303"/>
          <cell r="AJ1303"/>
          <cell r="AK1303"/>
          <cell r="AL1303"/>
          <cell r="AM1303"/>
          <cell r="AN1303"/>
          <cell r="AO1303"/>
          <cell r="AP1303"/>
          <cell r="AQ1303"/>
          <cell r="AR1303"/>
          <cell r="AS1303"/>
          <cell r="AT1303"/>
          <cell r="AU1303"/>
          <cell r="AV1303"/>
          <cell r="AW1303"/>
          <cell r="AX1303"/>
          <cell r="AY1303"/>
          <cell r="AZ1303"/>
        </row>
        <row r="1304">
          <cell r="A1304"/>
          <cell r="B1304"/>
          <cell r="C1304"/>
          <cell r="D1304"/>
          <cell r="E1304"/>
          <cell r="F1304"/>
          <cell r="G1304"/>
          <cell r="H1304"/>
          <cell r="I1304"/>
          <cell r="J1304"/>
          <cell r="K1304"/>
          <cell r="L1304"/>
          <cell r="M1304"/>
          <cell r="N1304"/>
          <cell r="O1304"/>
          <cell r="P1304"/>
          <cell r="Q1304"/>
          <cell r="R1304"/>
          <cell r="S1304"/>
          <cell r="T1304"/>
          <cell r="U1304"/>
          <cell r="V1304"/>
          <cell r="W1304"/>
          <cell r="X1304"/>
          <cell r="Y1304"/>
          <cell r="Z1304"/>
          <cell r="AA1304"/>
          <cell r="AB1304"/>
          <cell r="AC1304"/>
          <cell r="AD1304"/>
          <cell r="AE1304"/>
          <cell r="AF1304"/>
          <cell r="AG1304"/>
          <cell r="AH1304"/>
          <cell r="AI1304"/>
          <cell r="AJ1304"/>
          <cell r="AK1304"/>
          <cell r="AL1304"/>
          <cell r="AM1304"/>
          <cell r="AN1304"/>
          <cell r="AO1304"/>
          <cell r="AP1304"/>
          <cell r="AQ1304"/>
          <cell r="AR1304"/>
          <cell r="AS1304"/>
          <cell r="AT1304"/>
          <cell r="AU1304"/>
          <cell r="AV1304"/>
          <cell r="AW1304"/>
          <cell r="AX1304"/>
          <cell r="AY1304"/>
          <cell r="AZ1304"/>
        </row>
        <row r="1305">
          <cell r="A1305"/>
          <cell r="B1305"/>
          <cell r="C1305"/>
          <cell r="D1305"/>
          <cell r="E1305"/>
          <cell r="F1305"/>
          <cell r="G1305"/>
          <cell r="H1305"/>
          <cell r="I1305"/>
          <cell r="J1305"/>
          <cell r="K1305"/>
          <cell r="L1305"/>
          <cell r="M1305"/>
          <cell r="N1305"/>
          <cell r="O1305"/>
          <cell r="P1305"/>
          <cell r="Q1305"/>
          <cell r="R1305"/>
          <cell r="S1305"/>
          <cell r="T1305"/>
          <cell r="U1305"/>
          <cell r="V1305"/>
          <cell r="W1305"/>
          <cell r="X1305"/>
          <cell r="Y1305"/>
          <cell r="Z1305"/>
          <cell r="AA1305"/>
          <cell r="AB1305"/>
          <cell r="AC1305"/>
          <cell r="AD1305"/>
          <cell r="AE1305"/>
          <cell r="AF1305"/>
          <cell r="AG1305"/>
          <cell r="AH1305"/>
          <cell r="AI1305"/>
          <cell r="AJ1305"/>
          <cell r="AK1305"/>
          <cell r="AL1305"/>
          <cell r="AM1305"/>
          <cell r="AN1305"/>
          <cell r="AO1305"/>
          <cell r="AP1305"/>
          <cell r="AQ1305"/>
          <cell r="AR1305"/>
          <cell r="AS1305"/>
          <cell r="AT1305"/>
          <cell r="AU1305"/>
          <cell r="AV1305"/>
          <cell r="AW1305"/>
          <cell r="AX1305"/>
          <cell r="AY1305"/>
          <cell r="AZ1305"/>
        </row>
        <row r="1306">
          <cell r="A1306"/>
          <cell r="B1306"/>
          <cell r="C1306"/>
          <cell r="D1306"/>
          <cell r="E1306"/>
          <cell r="F1306"/>
          <cell r="G1306"/>
          <cell r="H1306"/>
          <cell r="I1306"/>
          <cell r="J1306"/>
          <cell r="K1306"/>
          <cell r="L1306"/>
          <cell r="M1306"/>
          <cell r="N1306"/>
          <cell r="O1306"/>
          <cell r="P1306"/>
          <cell r="Q1306"/>
          <cell r="R1306"/>
          <cell r="S1306"/>
          <cell r="T1306"/>
          <cell r="U1306"/>
          <cell r="V1306"/>
          <cell r="W1306"/>
          <cell r="X1306"/>
          <cell r="Y1306"/>
          <cell r="Z1306"/>
          <cell r="AA1306"/>
          <cell r="AB1306"/>
          <cell r="AC1306"/>
          <cell r="AD1306"/>
          <cell r="AE1306"/>
          <cell r="AF1306"/>
          <cell r="AG1306"/>
          <cell r="AH1306"/>
          <cell r="AI1306"/>
          <cell r="AJ1306"/>
          <cell r="AK1306"/>
          <cell r="AL1306"/>
          <cell r="AM1306"/>
          <cell r="AN1306"/>
          <cell r="AO1306"/>
          <cell r="AP1306"/>
          <cell r="AQ1306"/>
          <cell r="AR1306"/>
          <cell r="AS1306"/>
          <cell r="AT1306"/>
          <cell r="AU1306"/>
          <cell r="AV1306"/>
          <cell r="AW1306"/>
          <cell r="AX1306"/>
          <cell r="AY1306"/>
          <cell r="AZ1306"/>
        </row>
        <row r="1307">
          <cell r="A1307"/>
          <cell r="B1307"/>
          <cell r="C1307"/>
          <cell r="D1307"/>
          <cell r="E1307"/>
          <cell r="F1307"/>
          <cell r="G1307"/>
          <cell r="H1307"/>
          <cell r="I1307"/>
          <cell r="J1307"/>
          <cell r="K1307"/>
          <cell r="L1307"/>
          <cell r="M1307"/>
          <cell r="N1307"/>
          <cell r="O1307"/>
          <cell r="P1307"/>
          <cell r="Q1307"/>
          <cell r="R1307"/>
          <cell r="S1307"/>
          <cell r="T1307"/>
          <cell r="U1307"/>
          <cell r="V1307"/>
          <cell r="W1307"/>
          <cell r="X1307"/>
          <cell r="Y1307"/>
          <cell r="Z1307"/>
          <cell r="AA1307"/>
          <cell r="AB1307"/>
          <cell r="AC1307"/>
          <cell r="AD1307"/>
          <cell r="AE1307"/>
          <cell r="AF1307"/>
          <cell r="AG1307"/>
          <cell r="AH1307"/>
          <cell r="AI1307"/>
          <cell r="AJ1307"/>
          <cell r="AK1307"/>
          <cell r="AL1307"/>
          <cell r="AM1307"/>
          <cell r="AN1307"/>
          <cell r="AO1307"/>
          <cell r="AP1307"/>
          <cell r="AQ1307"/>
          <cell r="AR1307"/>
          <cell r="AS1307"/>
          <cell r="AT1307"/>
          <cell r="AU1307"/>
          <cell r="AV1307"/>
          <cell r="AW1307"/>
          <cell r="AX1307"/>
          <cell r="AY1307"/>
          <cell r="AZ1307"/>
        </row>
        <row r="1308">
          <cell r="A1308"/>
          <cell r="B1308"/>
          <cell r="C1308"/>
          <cell r="D1308"/>
          <cell r="E1308"/>
          <cell r="F1308"/>
          <cell r="G1308"/>
          <cell r="H1308"/>
          <cell r="I1308"/>
          <cell r="J1308"/>
          <cell r="K1308"/>
          <cell r="L1308"/>
          <cell r="M1308"/>
          <cell r="N1308"/>
          <cell r="O1308"/>
          <cell r="P1308"/>
          <cell r="Q1308"/>
          <cell r="R1308"/>
          <cell r="S1308"/>
          <cell r="T1308"/>
          <cell r="U1308"/>
          <cell r="V1308"/>
          <cell r="W1308"/>
          <cell r="X1308"/>
          <cell r="Y1308"/>
          <cell r="Z1308"/>
          <cell r="AA1308"/>
          <cell r="AB1308"/>
          <cell r="AC1308"/>
          <cell r="AD1308"/>
          <cell r="AE1308"/>
          <cell r="AF1308"/>
          <cell r="AG1308"/>
          <cell r="AH1308"/>
          <cell r="AI1308"/>
          <cell r="AJ1308"/>
          <cell r="AK1308"/>
          <cell r="AL1308"/>
          <cell r="AM1308"/>
          <cell r="AN1308"/>
          <cell r="AO1308"/>
          <cell r="AP1308"/>
          <cell r="AQ1308"/>
          <cell r="AR1308"/>
          <cell r="AS1308"/>
          <cell r="AT1308"/>
          <cell r="AU1308"/>
          <cell r="AV1308"/>
          <cell r="AW1308"/>
          <cell r="AX1308"/>
          <cell r="AY1308"/>
          <cell r="AZ1308"/>
        </row>
        <row r="1309">
          <cell r="A1309"/>
          <cell r="B1309"/>
          <cell r="C1309"/>
          <cell r="D1309"/>
          <cell r="E1309"/>
          <cell r="F1309"/>
          <cell r="G1309"/>
          <cell r="H1309"/>
          <cell r="I1309"/>
          <cell r="J1309"/>
          <cell r="K1309"/>
          <cell r="L1309"/>
          <cell r="M1309"/>
          <cell r="N1309"/>
          <cell r="O1309"/>
          <cell r="P1309"/>
          <cell r="Q1309"/>
          <cell r="R1309"/>
          <cell r="S1309"/>
          <cell r="T1309"/>
          <cell r="U1309"/>
          <cell r="V1309"/>
          <cell r="W1309"/>
          <cell r="X1309"/>
          <cell r="Y1309"/>
          <cell r="Z1309"/>
          <cell r="AA1309"/>
          <cell r="AB1309"/>
          <cell r="AC1309"/>
          <cell r="AD1309"/>
          <cell r="AE1309"/>
          <cell r="AF1309"/>
          <cell r="AG1309"/>
          <cell r="AH1309"/>
          <cell r="AI1309"/>
          <cell r="AJ1309"/>
          <cell r="AK1309"/>
          <cell r="AL1309"/>
          <cell r="AM1309"/>
          <cell r="AN1309"/>
          <cell r="AO1309"/>
          <cell r="AP1309"/>
          <cell r="AQ1309"/>
          <cell r="AR1309"/>
          <cell r="AS1309"/>
          <cell r="AT1309"/>
          <cell r="AU1309"/>
          <cell r="AV1309"/>
          <cell r="AW1309"/>
          <cell r="AX1309"/>
          <cell r="AY1309"/>
          <cell r="AZ1309"/>
        </row>
        <row r="1310">
          <cell r="A1310"/>
          <cell r="B1310"/>
          <cell r="C1310"/>
          <cell r="D1310"/>
          <cell r="E1310"/>
          <cell r="F1310"/>
          <cell r="G1310"/>
          <cell r="H1310"/>
          <cell r="I1310"/>
          <cell r="J1310"/>
          <cell r="K1310"/>
          <cell r="L1310"/>
          <cell r="M1310"/>
          <cell r="N1310"/>
          <cell r="O1310"/>
          <cell r="P1310"/>
          <cell r="Q1310"/>
          <cell r="R1310"/>
          <cell r="S1310"/>
          <cell r="T1310"/>
          <cell r="U1310"/>
          <cell r="V1310"/>
          <cell r="W1310"/>
          <cell r="X1310"/>
          <cell r="Y1310"/>
          <cell r="Z1310"/>
          <cell r="AA1310"/>
          <cell r="AB1310"/>
          <cell r="AC1310"/>
          <cell r="AD1310"/>
          <cell r="AE1310"/>
          <cell r="AF1310"/>
          <cell r="AG1310"/>
          <cell r="AH1310"/>
          <cell r="AI1310"/>
          <cell r="AJ1310"/>
          <cell r="AK1310"/>
          <cell r="AL1310"/>
          <cell r="AM1310"/>
          <cell r="AN1310"/>
          <cell r="AO1310"/>
          <cell r="AP1310"/>
          <cell r="AQ1310"/>
          <cell r="AR1310"/>
          <cell r="AS1310"/>
          <cell r="AT1310"/>
          <cell r="AU1310"/>
          <cell r="AV1310"/>
          <cell r="AW1310"/>
          <cell r="AX1310"/>
          <cell r="AY1310"/>
          <cell r="AZ1310"/>
        </row>
        <row r="1311">
          <cell r="A1311"/>
          <cell r="B1311"/>
          <cell r="C1311"/>
          <cell r="D1311"/>
          <cell r="E1311"/>
          <cell r="F1311"/>
          <cell r="G1311"/>
          <cell r="H1311"/>
          <cell r="I1311"/>
          <cell r="J1311"/>
          <cell r="K1311"/>
          <cell r="L1311"/>
          <cell r="M1311"/>
          <cell r="N1311"/>
          <cell r="O1311"/>
          <cell r="P1311"/>
          <cell r="Q1311"/>
          <cell r="R1311"/>
          <cell r="S1311"/>
          <cell r="T1311"/>
          <cell r="U1311"/>
          <cell r="V1311"/>
          <cell r="W1311"/>
          <cell r="X1311"/>
          <cell r="Y1311"/>
          <cell r="Z1311"/>
          <cell r="AA1311"/>
          <cell r="AB1311"/>
          <cell r="AC1311"/>
          <cell r="AD1311"/>
          <cell r="AE1311"/>
          <cell r="AF1311"/>
          <cell r="AG1311"/>
          <cell r="AH1311"/>
          <cell r="AI1311"/>
          <cell r="AJ1311"/>
          <cell r="AK1311"/>
          <cell r="AL1311"/>
          <cell r="AM1311"/>
          <cell r="AN1311"/>
          <cell r="AO1311"/>
          <cell r="AP1311"/>
          <cell r="AQ1311"/>
          <cell r="AR1311"/>
          <cell r="AS1311"/>
          <cell r="AT1311"/>
          <cell r="AU1311"/>
          <cell r="AV1311"/>
          <cell r="AW1311"/>
          <cell r="AX1311"/>
          <cell r="AY1311"/>
          <cell r="AZ1311"/>
        </row>
        <row r="1312">
          <cell r="A1312"/>
          <cell r="B1312"/>
          <cell r="C1312"/>
          <cell r="D1312"/>
          <cell r="E1312"/>
          <cell r="F1312"/>
          <cell r="G1312"/>
          <cell r="H1312"/>
          <cell r="I1312"/>
          <cell r="J1312"/>
          <cell r="K1312"/>
          <cell r="L1312"/>
          <cell r="M1312"/>
          <cell r="N1312"/>
          <cell r="O1312"/>
          <cell r="P1312"/>
          <cell r="Q1312"/>
          <cell r="R1312"/>
          <cell r="S1312"/>
          <cell r="T1312"/>
          <cell r="U1312"/>
          <cell r="V1312"/>
          <cell r="W1312"/>
          <cell r="X1312"/>
          <cell r="Y1312"/>
          <cell r="Z1312"/>
          <cell r="AA1312"/>
          <cell r="AB1312"/>
          <cell r="AC1312"/>
          <cell r="AD1312"/>
          <cell r="AE1312"/>
          <cell r="AF1312"/>
          <cell r="AG1312"/>
          <cell r="AH1312"/>
          <cell r="AI1312"/>
          <cell r="AJ1312"/>
          <cell r="AK1312"/>
          <cell r="AL1312"/>
          <cell r="AM1312"/>
          <cell r="AN1312"/>
          <cell r="AO1312"/>
          <cell r="AP1312"/>
          <cell r="AQ1312"/>
          <cell r="AR1312"/>
          <cell r="AS1312"/>
          <cell r="AT1312"/>
          <cell r="AU1312"/>
          <cell r="AV1312"/>
          <cell r="AW1312"/>
          <cell r="AX1312"/>
          <cell r="AY1312"/>
          <cell r="AZ1312"/>
        </row>
        <row r="1313">
          <cell r="A1313"/>
          <cell r="B1313"/>
          <cell r="C1313"/>
          <cell r="D1313"/>
          <cell r="E1313"/>
          <cell r="F1313"/>
          <cell r="G1313"/>
          <cell r="H1313"/>
          <cell r="I1313"/>
          <cell r="J1313"/>
          <cell r="K1313"/>
          <cell r="L1313"/>
          <cell r="M1313"/>
          <cell r="N1313"/>
          <cell r="O1313"/>
          <cell r="P1313"/>
          <cell r="Q1313"/>
          <cell r="R1313"/>
          <cell r="S1313"/>
          <cell r="T1313"/>
          <cell r="U1313"/>
          <cell r="V1313"/>
          <cell r="W1313"/>
          <cell r="X1313"/>
          <cell r="Y1313"/>
          <cell r="Z1313"/>
          <cell r="AA1313"/>
          <cell r="AB1313"/>
          <cell r="AC1313"/>
          <cell r="AD1313"/>
          <cell r="AE1313"/>
          <cell r="AF1313"/>
          <cell r="AG1313"/>
          <cell r="AH1313"/>
          <cell r="AI1313"/>
          <cell r="AJ1313"/>
          <cell r="AK1313"/>
          <cell r="AL1313"/>
          <cell r="AM1313"/>
          <cell r="AN1313"/>
          <cell r="AO1313"/>
          <cell r="AP1313"/>
          <cell r="AQ1313"/>
          <cell r="AR1313"/>
          <cell r="AS1313"/>
          <cell r="AT1313"/>
          <cell r="AU1313"/>
          <cell r="AV1313"/>
          <cell r="AW1313"/>
          <cell r="AX1313"/>
          <cell r="AY1313"/>
          <cell r="AZ1313"/>
        </row>
        <row r="1314">
          <cell r="A1314"/>
          <cell r="B1314"/>
          <cell r="C1314"/>
          <cell r="D1314"/>
          <cell r="E1314"/>
          <cell r="F1314"/>
          <cell r="G1314"/>
          <cell r="H1314"/>
          <cell r="I1314"/>
          <cell r="J1314"/>
          <cell r="K1314"/>
          <cell r="L1314"/>
          <cell r="M1314"/>
          <cell r="N1314"/>
          <cell r="O1314"/>
          <cell r="P1314"/>
          <cell r="Q1314"/>
          <cell r="R1314"/>
          <cell r="S1314"/>
          <cell r="T1314"/>
          <cell r="U1314"/>
          <cell r="V1314"/>
          <cell r="W1314"/>
          <cell r="X1314"/>
          <cell r="Y1314"/>
          <cell r="Z1314"/>
          <cell r="AA1314"/>
          <cell r="AB1314"/>
          <cell r="AC1314"/>
          <cell r="AD1314"/>
          <cell r="AE1314"/>
          <cell r="AF1314"/>
          <cell r="AG1314"/>
          <cell r="AH1314"/>
          <cell r="AI1314"/>
          <cell r="AJ1314"/>
          <cell r="AK1314"/>
          <cell r="AL1314"/>
          <cell r="AM1314"/>
          <cell r="AN1314"/>
          <cell r="AO1314"/>
          <cell r="AP1314"/>
          <cell r="AQ1314"/>
          <cell r="AR1314"/>
          <cell r="AS1314"/>
          <cell r="AT1314"/>
          <cell r="AU1314"/>
          <cell r="AV1314"/>
          <cell r="AW1314"/>
          <cell r="AX1314"/>
          <cell r="AY1314"/>
          <cell r="AZ1314"/>
        </row>
        <row r="1315">
          <cell r="A1315"/>
          <cell r="B1315"/>
          <cell r="C1315"/>
          <cell r="D1315"/>
          <cell r="E1315"/>
          <cell r="F1315"/>
          <cell r="G1315"/>
          <cell r="H1315"/>
          <cell r="I1315"/>
          <cell r="J1315"/>
          <cell r="K1315"/>
          <cell r="L1315"/>
          <cell r="M1315"/>
          <cell r="N1315"/>
          <cell r="O1315"/>
          <cell r="P1315"/>
          <cell r="Q1315"/>
          <cell r="R1315"/>
          <cell r="S1315"/>
          <cell r="T1315"/>
          <cell r="U1315"/>
          <cell r="V1315"/>
          <cell r="W1315"/>
          <cell r="X1315"/>
          <cell r="Y1315"/>
          <cell r="Z1315"/>
          <cell r="AA1315"/>
          <cell r="AB1315"/>
          <cell r="AC1315"/>
          <cell r="AD1315"/>
          <cell r="AE1315"/>
          <cell r="AF1315"/>
          <cell r="AG1315"/>
          <cell r="AH1315"/>
          <cell r="AI1315"/>
          <cell r="AJ1315"/>
          <cell r="AK1315"/>
          <cell r="AL1315"/>
          <cell r="AM1315"/>
          <cell r="AN1315"/>
          <cell r="AO1315"/>
          <cell r="AP1315"/>
          <cell r="AQ1315"/>
          <cell r="AR1315"/>
          <cell r="AS1315"/>
          <cell r="AT1315"/>
          <cell r="AU1315"/>
          <cell r="AV1315"/>
          <cell r="AW1315"/>
          <cell r="AX1315"/>
          <cell r="AY1315"/>
          <cell r="AZ1315"/>
        </row>
        <row r="1316">
          <cell r="A1316"/>
          <cell r="B1316"/>
          <cell r="C1316"/>
          <cell r="D1316"/>
          <cell r="E1316"/>
          <cell r="F1316"/>
          <cell r="G1316"/>
          <cell r="H1316"/>
          <cell r="I1316"/>
          <cell r="J1316"/>
          <cell r="K1316"/>
          <cell r="L1316"/>
          <cell r="M1316"/>
          <cell r="N1316"/>
          <cell r="O1316"/>
          <cell r="P1316"/>
          <cell r="Q1316"/>
          <cell r="R1316"/>
          <cell r="S1316"/>
          <cell r="T1316"/>
          <cell r="U1316"/>
          <cell r="V1316"/>
          <cell r="W1316"/>
          <cell r="X1316"/>
          <cell r="Y1316"/>
          <cell r="Z1316"/>
          <cell r="AA1316"/>
          <cell r="AB1316"/>
          <cell r="AC1316"/>
          <cell r="AD1316"/>
          <cell r="AE1316"/>
          <cell r="AF1316"/>
          <cell r="AG1316"/>
          <cell r="AH1316"/>
          <cell r="AI1316"/>
          <cell r="AJ1316"/>
          <cell r="AK1316"/>
          <cell r="AL1316"/>
          <cell r="AM1316"/>
          <cell r="AN1316"/>
          <cell r="AO1316"/>
          <cell r="AP1316"/>
          <cell r="AQ1316"/>
          <cell r="AR1316"/>
          <cell r="AS1316"/>
          <cell r="AT1316"/>
          <cell r="AU1316"/>
          <cell r="AV1316"/>
          <cell r="AW1316"/>
          <cell r="AX1316"/>
          <cell r="AY1316"/>
          <cell r="AZ1316"/>
        </row>
        <row r="1317">
          <cell r="A1317"/>
          <cell r="B1317"/>
          <cell r="C1317"/>
          <cell r="D1317"/>
          <cell r="E1317"/>
          <cell r="F1317"/>
          <cell r="G1317"/>
          <cell r="H1317"/>
          <cell r="I1317"/>
          <cell r="J1317"/>
          <cell r="K1317"/>
          <cell r="L1317"/>
          <cell r="M1317"/>
          <cell r="N1317"/>
          <cell r="O1317"/>
          <cell r="P1317"/>
          <cell r="Q1317"/>
          <cell r="R1317"/>
          <cell r="S1317"/>
          <cell r="T1317"/>
          <cell r="U1317"/>
          <cell r="V1317"/>
          <cell r="W1317"/>
          <cell r="X1317"/>
          <cell r="Y1317"/>
          <cell r="Z1317"/>
          <cell r="AA1317"/>
          <cell r="AB1317"/>
          <cell r="AC1317"/>
          <cell r="AD1317"/>
          <cell r="AE1317"/>
          <cell r="AF1317"/>
          <cell r="AG1317"/>
          <cell r="AH1317"/>
          <cell r="AI1317"/>
          <cell r="AJ1317"/>
          <cell r="AK1317"/>
          <cell r="AL1317"/>
          <cell r="AM1317"/>
          <cell r="AN1317"/>
          <cell r="AO1317"/>
          <cell r="AP1317"/>
          <cell r="AQ1317"/>
          <cell r="AR1317"/>
          <cell r="AS1317"/>
          <cell r="AT1317"/>
          <cell r="AU1317"/>
          <cell r="AV1317"/>
          <cell r="AW1317"/>
          <cell r="AX1317"/>
          <cell r="AY1317"/>
          <cell r="AZ1317"/>
        </row>
        <row r="1318">
          <cell r="A1318"/>
          <cell r="B1318"/>
          <cell r="C1318"/>
          <cell r="D1318"/>
          <cell r="E1318"/>
          <cell r="F1318"/>
          <cell r="G1318"/>
          <cell r="H1318"/>
          <cell r="I1318"/>
          <cell r="J1318"/>
          <cell r="K1318"/>
          <cell r="L1318"/>
          <cell r="M1318"/>
          <cell r="N1318"/>
          <cell r="O1318"/>
          <cell r="P1318"/>
          <cell r="Q1318"/>
          <cell r="R1318"/>
          <cell r="S1318"/>
          <cell r="T1318"/>
          <cell r="U1318"/>
          <cell r="V1318"/>
          <cell r="W1318"/>
          <cell r="X1318"/>
          <cell r="Y1318"/>
          <cell r="Z1318"/>
          <cell r="AA1318"/>
          <cell r="AB1318"/>
          <cell r="AC1318"/>
          <cell r="AD1318"/>
          <cell r="AE1318"/>
          <cell r="AF1318"/>
          <cell r="AG1318"/>
          <cell r="AH1318"/>
          <cell r="AI1318"/>
          <cell r="AJ1318"/>
          <cell r="AK1318"/>
          <cell r="AL1318"/>
          <cell r="AM1318"/>
          <cell r="AN1318"/>
          <cell r="AO1318"/>
          <cell r="AP1318"/>
          <cell r="AQ1318"/>
          <cell r="AR1318"/>
          <cell r="AS1318"/>
          <cell r="AT1318"/>
          <cell r="AU1318"/>
          <cell r="AV1318"/>
          <cell r="AW1318"/>
          <cell r="AX1318"/>
          <cell r="AY1318"/>
          <cell r="AZ1318"/>
        </row>
        <row r="1319">
          <cell r="A1319"/>
          <cell r="B1319"/>
          <cell r="C1319"/>
          <cell r="D1319"/>
          <cell r="E1319"/>
          <cell r="F1319"/>
          <cell r="G1319"/>
          <cell r="H1319"/>
          <cell r="I1319"/>
          <cell r="J1319"/>
          <cell r="K1319"/>
          <cell r="L1319"/>
          <cell r="M1319"/>
          <cell r="N1319"/>
          <cell r="O1319"/>
          <cell r="P1319"/>
          <cell r="Q1319"/>
          <cell r="R1319"/>
          <cell r="S1319"/>
          <cell r="T1319"/>
          <cell r="U1319"/>
          <cell r="V1319"/>
          <cell r="W1319"/>
          <cell r="X1319"/>
          <cell r="Y1319"/>
          <cell r="Z1319"/>
          <cell r="AA1319"/>
          <cell r="AB1319"/>
          <cell r="AC1319"/>
          <cell r="AD1319"/>
          <cell r="AE1319"/>
          <cell r="AF1319"/>
          <cell r="AG1319"/>
          <cell r="AH1319"/>
          <cell r="AI1319"/>
          <cell r="AJ1319"/>
          <cell r="AK1319"/>
          <cell r="AL1319"/>
          <cell r="AM1319"/>
          <cell r="AN1319"/>
          <cell r="AO1319"/>
          <cell r="AP1319"/>
          <cell r="AQ1319"/>
          <cell r="AR1319"/>
          <cell r="AS1319"/>
          <cell r="AT1319"/>
          <cell r="AU1319"/>
          <cell r="AV1319"/>
          <cell r="AW1319"/>
          <cell r="AX1319"/>
          <cell r="AY1319"/>
          <cell r="AZ1319"/>
        </row>
        <row r="1320">
          <cell r="A1320"/>
          <cell r="B1320"/>
          <cell r="C1320"/>
          <cell r="D1320"/>
          <cell r="E1320"/>
          <cell r="F1320"/>
          <cell r="G1320"/>
          <cell r="H1320"/>
          <cell r="I1320"/>
          <cell r="J1320"/>
          <cell r="K1320"/>
          <cell r="L1320"/>
          <cell r="M1320"/>
          <cell r="N1320"/>
          <cell r="O1320"/>
          <cell r="P1320"/>
          <cell r="Q1320"/>
          <cell r="R1320"/>
          <cell r="S1320"/>
          <cell r="T1320"/>
          <cell r="U1320"/>
          <cell r="V1320"/>
          <cell r="W1320"/>
          <cell r="X1320"/>
          <cell r="Y1320"/>
          <cell r="Z1320"/>
          <cell r="AA1320"/>
          <cell r="AB1320"/>
          <cell r="AC1320"/>
          <cell r="AD1320"/>
          <cell r="AE1320"/>
          <cell r="AF1320"/>
          <cell r="AG1320"/>
          <cell r="AH1320"/>
          <cell r="AI1320"/>
          <cell r="AJ1320"/>
          <cell r="AK1320"/>
          <cell r="AL1320"/>
          <cell r="AM1320"/>
          <cell r="AN1320"/>
          <cell r="AO1320"/>
          <cell r="AP1320"/>
          <cell r="AQ1320"/>
          <cell r="AR1320"/>
          <cell r="AS1320"/>
          <cell r="AT1320"/>
          <cell r="AU1320"/>
          <cell r="AV1320"/>
          <cell r="AW1320"/>
          <cell r="AX1320"/>
          <cell r="AY1320"/>
          <cell r="AZ1320"/>
        </row>
        <row r="1321">
          <cell r="A1321"/>
          <cell r="B1321"/>
          <cell r="C1321"/>
          <cell r="D1321"/>
          <cell r="E1321"/>
          <cell r="F1321"/>
          <cell r="G1321"/>
          <cell r="H1321"/>
          <cell r="I1321"/>
          <cell r="J1321"/>
          <cell r="K1321"/>
          <cell r="L1321"/>
          <cell r="M1321"/>
          <cell r="N1321"/>
          <cell r="O1321"/>
          <cell r="P1321"/>
          <cell r="Q1321"/>
          <cell r="R1321"/>
          <cell r="S1321"/>
          <cell r="T1321"/>
          <cell r="U1321"/>
          <cell r="V1321"/>
          <cell r="W1321"/>
          <cell r="X1321"/>
          <cell r="Y1321"/>
          <cell r="Z1321"/>
          <cell r="AA1321"/>
          <cell r="AB1321"/>
          <cell r="AC1321"/>
          <cell r="AD1321"/>
          <cell r="AE1321"/>
          <cell r="AF1321"/>
          <cell r="AG1321"/>
          <cell r="AH1321"/>
          <cell r="AI1321"/>
          <cell r="AJ1321"/>
          <cell r="AK1321"/>
          <cell r="AL1321"/>
          <cell r="AM1321"/>
          <cell r="AN1321"/>
          <cell r="AO1321"/>
          <cell r="AP1321"/>
          <cell r="AQ1321"/>
          <cell r="AR1321"/>
          <cell r="AS1321"/>
          <cell r="AT1321"/>
          <cell r="AU1321"/>
          <cell r="AV1321"/>
          <cell r="AW1321"/>
          <cell r="AX1321"/>
          <cell r="AY1321"/>
          <cell r="AZ1321"/>
        </row>
        <row r="1322">
          <cell r="A1322"/>
          <cell r="B1322"/>
          <cell r="C1322"/>
          <cell r="D1322"/>
          <cell r="E1322"/>
          <cell r="F1322"/>
          <cell r="G1322"/>
          <cell r="H1322"/>
          <cell r="I1322"/>
          <cell r="J1322"/>
          <cell r="K1322"/>
          <cell r="L1322"/>
          <cell r="M1322"/>
          <cell r="N1322"/>
          <cell r="O1322"/>
          <cell r="P1322"/>
          <cell r="Q1322"/>
          <cell r="R1322"/>
          <cell r="S1322"/>
          <cell r="T1322"/>
          <cell r="U1322"/>
          <cell r="V1322"/>
          <cell r="W1322"/>
          <cell r="X1322"/>
          <cell r="Y1322"/>
          <cell r="Z1322"/>
          <cell r="AA1322"/>
          <cell r="AB1322"/>
          <cell r="AC1322"/>
          <cell r="AD1322"/>
          <cell r="AE1322"/>
          <cell r="AF1322"/>
          <cell r="AG1322"/>
          <cell r="AH1322"/>
          <cell r="AI1322"/>
          <cell r="AJ1322"/>
          <cell r="AK1322"/>
          <cell r="AL1322"/>
          <cell r="AM1322"/>
          <cell r="AN1322"/>
          <cell r="AO1322"/>
          <cell r="AP1322"/>
          <cell r="AQ1322"/>
          <cell r="AR1322"/>
          <cell r="AS1322"/>
          <cell r="AT1322"/>
          <cell r="AU1322"/>
          <cell r="AV1322"/>
          <cell r="AW1322"/>
          <cell r="AX1322"/>
          <cell r="AY1322"/>
          <cell r="AZ1322"/>
        </row>
        <row r="1323">
          <cell r="A1323"/>
          <cell r="B1323"/>
          <cell r="C1323"/>
          <cell r="D1323"/>
          <cell r="E1323"/>
          <cell r="F1323"/>
          <cell r="G1323"/>
          <cell r="H1323"/>
          <cell r="I1323"/>
          <cell r="J1323"/>
          <cell r="K1323"/>
          <cell r="L1323"/>
          <cell r="M1323"/>
          <cell r="N1323"/>
          <cell r="O1323"/>
          <cell r="P1323"/>
          <cell r="Q1323"/>
          <cell r="R1323"/>
          <cell r="S1323"/>
          <cell r="T1323"/>
          <cell r="U1323"/>
          <cell r="V1323"/>
          <cell r="W1323"/>
          <cell r="X1323"/>
          <cell r="Y1323"/>
          <cell r="Z1323"/>
          <cell r="AA1323"/>
          <cell r="AB1323"/>
          <cell r="AC1323"/>
          <cell r="AD1323"/>
          <cell r="AE1323"/>
          <cell r="AF1323"/>
          <cell r="AG1323"/>
          <cell r="AH1323"/>
          <cell r="AI1323"/>
          <cell r="AJ1323"/>
          <cell r="AK1323"/>
          <cell r="AL1323"/>
          <cell r="AM1323"/>
          <cell r="AN1323"/>
          <cell r="AO1323"/>
          <cell r="AP1323"/>
          <cell r="AQ1323"/>
          <cell r="AR1323"/>
          <cell r="AS1323"/>
          <cell r="AT1323"/>
          <cell r="AU1323"/>
          <cell r="AV1323"/>
          <cell r="AW1323"/>
          <cell r="AX1323"/>
          <cell r="AY1323"/>
          <cell r="AZ1323"/>
        </row>
        <row r="1324">
          <cell r="A1324"/>
          <cell r="B1324"/>
          <cell r="C1324"/>
          <cell r="D1324"/>
          <cell r="E1324"/>
          <cell r="F1324"/>
          <cell r="G1324"/>
          <cell r="H1324"/>
          <cell r="I1324"/>
          <cell r="J1324"/>
          <cell r="K1324"/>
          <cell r="L1324"/>
          <cell r="M1324"/>
          <cell r="N1324"/>
          <cell r="O1324"/>
          <cell r="P1324"/>
          <cell r="Q1324"/>
          <cell r="R1324"/>
          <cell r="S1324"/>
          <cell r="T1324"/>
          <cell r="U1324"/>
          <cell r="V1324"/>
          <cell r="W1324"/>
          <cell r="X1324"/>
          <cell r="Y1324"/>
          <cell r="Z1324"/>
          <cell r="AA1324"/>
          <cell r="AB1324"/>
          <cell r="AC1324"/>
          <cell r="AD1324"/>
          <cell r="AE1324"/>
          <cell r="AF1324"/>
          <cell r="AG1324"/>
          <cell r="AH1324"/>
          <cell r="AI1324"/>
          <cell r="AJ1324"/>
          <cell r="AK1324"/>
          <cell r="AL1324"/>
          <cell r="AM1324"/>
          <cell r="AN1324"/>
          <cell r="AO1324"/>
          <cell r="AP1324"/>
          <cell r="AQ1324"/>
          <cell r="AR1324"/>
          <cell r="AS1324"/>
          <cell r="AT1324"/>
          <cell r="AU1324"/>
          <cell r="AV1324"/>
          <cell r="AW1324"/>
          <cell r="AX1324"/>
          <cell r="AY1324"/>
          <cell r="AZ1324"/>
        </row>
        <row r="1325">
          <cell r="A1325"/>
          <cell r="B1325"/>
          <cell r="C1325"/>
          <cell r="D1325"/>
          <cell r="E1325"/>
          <cell r="F1325"/>
          <cell r="G1325"/>
          <cell r="H1325"/>
          <cell r="I1325"/>
          <cell r="J1325"/>
          <cell r="K1325"/>
          <cell r="L1325"/>
          <cell r="M1325"/>
          <cell r="N1325"/>
          <cell r="O1325"/>
          <cell r="P1325"/>
          <cell r="Q1325"/>
          <cell r="R1325"/>
          <cell r="S1325"/>
          <cell r="T1325"/>
          <cell r="U1325"/>
          <cell r="V1325"/>
          <cell r="W1325"/>
          <cell r="X1325"/>
          <cell r="Y1325"/>
          <cell r="Z1325"/>
          <cell r="AA1325"/>
          <cell r="AB1325"/>
          <cell r="AC1325"/>
          <cell r="AD1325"/>
          <cell r="AE1325"/>
          <cell r="AF1325"/>
          <cell r="AG1325"/>
          <cell r="AH1325"/>
          <cell r="AI1325"/>
          <cell r="AJ1325"/>
          <cell r="AK1325"/>
          <cell r="AL1325"/>
          <cell r="AM1325"/>
          <cell r="AN1325"/>
          <cell r="AO1325"/>
          <cell r="AP1325"/>
          <cell r="AQ1325"/>
          <cell r="AR1325"/>
          <cell r="AS1325"/>
          <cell r="AT1325"/>
          <cell r="AU1325"/>
          <cell r="AV1325"/>
          <cell r="AW1325"/>
          <cell r="AX1325"/>
          <cell r="AY1325"/>
          <cell r="AZ1325"/>
        </row>
        <row r="1326">
          <cell r="A1326"/>
          <cell r="B1326"/>
          <cell r="C1326"/>
          <cell r="D1326"/>
          <cell r="E1326"/>
          <cell r="F1326"/>
          <cell r="G1326"/>
          <cell r="H1326"/>
          <cell r="I1326"/>
          <cell r="J1326"/>
          <cell r="K1326"/>
          <cell r="L1326"/>
          <cell r="M1326"/>
          <cell r="N1326"/>
          <cell r="O1326"/>
          <cell r="P1326"/>
          <cell r="Q1326"/>
          <cell r="R1326"/>
          <cell r="S1326"/>
          <cell r="T1326"/>
          <cell r="U1326"/>
          <cell r="V1326"/>
          <cell r="W1326"/>
          <cell r="X1326"/>
          <cell r="Y1326"/>
          <cell r="Z1326"/>
          <cell r="AA1326"/>
          <cell r="AB1326"/>
          <cell r="AC1326"/>
          <cell r="AD1326"/>
          <cell r="AE1326"/>
          <cell r="AF1326"/>
          <cell r="AG1326"/>
          <cell r="AH1326"/>
          <cell r="AI1326"/>
          <cell r="AJ1326"/>
          <cell r="AK1326"/>
          <cell r="AL1326"/>
          <cell r="AM1326"/>
          <cell r="AN1326"/>
          <cell r="AO1326"/>
          <cell r="AP1326"/>
          <cell r="AQ1326"/>
          <cell r="AR1326"/>
          <cell r="AS1326"/>
          <cell r="AT1326"/>
          <cell r="AU1326"/>
          <cell r="AV1326"/>
          <cell r="AW1326"/>
          <cell r="AX1326"/>
          <cell r="AY1326"/>
          <cell r="AZ1326"/>
        </row>
        <row r="1327">
          <cell r="A1327"/>
          <cell r="B1327"/>
          <cell r="C1327"/>
          <cell r="D1327"/>
          <cell r="E1327"/>
          <cell r="F1327"/>
          <cell r="G1327"/>
          <cell r="H1327"/>
          <cell r="I1327"/>
          <cell r="J1327"/>
          <cell r="K1327"/>
          <cell r="L1327"/>
          <cell r="M1327"/>
          <cell r="N1327"/>
          <cell r="O1327"/>
          <cell r="P1327"/>
          <cell r="Q1327"/>
          <cell r="R1327"/>
          <cell r="S1327"/>
          <cell r="T1327"/>
          <cell r="U1327"/>
          <cell r="V1327"/>
          <cell r="W1327"/>
          <cell r="X1327"/>
          <cell r="Y1327"/>
          <cell r="Z1327"/>
          <cell r="AA1327"/>
          <cell r="AB1327"/>
          <cell r="AC1327"/>
          <cell r="AD1327"/>
          <cell r="AE1327"/>
          <cell r="AF1327"/>
          <cell r="AG1327"/>
          <cell r="AH1327"/>
          <cell r="AI1327"/>
          <cell r="AJ1327"/>
          <cell r="AK1327"/>
          <cell r="AL1327"/>
          <cell r="AM1327"/>
          <cell r="AN1327"/>
          <cell r="AO1327"/>
          <cell r="AP1327"/>
          <cell r="AQ1327"/>
          <cell r="AR1327"/>
          <cell r="AS1327"/>
          <cell r="AT1327"/>
          <cell r="AU1327"/>
          <cell r="AV1327"/>
          <cell r="AW1327"/>
          <cell r="AX1327"/>
          <cell r="AY1327"/>
          <cell r="AZ1327"/>
        </row>
        <row r="1328">
          <cell r="A1328"/>
          <cell r="B1328"/>
          <cell r="C1328"/>
          <cell r="D1328"/>
          <cell r="E1328"/>
          <cell r="F1328"/>
          <cell r="G1328"/>
          <cell r="H1328"/>
          <cell r="I1328"/>
          <cell r="J1328"/>
          <cell r="K1328"/>
          <cell r="L1328"/>
          <cell r="M1328"/>
          <cell r="N1328"/>
          <cell r="O1328"/>
          <cell r="P1328"/>
          <cell r="Q1328"/>
          <cell r="R1328"/>
          <cell r="S1328"/>
          <cell r="T1328"/>
          <cell r="U1328"/>
          <cell r="V1328"/>
          <cell r="W1328"/>
          <cell r="X1328"/>
          <cell r="Y1328"/>
          <cell r="Z1328"/>
          <cell r="AA1328"/>
          <cell r="AB1328"/>
          <cell r="AC1328"/>
          <cell r="AD1328"/>
          <cell r="AE1328"/>
          <cell r="AF1328"/>
          <cell r="AG1328"/>
          <cell r="AH1328"/>
          <cell r="AI1328"/>
          <cell r="AJ1328"/>
          <cell r="AK1328"/>
          <cell r="AL1328"/>
          <cell r="AM1328"/>
          <cell r="AN1328"/>
          <cell r="AO1328"/>
          <cell r="AP1328"/>
          <cell r="AQ1328"/>
          <cell r="AR1328"/>
          <cell r="AS1328"/>
          <cell r="AT1328"/>
          <cell r="AU1328"/>
          <cell r="AV1328"/>
          <cell r="AW1328"/>
          <cell r="AX1328"/>
          <cell r="AY1328"/>
          <cell r="AZ1328"/>
        </row>
        <row r="1329">
          <cell r="A1329"/>
          <cell r="B1329"/>
          <cell r="C1329"/>
          <cell r="D1329"/>
          <cell r="E1329"/>
          <cell r="F1329"/>
          <cell r="G1329"/>
          <cell r="H1329"/>
          <cell r="I1329"/>
          <cell r="J1329"/>
          <cell r="K1329"/>
          <cell r="L1329"/>
          <cell r="M1329"/>
          <cell r="N1329"/>
          <cell r="O1329"/>
          <cell r="P1329"/>
          <cell r="Q1329"/>
          <cell r="R1329"/>
          <cell r="S1329"/>
          <cell r="T1329"/>
          <cell r="U1329"/>
          <cell r="V1329"/>
          <cell r="W1329"/>
          <cell r="X1329"/>
          <cell r="Y1329"/>
          <cell r="Z1329"/>
          <cell r="AA1329"/>
          <cell r="AB1329"/>
          <cell r="AC1329"/>
          <cell r="AD1329"/>
          <cell r="AE1329"/>
          <cell r="AF1329"/>
          <cell r="AG1329"/>
          <cell r="AH1329"/>
          <cell r="AI1329"/>
          <cell r="AJ1329"/>
          <cell r="AK1329"/>
          <cell r="AL1329"/>
          <cell r="AM1329"/>
          <cell r="AN1329"/>
          <cell r="AO1329"/>
          <cell r="AP1329"/>
          <cell r="AQ1329"/>
          <cell r="AR1329"/>
          <cell r="AS1329"/>
          <cell r="AT1329"/>
          <cell r="AU1329"/>
          <cell r="AV1329"/>
          <cell r="AW1329"/>
          <cell r="AX1329"/>
          <cell r="AY1329"/>
          <cell r="AZ1329"/>
        </row>
        <row r="1330">
          <cell r="A1330"/>
          <cell r="B1330"/>
          <cell r="C1330"/>
          <cell r="D1330"/>
          <cell r="E1330"/>
          <cell r="F1330"/>
          <cell r="G1330"/>
          <cell r="H1330"/>
          <cell r="I1330"/>
          <cell r="J1330"/>
          <cell r="K1330"/>
          <cell r="L1330"/>
          <cell r="M1330"/>
          <cell r="N1330"/>
          <cell r="O1330"/>
          <cell r="P1330"/>
          <cell r="Q1330"/>
          <cell r="R1330"/>
          <cell r="S1330"/>
          <cell r="T1330"/>
          <cell r="U1330"/>
          <cell r="V1330"/>
          <cell r="W1330"/>
          <cell r="X1330"/>
          <cell r="Y1330"/>
          <cell r="Z1330"/>
          <cell r="AA1330"/>
          <cell r="AB1330"/>
          <cell r="AC1330"/>
          <cell r="AD1330"/>
          <cell r="AE1330"/>
          <cell r="AF1330"/>
          <cell r="AG1330"/>
          <cell r="AH1330"/>
          <cell r="AI1330"/>
          <cell r="AJ1330"/>
          <cell r="AK1330"/>
          <cell r="AL1330"/>
          <cell r="AM1330"/>
          <cell r="AN1330"/>
          <cell r="AO1330"/>
          <cell r="AP1330"/>
          <cell r="AQ1330"/>
          <cell r="AR1330"/>
          <cell r="AS1330"/>
          <cell r="AT1330"/>
          <cell r="AU1330"/>
          <cell r="AV1330"/>
          <cell r="AW1330"/>
          <cell r="AX1330"/>
          <cell r="AY1330"/>
          <cell r="AZ1330"/>
        </row>
        <row r="1331">
          <cell r="A1331"/>
          <cell r="B1331"/>
          <cell r="C1331"/>
          <cell r="D1331"/>
          <cell r="E1331"/>
          <cell r="F1331"/>
          <cell r="G1331"/>
          <cell r="H1331"/>
          <cell r="I1331"/>
          <cell r="J1331"/>
          <cell r="K1331"/>
          <cell r="L1331"/>
          <cell r="M1331"/>
          <cell r="N1331"/>
          <cell r="O1331"/>
          <cell r="P1331"/>
          <cell r="Q1331"/>
          <cell r="R1331"/>
          <cell r="S1331"/>
          <cell r="T1331"/>
          <cell r="U1331"/>
          <cell r="V1331"/>
          <cell r="W1331"/>
          <cell r="X1331"/>
          <cell r="Y1331"/>
          <cell r="Z1331"/>
          <cell r="AA1331"/>
          <cell r="AB1331"/>
          <cell r="AC1331"/>
          <cell r="AD1331"/>
          <cell r="AE1331"/>
          <cell r="AF1331"/>
          <cell r="AG1331"/>
          <cell r="AH1331"/>
          <cell r="AI1331"/>
          <cell r="AJ1331"/>
          <cell r="AK1331"/>
          <cell r="AL1331"/>
          <cell r="AM1331"/>
          <cell r="AN1331"/>
          <cell r="AO1331"/>
          <cell r="AP1331"/>
          <cell r="AQ1331"/>
          <cell r="AR1331"/>
          <cell r="AS1331"/>
          <cell r="AT1331"/>
          <cell r="AU1331"/>
          <cell r="AV1331"/>
          <cell r="AW1331"/>
          <cell r="AX1331"/>
          <cell r="AY1331"/>
          <cell r="AZ1331"/>
        </row>
        <row r="1332">
          <cell r="A1332"/>
          <cell r="B1332"/>
          <cell r="C1332"/>
          <cell r="D1332"/>
          <cell r="E1332"/>
          <cell r="F1332"/>
          <cell r="G1332"/>
          <cell r="H1332"/>
          <cell r="I1332"/>
          <cell r="J1332"/>
          <cell r="K1332"/>
          <cell r="L1332"/>
          <cell r="M1332"/>
          <cell r="N1332"/>
          <cell r="O1332"/>
          <cell r="P1332"/>
          <cell r="Q1332"/>
          <cell r="R1332"/>
          <cell r="S1332"/>
          <cell r="T1332"/>
          <cell r="U1332"/>
          <cell r="V1332"/>
          <cell r="W1332"/>
          <cell r="X1332"/>
          <cell r="Y1332"/>
          <cell r="Z1332"/>
          <cell r="AA1332"/>
          <cell r="AB1332"/>
          <cell r="AC1332"/>
          <cell r="AD1332"/>
          <cell r="AE1332"/>
          <cell r="AF1332"/>
          <cell r="AG1332"/>
          <cell r="AH1332"/>
          <cell r="AI1332"/>
          <cell r="AJ1332"/>
          <cell r="AK1332"/>
          <cell r="AL1332"/>
          <cell r="AM1332"/>
          <cell r="AN1332"/>
          <cell r="AO1332"/>
          <cell r="AP1332"/>
          <cell r="AQ1332"/>
          <cell r="AR1332"/>
          <cell r="AS1332"/>
          <cell r="AT1332"/>
          <cell r="AU1332"/>
          <cell r="AV1332"/>
          <cell r="AW1332"/>
          <cell r="AX1332"/>
          <cell r="AY1332"/>
          <cell r="AZ1332"/>
        </row>
        <row r="1333">
          <cell r="A1333"/>
          <cell r="B1333"/>
          <cell r="C1333"/>
          <cell r="D1333"/>
          <cell r="E1333"/>
          <cell r="F1333"/>
          <cell r="G1333"/>
          <cell r="H1333"/>
          <cell r="I1333"/>
          <cell r="J1333"/>
          <cell r="K1333"/>
          <cell r="L1333"/>
          <cell r="M1333"/>
          <cell r="N1333"/>
          <cell r="O1333"/>
          <cell r="P1333"/>
          <cell r="Q1333"/>
          <cell r="R1333"/>
          <cell r="S1333"/>
          <cell r="T1333"/>
          <cell r="U1333"/>
          <cell r="V1333"/>
          <cell r="W1333"/>
          <cell r="X1333"/>
          <cell r="Y1333"/>
          <cell r="Z1333"/>
          <cell r="AA1333"/>
          <cell r="AB1333"/>
          <cell r="AC1333"/>
          <cell r="AD1333"/>
          <cell r="AE1333"/>
          <cell r="AF1333"/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/>
          <cell r="AS1333"/>
          <cell r="AT1333"/>
          <cell r="AU1333"/>
          <cell r="AV1333"/>
          <cell r="AW1333"/>
          <cell r="AX1333"/>
          <cell r="AY1333"/>
          <cell r="AZ1333"/>
        </row>
        <row r="1334">
          <cell r="A1334"/>
          <cell r="B1334"/>
          <cell r="C1334"/>
          <cell r="D1334"/>
          <cell r="E1334"/>
          <cell r="F1334"/>
          <cell r="G1334"/>
          <cell r="H1334"/>
          <cell r="I1334"/>
          <cell r="J1334"/>
          <cell r="K1334"/>
          <cell r="L1334"/>
          <cell r="M1334"/>
          <cell r="N1334"/>
          <cell r="O1334"/>
          <cell r="P1334"/>
          <cell r="Q1334"/>
          <cell r="R1334"/>
          <cell r="S1334"/>
          <cell r="T1334"/>
          <cell r="U1334"/>
          <cell r="V1334"/>
          <cell r="W1334"/>
          <cell r="X1334"/>
          <cell r="Y1334"/>
          <cell r="Z1334"/>
          <cell r="AA1334"/>
          <cell r="AB1334"/>
          <cell r="AC1334"/>
          <cell r="AD1334"/>
          <cell r="AE1334"/>
          <cell r="AF1334"/>
          <cell r="AG1334"/>
          <cell r="AH1334"/>
          <cell r="AI1334"/>
          <cell r="AJ1334"/>
          <cell r="AK1334"/>
          <cell r="AL1334"/>
          <cell r="AM1334"/>
          <cell r="AN1334"/>
          <cell r="AO1334"/>
          <cell r="AP1334"/>
          <cell r="AQ1334"/>
          <cell r="AR1334"/>
          <cell r="AS1334"/>
          <cell r="AT1334"/>
          <cell r="AU1334"/>
          <cell r="AV1334"/>
          <cell r="AW1334"/>
          <cell r="AX1334"/>
          <cell r="AY1334"/>
          <cell r="AZ1334"/>
        </row>
        <row r="1335">
          <cell r="A1335"/>
          <cell r="B1335"/>
          <cell r="C1335"/>
          <cell r="D1335"/>
          <cell r="E1335"/>
          <cell r="F1335"/>
          <cell r="G1335"/>
          <cell r="H1335"/>
          <cell r="I1335"/>
          <cell r="J1335"/>
          <cell r="K1335"/>
          <cell r="L1335"/>
          <cell r="M1335"/>
          <cell r="N1335"/>
          <cell r="O1335"/>
          <cell r="P1335"/>
          <cell r="Q1335"/>
          <cell r="R1335"/>
          <cell r="S1335"/>
          <cell r="T1335"/>
          <cell r="U1335"/>
          <cell r="V1335"/>
          <cell r="W1335"/>
          <cell r="X1335"/>
          <cell r="Y1335"/>
          <cell r="Z1335"/>
          <cell r="AA1335"/>
          <cell r="AB1335"/>
          <cell r="AC1335"/>
          <cell r="AD1335"/>
          <cell r="AE1335"/>
          <cell r="AF1335"/>
          <cell r="AG1335"/>
          <cell r="AH1335"/>
          <cell r="AI1335"/>
          <cell r="AJ1335"/>
          <cell r="AK1335"/>
          <cell r="AL1335"/>
          <cell r="AM1335"/>
          <cell r="AN1335"/>
          <cell r="AO1335"/>
          <cell r="AP1335"/>
          <cell r="AQ1335"/>
          <cell r="AR1335"/>
          <cell r="AS1335"/>
          <cell r="AT1335"/>
          <cell r="AU1335"/>
          <cell r="AV1335"/>
          <cell r="AW1335"/>
          <cell r="AX1335"/>
          <cell r="AY1335"/>
          <cell r="AZ1335"/>
        </row>
        <row r="1336">
          <cell r="A1336"/>
          <cell r="B1336"/>
          <cell r="C1336"/>
          <cell r="D1336"/>
          <cell r="E1336"/>
          <cell r="F1336"/>
          <cell r="G1336"/>
          <cell r="H1336"/>
          <cell r="I1336"/>
          <cell r="J1336"/>
          <cell r="K1336"/>
          <cell r="L1336"/>
          <cell r="M1336"/>
          <cell r="N1336"/>
          <cell r="O1336"/>
          <cell r="P1336"/>
          <cell r="Q1336"/>
          <cell r="R1336"/>
          <cell r="S1336"/>
          <cell r="T1336"/>
          <cell r="U1336"/>
          <cell r="V1336"/>
          <cell r="W1336"/>
          <cell r="X1336"/>
          <cell r="Y1336"/>
          <cell r="Z1336"/>
          <cell r="AA1336"/>
          <cell r="AB1336"/>
          <cell r="AC1336"/>
          <cell r="AD1336"/>
          <cell r="AE1336"/>
          <cell r="AF1336"/>
          <cell r="AG1336"/>
          <cell r="AH1336"/>
          <cell r="AI1336"/>
          <cell r="AJ1336"/>
          <cell r="AK1336"/>
          <cell r="AL1336"/>
          <cell r="AM1336"/>
          <cell r="AN1336"/>
          <cell r="AO1336"/>
          <cell r="AP1336"/>
          <cell r="AQ1336"/>
          <cell r="AR1336"/>
          <cell r="AS1336"/>
          <cell r="AT1336"/>
          <cell r="AU1336"/>
          <cell r="AV1336"/>
          <cell r="AW1336"/>
          <cell r="AX1336"/>
          <cell r="AY1336"/>
          <cell r="AZ1336"/>
        </row>
        <row r="1337">
          <cell r="A1337"/>
          <cell r="B1337"/>
          <cell r="C1337"/>
          <cell r="D1337"/>
          <cell r="E1337"/>
          <cell r="F1337"/>
          <cell r="G1337"/>
          <cell r="H1337"/>
          <cell r="I1337"/>
          <cell r="J1337"/>
          <cell r="K1337"/>
          <cell r="L1337"/>
          <cell r="M1337"/>
          <cell r="N1337"/>
          <cell r="O1337"/>
          <cell r="P1337"/>
          <cell r="Q1337"/>
          <cell r="R1337"/>
          <cell r="S1337"/>
          <cell r="T1337"/>
          <cell r="U1337"/>
          <cell r="V1337"/>
          <cell r="W1337"/>
          <cell r="X1337"/>
          <cell r="Y1337"/>
          <cell r="Z1337"/>
          <cell r="AA1337"/>
          <cell r="AB1337"/>
          <cell r="AC1337"/>
          <cell r="AD1337"/>
          <cell r="AE1337"/>
          <cell r="AF1337"/>
          <cell r="AG1337"/>
          <cell r="AH1337"/>
          <cell r="AI1337"/>
          <cell r="AJ1337"/>
          <cell r="AK1337"/>
          <cell r="AL1337"/>
          <cell r="AM1337"/>
          <cell r="AN1337"/>
          <cell r="AO1337"/>
          <cell r="AP1337"/>
          <cell r="AQ1337"/>
          <cell r="AR1337"/>
          <cell r="AS1337"/>
          <cell r="AT1337"/>
          <cell r="AU1337"/>
          <cell r="AV1337"/>
          <cell r="AW1337"/>
          <cell r="AX1337"/>
          <cell r="AY1337"/>
          <cell r="AZ1337"/>
        </row>
        <row r="1338">
          <cell r="A1338"/>
          <cell r="B1338"/>
          <cell r="C1338"/>
          <cell r="D1338"/>
          <cell r="E1338"/>
          <cell r="F1338"/>
          <cell r="G1338"/>
          <cell r="H1338"/>
          <cell r="I1338"/>
          <cell r="J1338"/>
          <cell r="K1338"/>
          <cell r="L1338"/>
          <cell r="M1338"/>
          <cell r="N1338"/>
          <cell r="O1338"/>
          <cell r="P1338"/>
          <cell r="Q1338"/>
          <cell r="R1338"/>
          <cell r="S1338"/>
          <cell r="T1338"/>
          <cell r="U1338"/>
          <cell r="V1338"/>
          <cell r="W1338"/>
          <cell r="X1338"/>
          <cell r="Y1338"/>
          <cell r="Z1338"/>
          <cell r="AA1338"/>
          <cell r="AB1338"/>
          <cell r="AC1338"/>
          <cell r="AD1338"/>
          <cell r="AE1338"/>
          <cell r="AF1338"/>
          <cell r="AG1338"/>
          <cell r="AH1338"/>
          <cell r="AI1338"/>
          <cell r="AJ1338"/>
          <cell r="AK1338"/>
          <cell r="AL1338"/>
          <cell r="AM1338"/>
          <cell r="AN1338"/>
          <cell r="AO1338"/>
          <cell r="AP1338"/>
          <cell r="AQ1338"/>
          <cell r="AR1338"/>
          <cell r="AS1338"/>
          <cell r="AT1338"/>
          <cell r="AU1338"/>
          <cell r="AV1338"/>
          <cell r="AW1338"/>
          <cell r="AX1338"/>
          <cell r="AY1338"/>
          <cell r="AZ1338"/>
        </row>
        <row r="1339">
          <cell r="A1339"/>
          <cell r="B1339"/>
          <cell r="C1339"/>
          <cell r="D1339"/>
          <cell r="E1339"/>
          <cell r="F1339"/>
          <cell r="G1339"/>
          <cell r="H1339"/>
          <cell r="I1339"/>
          <cell r="J1339"/>
          <cell r="K1339"/>
          <cell r="L1339"/>
          <cell r="M1339"/>
          <cell r="N1339"/>
          <cell r="O1339"/>
          <cell r="P1339"/>
          <cell r="Q1339"/>
          <cell r="R1339"/>
          <cell r="S1339"/>
          <cell r="T1339"/>
          <cell r="U1339"/>
          <cell r="V1339"/>
          <cell r="W1339"/>
          <cell r="X1339"/>
          <cell r="Y1339"/>
          <cell r="Z1339"/>
          <cell r="AA1339"/>
          <cell r="AB1339"/>
          <cell r="AC1339"/>
          <cell r="AD1339"/>
          <cell r="AE1339"/>
          <cell r="AF1339"/>
          <cell r="AG1339"/>
          <cell r="AH1339"/>
          <cell r="AI1339"/>
          <cell r="AJ1339"/>
          <cell r="AK1339"/>
          <cell r="AL1339"/>
          <cell r="AM1339"/>
          <cell r="AN1339"/>
          <cell r="AO1339"/>
          <cell r="AP1339"/>
          <cell r="AQ1339"/>
          <cell r="AR1339"/>
          <cell r="AS1339"/>
          <cell r="AT1339"/>
          <cell r="AU1339"/>
          <cell r="AV1339"/>
          <cell r="AW1339"/>
          <cell r="AX1339"/>
          <cell r="AY1339"/>
          <cell r="AZ1339"/>
        </row>
        <row r="1340">
          <cell r="A1340"/>
          <cell r="B1340"/>
          <cell r="C1340"/>
          <cell r="D1340"/>
          <cell r="E1340"/>
          <cell r="F1340"/>
          <cell r="G1340"/>
          <cell r="H1340"/>
          <cell r="I1340"/>
          <cell r="J1340"/>
          <cell r="K1340"/>
          <cell r="L1340"/>
          <cell r="M1340"/>
          <cell r="N1340"/>
          <cell r="O1340"/>
          <cell r="P1340"/>
          <cell r="Q1340"/>
          <cell r="R1340"/>
          <cell r="S1340"/>
          <cell r="T1340"/>
          <cell r="U1340"/>
          <cell r="V1340"/>
          <cell r="W1340"/>
          <cell r="X1340"/>
          <cell r="Y1340"/>
          <cell r="Z1340"/>
          <cell r="AA1340"/>
          <cell r="AB1340"/>
          <cell r="AC1340"/>
          <cell r="AD1340"/>
          <cell r="AE1340"/>
          <cell r="AF1340"/>
          <cell r="AG1340"/>
          <cell r="AH1340"/>
          <cell r="AI1340"/>
          <cell r="AJ1340"/>
          <cell r="AK1340"/>
          <cell r="AL1340"/>
          <cell r="AM1340"/>
          <cell r="AN1340"/>
          <cell r="AO1340"/>
          <cell r="AP1340"/>
          <cell r="AQ1340"/>
          <cell r="AR1340"/>
          <cell r="AS1340"/>
          <cell r="AT1340"/>
          <cell r="AU1340"/>
          <cell r="AV1340"/>
          <cell r="AW1340"/>
          <cell r="AX1340"/>
          <cell r="AY1340"/>
          <cell r="AZ1340"/>
        </row>
        <row r="1341">
          <cell r="A1341"/>
          <cell r="B1341"/>
          <cell r="C1341"/>
          <cell r="D1341"/>
          <cell r="E1341"/>
          <cell r="F1341"/>
          <cell r="G1341"/>
          <cell r="H1341"/>
          <cell r="I1341"/>
          <cell r="J1341"/>
          <cell r="K1341"/>
          <cell r="L1341"/>
          <cell r="M1341"/>
          <cell r="N1341"/>
          <cell r="O1341"/>
          <cell r="P1341"/>
          <cell r="Q1341"/>
          <cell r="R1341"/>
          <cell r="S1341"/>
          <cell r="T1341"/>
          <cell r="U1341"/>
          <cell r="V1341"/>
          <cell r="W1341"/>
          <cell r="X1341"/>
          <cell r="Y1341"/>
          <cell r="Z1341"/>
          <cell r="AA1341"/>
          <cell r="AB1341"/>
          <cell r="AC1341"/>
          <cell r="AD1341"/>
          <cell r="AE1341"/>
          <cell r="AF1341"/>
          <cell r="AG1341"/>
          <cell r="AH1341"/>
          <cell r="AI1341"/>
          <cell r="AJ1341"/>
          <cell r="AK1341"/>
          <cell r="AL1341"/>
          <cell r="AM1341"/>
          <cell r="AN1341"/>
          <cell r="AO1341"/>
          <cell r="AP1341"/>
          <cell r="AQ1341"/>
          <cell r="AR1341"/>
          <cell r="AS1341"/>
          <cell r="AT1341"/>
          <cell r="AU1341"/>
          <cell r="AV1341"/>
          <cell r="AW1341"/>
          <cell r="AX1341"/>
          <cell r="AY1341"/>
          <cell r="AZ1341"/>
        </row>
        <row r="1342">
          <cell r="A1342"/>
          <cell r="B1342"/>
          <cell r="C1342"/>
          <cell r="D1342"/>
          <cell r="E1342"/>
          <cell r="F1342"/>
          <cell r="G1342"/>
          <cell r="H1342"/>
          <cell r="I1342"/>
          <cell r="J1342"/>
          <cell r="K1342"/>
          <cell r="L1342"/>
          <cell r="M1342"/>
          <cell r="N1342"/>
          <cell r="O1342"/>
          <cell r="P1342"/>
          <cell r="Q1342"/>
          <cell r="R1342"/>
          <cell r="S1342"/>
          <cell r="T1342"/>
          <cell r="U1342"/>
          <cell r="V1342"/>
          <cell r="W1342"/>
          <cell r="X1342"/>
          <cell r="Y1342"/>
          <cell r="Z1342"/>
          <cell r="AA1342"/>
          <cell r="AB1342"/>
          <cell r="AC1342"/>
          <cell r="AD1342"/>
          <cell r="AE1342"/>
          <cell r="AF1342"/>
          <cell r="AG1342"/>
          <cell r="AH1342"/>
          <cell r="AI1342"/>
          <cell r="AJ1342"/>
          <cell r="AK1342"/>
          <cell r="AL1342"/>
          <cell r="AM1342"/>
          <cell r="AN1342"/>
          <cell r="AO1342"/>
          <cell r="AP1342"/>
          <cell r="AQ1342"/>
          <cell r="AR1342"/>
          <cell r="AS1342"/>
          <cell r="AT1342"/>
          <cell r="AU1342"/>
          <cell r="AV1342"/>
          <cell r="AW1342"/>
          <cell r="AX1342"/>
          <cell r="AY1342"/>
          <cell r="AZ1342"/>
        </row>
        <row r="1343">
          <cell r="A1343"/>
          <cell r="B1343"/>
          <cell r="C1343"/>
          <cell r="D1343"/>
          <cell r="E1343"/>
          <cell r="F1343"/>
          <cell r="G1343"/>
          <cell r="H1343"/>
          <cell r="I1343"/>
          <cell r="J1343"/>
          <cell r="K1343"/>
          <cell r="L1343"/>
          <cell r="M1343"/>
          <cell r="N1343"/>
          <cell r="O1343"/>
          <cell r="P1343"/>
          <cell r="Q1343"/>
          <cell r="R1343"/>
          <cell r="S1343"/>
          <cell r="T1343"/>
          <cell r="U1343"/>
          <cell r="V1343"/>
          <cell r="W1343"/>
          <cell r="X1343"/>
          <cell r="Y1343"/>
          <cell r="Z1343"/>
          <cell r="AA1343"/>
          <cell r="AB1343"/>
          <cell r="AC1343"/>
          <cell r="AD1343"/>
          <cell r="AE1343"/>
          <cell r="AF1343"/>
          <cell r="AG1343"/>
          <cell r="AH1343"/>
          <cell r="AI1343"/>
          <cell r="AJ1343"/>
          <cell r="AK1343"/>
          <cell r="AL1343"/>
          <cell r="AM1343"/>
          <cell r="AN1343"/>
          <cell r="AO1343"/>
          <cell r="AP1343"/>
          <cell r="AQ1343"/>
          <cell r="AR1343"/>
          <cell r="AS1343"/>
          <cell r="AT1343"/>
          <cell r="AU1343"/>
          <cell r="AV1343"/>
          <cell r="AW1343"/>
          <cell r="AX1343"/>
          <cell r="AY1343"/>
          <cell r="AZ1343"/>
        </row>
        <row r="1344">
          <cell r="A1344"/>
          <cell r="B1344"/>
          <cell r="C1344"/>
          <cell r="D1344"/>
          <cell r="E1344"/>
          <cell r="F1344"/>
          <cell r="G1344"/>
          <cell r="H1344"/>
          <cell r="I1344"/>
          <cell r="J1344"/>
          <cell r="K1344"/>
          <cell r="L1344"/>
          <cell r="M1344"/>
          <cell r="N1344"/>
          <cell r="O1344"/>
          <cell r="P1344"/>
          <cell r="Q1344"/>
          <cell r="R1344"/>
          <cell r="S1344"/>
          <cell r="T1344"/>
          <cell r="U1344"/>
          <cell r="V1344"/>
          <cell r="W1344"/>
          <cell r="X1344"/>
          <cell r="Y1344"/>
          <cell r="Z1344"/>
          <cell r="AA1344"/>
          <cell r="AB1344"/>
          <cell r="AC1344"/>
          <cell r="AD1344"/>
          <cell r="AE1344"/>
          <cell r="AF1344"/>
          <cell r="AG1344"/>
          <cell r="AH1344"/>
          <cell r="AI1344"/>
          <cell r="AJ1344"/>
          <cell r="AK1344"/>
          <cell r="AL1344"/>
          <cell r="AM1344"/>
          <cell r="AN1344"/>
          <cell r="AO1344"/>
          <cell r="AP1344"/>
          <cell r="AQ1344"/>
          <cell r="AR1344"/>
          <cell r="AS1344"/>
          <cell r="AT1344"/>
          <cell r="AU1344"/>
          <cell r="AV1344"/>
          <cell r="AW1344"/>
          <cell r="AX1344"/>
          <cell r="AY1344"/>
          <cell r="AZ1344"/>
        </row>
        <row r="1345">
          <cell r="A1345"/>
          <cell r="B1345"/>
          <cell r="C1345"/>
          <cell r="D1345"/>
          <cell r="E1345"/>
          <cell r="F1345"/>
          <cell r="G1345"/>
          <cell r="H1345"/>
          <cell r="I1345"/>
          <cell r="J1345"/>
          <cell r="K1345"/>
          <cell r="L1345"/>
          <cell r="M1345"/>
          <cell r="N1345"/>
          <cell r="O1345"/>
          <cell r="P1345"/>
          <cell r="Q1345"/>
          <cell r="R1345"/>
          <cell r="S1345"/>
          <cell r="T1345"/>
          <cell r="U1345"/>
          <cell r="V1345"/>
          <cell r="W1345"/>
          <cell r="X1345"/>
          <cell r="Y1345"/>
          <cell r="Z1345"/>
          <cell r="AA1345"/>
          <cell r="AB1345"/>
          <cell r="AC1345"/>
          <cell r="AD1345"/>
          <cell r="AE1345"/>
          <cell r="AF1345"/>
          <cell r="AG1345"/>
          <cell r="AH1345"/>
          <cell r="AI1345"/>
          <cell r="AJ1345"/>
          <cell r="AK1345"/>
          <cell r="AL1345"/>
          <cell r="AM1345"/>
          <cell r="AN1345"/>
          <cell r="AO1345"/>
          <cell r="AP1345"/>
          <cell r="AQ1345"/>
          <cell r="AR1345"/>
          <cell r="AS1345"/>
          <cell r="AT1345"/>
          <cell r="AU1345"/>
          <cell r="AV1345"/>
          <cell r="AW1345"/>
          <cell r="AX1345"/>
          <cell r="AY1345"/>
          <cell r="AZ1345"/>
        </row>
        <row r="1346">
          <cell r="A1346"/>
          <cell r="B1346"/>
          <cell r="C1346"/>
          <cell r="D1346"/>
          <cell r="E1346"/>
          <cell r="F1346"/>
          <cell r="G1346"/>
          <cell r="H1346"/>
          <cell r="I1346"/>
          <cell r="J1346"/>
          <cell r="K1346"/>
          <cell r="L1346"/>
          <cell r="M1346"/>
          <cell r="N1346"/>
          <cell r="O1346"/>
          <cell r="P1346"/>
          <cell r="Q1346"/>
          <cell r="R1346"/>
          <cell r="S1346"/>
          <cell r="T1346"/>
          <cell r="U1346"/>
          <cell r="V1346"/>
          <cell r="W1346"/>
          <cell r="X1346"/>
          <cell r="Y1346"/>
          <cell r="Z1346"/>
          <cell r="AA1346"/>
          <cell r="AB1346"/>
          <cell r="AC1346"/>
          <cell r="AD1346"/>
          <cell r="AE1346"/>
          <cell r="AF1346"/>
          <cell r="AG1346"/>
          <cell r="AH1346"/>
          <cell r="AI1346"/>
          <cell r="AJ1346"/>
          <cell r="AK1346"/>
          <cell r="AL1346"/>
          <cell r="AM1346"/>
          <cell r="AN1346"/>
          <cell r="AO1346"/>
          <cell r="AP1346"/>
          <cell r="AQ1346"/>
          <cell r="AR1346"/>
          <cell r="AS1346"/>
          <cell r="AT1346"/>
          <cell r="AU1346"/>
          <cell r="AV1346"/>
          <cell r="AW1346"/>
          <cell r="AX1346"/>
          <cell r="AY1346"/>
          <cell r="AZ1346"/>
        </row>
        <row r="1347">
          <cell r="A1347"/>
          <cell r="B1347"/>
          <cell r="C1347"/>
          <cell r="D1347"/>
          <cell r="E1347"/>
          <cell r="F1347"/>
          <cell r="G1347"/>
          <cell r="H1347"/>
          <cell r="I1347"/>
          <cell r="J1347"/>
          <cell r="K1347"/>
          <cell r="L1347"/>
          <cell r="M1347"/>
          <cell r="N1347"/>
          <cell r="O1347"/>
          <cell r="P1347"/>
          <cell r="Q1347"/>
          <cell r="R1347"/>
          <cell r="S1347"/>
          <cell r="T1347"/>
          <cell r="U1347"/>
          <cell r="V1347"/>
          <cell r="W1347"/>
          <cell r="X1347"/>
          <cell r="Y1347"/>
          <cell r="Z1347"/>
          <cell r="AA1347"/>
          <cell r="AB1347"/>
          <cell r="AC1347"/>
          <cell r="AD1347"/>
          <cell r="AE1347"/>
          <cell r="AF1347"/>
          <cell r="AG1347"/>
          <cell r="AH1347"/>
          <cell r="AI1347"/>
          <cell r="AJ1347"/>
          <cell r="AK1347"/>
          <cell r="AL1347"/>
          <cell r="AM1347"/>
          <cell r="AN1347"/>
          <cell r="AO1347"/>
          <cell r="AP1347"/>
          <cell r="AQ1347"/>
          <cell r="AR1347"/>
          <cell r="AS1347"/>
          <cell r="AT1347"/>
          <cell r="AU1347"/>
          <cell r="AV1347"/>
          <cell r="AW1347"/>
          <cell r="AX1347"/>
          <cell r="AY1347"/>
          <cell r="AZ1347"/>
        </row>
        <row r="1348">
          <cell r="A1348"/>
          <cell r="B1348"/>
          <cell r="C1348"/>
          <cell r="D1348"/>
          <cell r="E1348"/>
          <cell r="F1348"/>
          <cell r="G1348"/>
          <cell r="H1348"/>
          <cell r="I1348"/>
          <cell r="J1348"/>
          <cell r="K1348"/>
          <cell r="L1348"/>
          <cell r="M1348"/>
          <cell r="N1348"/>
          <cell r="O1348"/>
          <cell r="P1348"/>
          <cell r="Q1348"/>
          <cell r="R1348"/>
          <cell r="S1348"/>
          <cell r="T1348"/>
          <cell r="U1348"/>
          <cell r="V1348"/>
          <cell r="W1348"/>
          <cell r="X1348"/>
          <cell r="Y1348"/>
          <cell r="Z1348"/>
          <cell r="AA1348"/>
          <cell r="AB1348"/>
          <cell r="AC1348"/>
          <cell r="AD1348"/>
          <cell r="AE1348"/>
          <cell r="AF1348"/>
          <cell r="AG1348"/>
          <cell r="AH1348"/>
          <cell r="AI1348"/>
          <cell r="AJ1348"/>
          <cell r="AK1348"/>
          <cell r="AL1348"/>
          <cell r="AM1348"/>
          <cell r="AN1348"/>
          <cell r="AO1348"/>
          <cell r="AP1348"/>
          <cell r="AQ1348"/>
          <cell r="AR1348"/>
          <cell r="AS1348"/>
          <cell r="AT1348"/>
          <cell r="AU1348"/>
          <cell r="AV1348"/>
          <cell r="AW1348"/>
          <cell r="AX1348"/>
          <cell r="AY1348"/>
          <cell r="AZ1348"/>
        </row>
        <row r="1349">
          <cell r="A1349"/>
          <cell r="B1349"/>
          <cell r="C1349"/>
          <cell r="D1349"/>
          <cell r="E1349"/>
          <cell r="F1349"/>
          <cell r="G1349"/>
          <cell r="H1349"/>
          <cell r="I1349"/>
          <cell r="J1349"/>
          <cell r="K1349"/>
          <cell r="L1349"/>
          <cell r="M1349"/>
          <cell r="N1349"/>
          <cell r="O1349"/>
          <cell r="P1349"/>
          <cell r="Q1349"/>
          <cell r="R1349"/>
          <cell r="S1349"/>
          <cell r="T1349"/>
          <cell r="U1349"/>
          <cell r="V1349"/>
          <cell r="W1349"/>
          <cell r="X1349"/>
          <cell r="Y1349"/>
          <cell r="Z1349"/>
          <cell r="AA1349"/>
          <cell r="AB1349"/>
          <cell r="AC1349"/>
          <cell r="AD1349"/>
          <cell r="AE1349"/>
          <cell r="AF1349"/>
          <cell r="AG1349"/>
          <cell r="AH1349"/>
          <cell r="AI1349"/>
          <cell r="AJ1349"/>
          <cell r="AK1349"/>
          <cell r="AL1349"/>
          <cell r="AM1349"/>
          <cell r="AN1349"/>
          <cell r="AO1349"/>
          <cell r="AP1349"/>
          <cell r="AQ1349"/>
          <cell r="AR1349"/>
          <cell r="AS1349"/>
          <cell r="AT1349"/>
          <cell r="AU1349"/>
          <cell r="AV1349"/>
          <cell r="AW1349"/>
          <cell r="AX1349"/>
          <cell r="AY1349"/>
          <cell r="AZ1349"/>
        </row>
        <row r="1350">
          <cell r="A1350"/>
          <cell r="B1350"/>
          <cell r="C1350"/>
          <cell r="D1350"/>
          <cell r="E1350"/>
          <cell r="F1350"/>
          <cell r="G1350"/>
          <cell r="H1350"/>
          <cell r="I1350"/>
          <cell r="J1350"/>
          <cell r="K1350"/>
          <cell r="L1350"/>
          <cell r="M1350"/>
          <cell r="N1350"/>
          <cell r="O1350"/>
          <cell r="P1350"/>
          <cell r="Q1350"/>
          <cell r="R1350"/>
          <cell r="S1350"/>
          <cell r="T1350"/>
          <cell r="U1350"/>
          <cell r="V1350"/>
          <cell r="W1350"/>
          <cell r="X1350"/>
          <cell r="Y1350"/>
          <cell r="Z1350"/>
          <cell r="AA1350"/>
          <cell r="AB1350"/>
          <cell r="AC1350"/>
          <cell r="AD1350"/>
          <cell r="AE1350"/>
          <cell r="AF1350"/>
          <cell r="AG1350"/>
          <cell r="AH1350"/>
          <cell r="AI1350"/>
          <cell r="AJ1350"/>
          <cell r="AK1350"/>
          <cell r="AL1350"/>
          <cell r="AM1350"/>
          <cell r="AN1350"/>
          <cell r="AO1350"/>
          <cell r="AP1350"/>
          <cell r="AQ1350"/>
          <cell r="AR1350"/>
          <cell r="AS1350"/>
          <cell r="AT1350"/>
          <cell r="AU1350"/>
          <cell r="AV1350"/>
          <cell r="AW1350"/>
          <cell r="AX1350"/>
          <cell r="AY1350"/>
          <cell r="AZ1350"/>
        </row>
        <row r="1351">
          <cell r="A1351"/>
          <cell r="B1351"/>
          <cell r="C1351"/>
          <cell r="D1351"/>
          <cell r="E1351"/>
          <cell r="F1351"/>
          <cell r="G1351"/>
          <cell r="H1351"/>
          <cell r="I1351"/>
          <cell r="J1351"/>
          <cell r="K1351"/>
          <cell r="L1351"/>
          <cell r="M1351"/>
          <cell r="N1351"/>
          <cell r="O1351"/>
          <cell r="P1351"/>
          <cell r="Q1351"/>
          <cell r="R1351"/>
          <cell r="S1351"/>
          <cell r="T1351"/>
          <cell r="U1351"/>
          <cell r="V1351"/>
          <cell r="W1351"/>
          <cell r="X1351"/>
          <cell r="Y1351"/>
          <cell r="Z1351"/>
          <cell r="AA1351"/>
          <cell r="AB1351"/>
          <cell r="AC1351"/>
          <cell r="AD1351"/>
          <cell r="AE1351"/>
          <cell r="AF1351"/>
          <cell r="AG1351"/>
          <cell r="AH1351"/>
          <cell r="AI1351"/>
          <cell r="AJ1351"/>
          <cell r="AK1351"/>
          <cell r="AL1351"/>
          <cell r="AM1351"/>
          <cell r="AN1351"/>
          <cell r="AO1351"/>
          <cell r="AP1351"/>
          <cell r="AQ1351"/>
          <cell r="AR1351"/>
          <cell r="AS1351"/>
          <cell r="AT1351"/>
          <cell r="AU1351"/>
          <cell r="AV1351"/>
          <cell r="AW1351"/>
          <cell r="AX1351"/>
          <cell r="AY1351"/>
          <cell r="AZ1351"/>
        </row>
        <row r="1352">
          <cell r="A1352"/>
          <cell r="B1352"/>
          <cell r="C1352"/>
          <cell r="D1352"/>
          <cell r="E1352"/>
          <cell r="F1352"/>
          <cell r="G1352"/>
          <cell r="H1352"/>
          <cell r="I1352"/>
          <cell r="J1352"/>
          <cell r="K1352"/>
          <cell r="L1352"/>
          <cell r="M1352"/>
          <cell r="N1352"/>
          <cell r="O1352"/>
          <cell r="P1352"/>
          <cell r="Q1352"/>
          <cell r="R1352"/>
          <cell r="S1352"/>
          <cell r="T1352"/>
          <cell r="U1352"/>
          <cell r="V1352"/>
          <cell r="W1352"/>
          <cell r="X1352"/>
          <cell r="Y1352"/>
          <cell r="Z1352"/>
          <cell r="AA1352"/>
          <cell r="AB1352"/>
          <cell r="AC1352"/>
          <cell r="AD1352"/>
          <cell r="AE1352"/>
          <cell r="AF1352"/>
          <cell r="AG1352"/>
          <cell r="AH1352"/>
          <cell r="AI1352"/>
          <cell r="AJ1352"/>
          <cell r="AK1352"/>
          <cell r="AL1352"/>
          <cell r="AM1352"/>
          <cell r="AN1352"/>
          <cell r="AO1352"/>
          <cell r="AP1352"/>
          <cell r="AQ1352"/>
          <cell r="AR1352"/>
          <cell r="AS1352"/>
          <cell r="AT1352"/>
          <cell r="AU1352"/>
          <cell r="AV1352"/>
          <cell r="AW1352"/>
          <cell r="AX1352"/>
          <cell r="AY1352"/>
          <cell r="AZ1352"/>
        </row>
        <row r="1353">
          <cell r="A1353"/>
          <cell r="B1353"/>
          <cell r="C1353"/>
          <cell r="D1353"/>
          <cell r="E1353"/>
          <cell r="F1353"/>
          <cell r="G1353"/>
          <cell r="H1353"/>
          <cell r="I1353"/>
          <cell r="J1353"/>
          <cell r="K1353"/>
          <cell r="L1353"/>
          <cell r="M1353"/>
          <cell r="N1353"/>
          <cell r="O1353"/>
          <cell r="P1353"/>
          <cell r="Q1353"/>
          <cell r="R1353"/>
          <cell r="S1353"/>
          <cell r="T1353"/>
          <cell r="U1353"/>
          <cell r="V1353"/>
          <cell r="W1353"/>
          <cell r="X1353"/>
          <cell r="Y1353"/>
          <cell r="Z1353"/>
          <cell r="AA1353"/>
          <cell r="AB1353"/>
          <cell r="AC1353"/>
          <cell r="AD1353"/>
          <cell r="AE1353"/>
          <cell r="AF1353"/>
          <cell r="AG1353"/>
          <cell r="AH1353"/>
          <cell r="AI1353"/>
          <cell r="AJ1353"/>
          <cell r="AK1353"/>
          <cell r="AL1353"/>
          <cell r="AM1353"/>
          <cell r="AN1353"/>
          <cell r="AO1353"/>
          <cell r="AP1353"/>
          <cell r="AQ1353"/>
          <cell r="AR1353"/>
          <cell r="AS1353"/>
          <cell r="AT1353"/>
          <cell r="AU1353"/>
          <cell r="AV1353"/>
          <cell r="AW1353"/>
          <cell r="AX1353"/>
          <cell r="AY1353"/>
          <cell r="AZ1353"/>
        </row>
        <row r="1354">
          <cell r="A1354"/>
          <cell r="B1354"/>
          <cell r="C1354"/>
          <cell r="D1354"/>
          <cell r="E1354"/>
          <cell r="F1354"/>
          <cell r="G1354"/>
          <cell r="H1354"/>
          <cell r="I1354"/>
          <cell r="J1354"/>
          <cell r="K1354"/>
          <cell r="L1354"/>
          <cell r="M1354"/>
          <cell r="N1354"/>
          <cell r="O1354"/>
          <cell r="P1354"/>
          <cell r="Q1354"/>
          <cell r="R1354"/>
          <cell r="S1354"/>
          <cell r="T1354"/>
          <cell r="U1354"/>
          <cell r="V1354"/>
          <cell r="W1354"/>
          <cell r="X1354"/>
          <cell r="Y1354"/>
          <cell r="Z1354"/>
          <cell r="AA1354"/>
          <cell r="AB1354"/>
          <cell r="AC1354"/>
          <cell r="AD1354"/>
          <cell r="AE1354"/>
          <cell r="AF1354"/>
          <cell r="AG1354"/>
          <cell r="AH1354"/>
          <cell r="AI1354"/>
          <cell r="AJ1354"/>
          <cell r="AK1354"/>
          <cell r="AL1354"/>
          <cell r="AM1354"/>
          <cell r="AN1354"/>
          <cell r="AO1354"/>
          <cell r="AP1354"/>
          <cell r="AQ1354"/>
          <cell r="AR1354"/>
          <cell r="AS1354"/>
          <cell r="AT1354"/>
          <cell r="AU1354"/>
          <cell r="AV1354"/>
          <cell r="AW1354"/>
          <cell r="AX1354"/>
          <cell r="AY1354"/>
          <cell r="AZ1354"/>
        </row>
        <row r="1355">
          <cell r="A1355"/>
          <cell r="B1355"/>
          <cell r="C1355"/>
          <cell r="D1355"/>
          <cell r="E1355"/>
          <cell r="F1355"/>
          <cell r="G1355"/>
          <cell r="H1355"/>
          <cell r="I1355"/>
          <cell r="J1355"/>
          <cell r="K1355"/>
          <cell r="L1355"/>
          <cell r="M1355"/>
          <cell r="N1355"/>
          <cell r="O1355"/>
          <cell r="P1355"/>
          <cell r="Q1355"/>
          <cell r="R1355"/>
          <cell r="S1355"/>
          <cell r="T1355"/>
          <cell r="U1355"/>
          <cell r="V1355"/>
          <cell r="W1355"/>
          <cell r="X1355"/>
          <cell r="Y1355"/>
          <cell r="Z1355"/>
          <cell r="AA1355"/>
          <cell r="AB1355"/>
          <cell r="AC1355"/>
          <cell r="AD1355"/>
          <cell r="AE1355"/>
          <cell r="AF1355"/>
          <cell r="AG1355"/>
          <cell r="AH1355"/>
          <cell r="AI1355"/>
          <cell r="AJ1355"/>
          <cell r="AK1355"/>
          <cell r="AL1355"/>
          <cell r="AM1355"/>
          <cell r="AN1355"/>
          <cell r="AO1355"/>
          <cell r="AP1355"/>
          <cell r="AQ1355"/>
          <cell r="AR1355"/>
          <cell r="AS1355"/>
          <cell r="AT1355"/>
          <cell r="AU1355"/>
          <cell r="AV1355"/>
          <cell r="AW1355"/>
          <cell r="AX1355"/>
          <cell r="AY1355"/>
          <cell r="AZ1355"/>
        </row>
        <row r="1356">
          <cell r="A1356"/>
          <cell r="B1356"/>
          <cell r="C1356"/>
          <cell r="D1356"/>
          <cell r="E1356"/>
          <cell r="F1356"/>
          <cell r="G1356"/>
          <cell r="H1356"/>
          <cell r="I1356"/>
          <cell r="J1356"/>
          <cell r="K1356"/>
          <cell r="L1356"/>
          <cell r="M1356"/>
          <cell r="N1356"/>
          <cell r="O1356"/>
          <cell r="P1356"/>
          <cell r="Q1356"/>
          <cell r="R1356"/>
          <cell r="S1356"/>
          <cell r="T1356"/>
          <cell r="U1356"/>
          <cell r="V1356"/>
          <cell r="W1356"/>
          <cell r="X1356"/>
          <cell r="Y1356"/>
          <cell r="Z1356"/>
          <cell r="AA1356"/>
          <cell r="AB1356"/>
          <cell r="AC1356"/>
          <cell r="AD1356"/>
          <cell r="AE1356"/>
          <cell r="AF1356"/>
          <cell r="AG1356"/>
          <cell r="AH1356"/>
          <cell r="AI1356"/>
          <cell r="AJ1356"/>
          <cell r="AK1356"/>
          <cell r="AL1356"/>
          <cell r="AM1356"/>
          <cell r="AN1356"/>
          <cell r="AO1356"/>
          <cell r="AP1356"/>
          <cell r="AQ1356"/>
          <cell r="AR1356"/>
          <cell r="AS1356"/>
          <cell r="AT1356"/>
          <cell r="AU1356"/>
          <cell r="AV1356"/>
          <cell r="AW1356"/>
          <cell r="AX1356"/>
          <cell r="AY1356"/>
          <cell r="AZ1356"/>
        </row>
        <row r="1357">
          <cell r="A1357"/>
          <cell r="B1357"/>
          <cell r="C1357"/>
          <cell r="D1357"/>
          <cell r="E1357"/>
          <cell r="F1357"/>
          <cell r="G1357"/>
          <cell r="H1357"/>
          <cell r="I1357"/>
          <cell r="J1357"/>
          <cell r="K1357"/>
          <cell r="L1357"/>
          <cell r="M1357"/>
          <cell r="N1357"/>
          <cell r="O1357"/>
          <cell r="P1357"/>
          <cell r="Q1357"/>
          <cell r="R1357"/>
          <cell r="S1357"/>
          <cell r="T1357"/>
          <cell r="U1357"/>
          <cell r="V1357"/>
          <cell r="W1357"/>
          <cell r="X1357"/>
          <cell r="Y1357"/>
          <cell r="Z1357"/>
          <cell r="AA1357"/>
          <cell r="AB1357"/>
          <cell r="AC1357"/>
          <cell r="AD1357"/>
          <cell r="AE1357"/>
          <cell r="AF1357"/>
          <cell r="AG1357"/>
          <cell r="AH1357"/>
          <cell r="AI1357"/>
          <cell r="AJ1357"/>
          <cell r="AK1357"/>
          <cell r="AL1357"/>
          <cell r="AM1357"/>
          <cell r="AN1357"/>
          <cell r="AO1357"/>
          <cell r="AP1357"/>
          <cell r="AQ1357"/>
          <cell r="AR1357"/>
          <cell r="AS1357"/>
          <cell r="AT1357"/>
          <cell r="AU1357"/>
          <cell r="AV1357"/>
          <cell r="AW1357"/>
          <cell r="AX1357"/>
          <cell r="AY1357"/>
          <cell r="AZ1357"/>
        </row>
        <row r="1358">
          <cell r="A1358"/>
          <cell r="B1358"/>
          <cell r="C1358"/>
          <cell r="D1358"/>
          <cell r="E1358"/>
          <cell r="F1358"/>
          <cell r="G1358"/>
          <cell r="H1358"/>
          <cell r="I1358"/>
          <cell r="J1358"/>
          <cell r="K1358"/>
          <cell r="L1358"/>
          <cell r="M1358"/>
          <cell r="N1358"/>
          <cell r="O1358"/>
          <cell r="P1358"/>
          <cell r="Q1358"/>
          <cell r="R1358"/>
          <cell r="S1358"/>
          <cell r="T1358"/>
          <cell r="U1358"/>
          <cell r="V1358"/>
          <cell r="W1358"/>
          <cell r="X1358"/>
          <cell r="Y1358"/>
          <cell r="Z1358"/>
          <cell r="AA1358"/>
          <cell r="AB1358"/>
          <cell r="AC1358"/>
          <cell r="AD1358"/>
          <cell r="AE1358"/>
          <cell r="AF1358"/>
          <cell r="AG1358"/>
          <cell r="AH1358"/>
          <cell r="AI1358"/>
          <cell r="AJ1358"/>
          <cell r="AK1358"/>
          <cell r="AL1358"/>
          <cell r="AM1358"/>
          <cell r="AN1358"/>
          <cell r="AO1358"/>
          <cell r="AP1358"/>
          <cell r="AQ1358"/>
          <cell r="AR1358"/>
          <cell r="AS1358"/>
          <cell r="AT1358"/>
          <cell r="AU1358"/>
          <cell r="AV1358"/>
          <cell r="AW1358"/>
          <cell r="AX1358"/>
          <cell r="AY1358"/>
          <cell r="AZ1358"/>
        </row>
        <row r="1359">
          <cell r="A1359"/>
          <cell r="B1359"/>
          <cell r="C1359"/>
          <cell r="D1359"/>
          <cell r="E1359"/>
          <cell r="F1359"/>
          <cell r="G1359"/>
          <cell r="H1359"/>
          <cell r="I1359"/>
          <cell r="J1359"/>
          <cell r="K1359"/>
          <cell r="L1359"/>
          <cell r="M1359"/>
          <cell r="N1359"/>
          <cell r="O1359"/>
          <cell r="P1359"/>
          <cell r="Q1359"/>
          <cell r="R1359"/>
          <cell r="S1359"/>
          <cell r="T1359"/>
          <cell r="U1359"/>
          <cell r="V1359"/>
          <cell r="W1359"/>
          <cell r="X1359"/>
          <cell r="Y1359"/>
          <cell r="Z1359"/>
          <cell r="AA1359"/>
          <cell r="AB1359"/>
          <cell r="AC1359"/>
          <cell r="AD1359"/>
          <cell r="AE1359"/>
          <cell r="AF1359"/>
          <cell r="AG1359"/>
          <cell r="AH1359"/>
          <cell r="AI1359"/>
          <cell r="AJ1359"/>
          <cell r="AK1359"/>
          <cell r="AL1359"/>
          <cell r="AM1359"/>
          <cell r="AN1359"/>
          <cell r="AO1359"/>
          <cell r="AP1359"/>
          <cell r="AQ1359"/>
          <cell r="AR1359"/>
          <cell r="AS1359"/>
          <cell r="AT1359"/>
          <cell r="AU1359"/>
          <cell r="AV1359"/>
          <cell r="AW1359"/>
          <cell r="AX1359"/>
          <cell r="AY1359"/>
          <cell r="AZ1359"/>
        </row>
        <row r="1360">
          <cell r="A1360"/>
          <cell r="B1360"/>
          <cell r="C1360"/>
          <cell r="D1360"/>
          <cell r="E1360"/>
          <cell r="F1360"/>
          <cell r="G1360"/>
          <cell r="H1360"/>
          <cell r="I1360"/>
          <cell r="J1360"/>
          <cell r="K1360"/>
          <cell r="L1360"/>
          <cell r="M1360"/>
          <cell r="N1360"/>
          <cell r="O1360"/>
          <cell r="P1360"/>
          <cell r="Q1360"/>
          <cell r="R1360"/>
          <cell r="S1360"/>
          <cell r="T1360"/>
          <cell r="U1360"/>
          <cell r="V1360"/>
          <cell r="W1360"/>
          <cell r="X1360"/>
          <cell r="Y1360"/>
          <cell r="Z1360"/>
          <cell r="AA1360"/>
          <cell r="AB1360"/>
          <cell r="AC1360"/>
          <cell r="AD1360"/>
          <cell r="AE1360"/>
          <cell r="AF1360"/>
          <cell r="AG1360"/>
          <cell r="AH1360"/>
          <cell r="AI1360"/>
          <cell r="AJ1360"/>
          <cell r="AK1360"/>
          <cell r="AL1360"/>
          <cell r="AM1360"/>
          <cell r="AN1360"/>
          <cell r="AO1360"/>
          <cell r="AP1360"/>
          <cell r="AQ1360"/>
          <cell r="AR1360"/>
          <cell r="AS1360"/>
          <cell r="AT1360"/>
          <cell r="AU1360"/>
          <cell r="AV1360"/>
          <cell r="AW1360"/>
          <cell r="AX1360"/>
          <cell r="AY1360"/>
          <cell r="AZ1360"/>
        </row>
        <row r="1361">
          <cell r="A1361"/>
          <cell r="B1361"/>
          <cell r="C1361"/>
          <cell r="D1361"/>
          <cell r="E1361"/>
          <cell r="F1361"/>
          <cell r="G1361"/>
          <cell r="H1361"/>
          <cell r="I1361"/>
          <cell r="J1361"/>
          <cell r="K1361"/>
          <cell r="L1361"/>
          <cell r="M1361"/>
          <cell r="N1361"/>
          <cell r="O1361"/>
          <cell r="P1361"/>
          <cell r="Q1361"/>
          <cell r="R1361"/>
          <cell r="S1361"/>
          <cell r="T1361"/>
          <cell r="U1361"/>
          <cell r="V1361"/>
          <cell r="W1361"/>
          <cell r="X1361"/>
          <cell r="Y1361"/>
          <cell r="Z1361"/>
          <cell r="AA1361"/>
          <cell r="AB1361"/>
          <cell r="AC1361"/>
          <cell r="AD1361"/>
          <cell r="AE1361"/>
          <cell r="AF1361"/>
          <cell r="AG1361"/>
          <cell r="AH1361"/>
          <cell r="AI1361"/>
          <cell r="AJ1361"/>
          <cell r="AK1361"/>
          <cell r="AL1361"/>
          <cell r="AM1361"/>
          <cell r="AN1361"/>
          <cell r="AO1361"/>
          <cell r="AP1361"/>
          <cell r="AQ1361"/>
          <cell r="AR1361"/>
          <cell r="AS1361"/>
          <cell r="AT1361"/>
          <cell r="AU1361"/>
          <cell r="AV1361"/>
          <cell r="AW1361"/>
          <cell r="AX1361"/>
          <cell r="AY1361"/>
          <cell r="AZ1361"/>
        </row>
        <row r="1362">
          <cell r="A1362"/>
          <cell r="B1362"/>
          <cell r="C1362"/>
          <cell r="D1362"/>
          <cell r="E1362"/>
          <cell r="F1362"/>
          <cell r="G1362"/>
          <cell r="H1362"/>
          <cell r="I1362"/>
          <cell r="J1362"/>
          <cell r="K1362"/>
          <cell r="L1362"/>
          <cell r="M1362"/>
          <cell r="N1362"/>
          <cell r="O1362"/>
          <cell r="P1362"/>
          <cell r="Q1362"/>
          <cell r="R1362"/>
          <cell r="S1362"/>
          <cell r="T1362"/>
          <cell r="U1362"/>
          <cell r="V1362"/>
          <cell r="W1362"/>
          <cell r="X1362"/>
          <cell r="Y1362"/>
          <cell r="Z1362"/>
          <cell r="AA1362"/>
          <cell r="AB1362"/>
          <cell r="AC1362"/>
          <cell r="AD1362"/>
          <cell r="AE1362"/>
          <cell r="AF1362"/>
          <cell r="AG1362"/>
          <cell r="AH1362"/>
          <cell r="AI1362"/>
          <cell r="AJ1362"/>
          <cell r="AK1362"/>
          <cell r="AL1362"/>
          <cell r="AM1362"/>
          <cell r="AN1362"/>
          <cell r="AO1362"/>
          <cell r="AP1362"/>
          <cell r="AQ1362"/>
          <cell r="AR1362"/>
          <cell r="AS1362"/>
          <cell r="AT1362"/>
          <cell r="AU1362"/>
          <cell r="AV1362"/>
          <cell r="AW1362"/>
          <cell r="AX1362"/>
          <cell r="AY1362"/>
          <cell r="AZ1362"/>
        </row>
        <row r="1363">
          <cell r="A1363"/>
          <cell r="B1363"/>
          <cell r="C1363"/>
          <cell r="D1363"/>
          <cell r="E1363"/>
          <cell r="F1363"/>
          <cell r="G1363"/>
          <cell r="H1363"/>
          <cell r="I1363"/>
          <cell r="J1363"/>
          <cell r="K1363"/>
          <cell r="L1363"/>
          <cell r="M1363"/>
          <cell r="N1363"/>
          <cell r="O1363"/>
          <cell r="P1363"/>
          <cell r="Q1363"/>
          <cell r="R1363"/>
          <cell r="S1363"/>
          <cell r="T1363"/>
          <cell r="U1363"/>
          <cell r="V1363"/>
          <cell r="W1363"/>
          <cell r="X1363"/>
          <cell r="Y1363"/>
          <cell r="Z1363"/>
          <cell r="AA1363"/>
          <cell r="AB1363"/>
          <cell r="AC1363"/>
          <cell r="AD1363"/>
          <cell r="AE1363"/>
          <cell r="AF1363"/>
          <cell r="AG1363"/>
          <cell r="AH1363"/>
          <cell r="AI1363"/>
          <cell r="AJ1363"/>
          <cell r="AK1363"/>
          <cell r="AL1363"/>
          <cell r="AM1363"/>
          <cell r="AN1363"/>
          <cell r="AO1363"/>
          <cell r="AP1363"/>
          <cell r="AQ1363"/>
          <cell r="AR1363"/>
          <cell r="AS1363"/>
          <cell r="AT1363"/>
          <cell r="AU1363"/>
          <cell r="AV1363"/>
          <cell r="AW1363"/>
          <cell r="AX1363"/>
          <cell r="AY1363"/>
          <cell r="AZ1363"/>
        </row>
        <row r="1364">
          <cell r="A1364"/>
          <cell r="B1364"/>
          <cell r="C1364"/>
          <cell r="D1364"/>
          <cell r="E1364"/>
          <cell r="F1364"/>
          <cell r="G1364"/>
          <cell r="H1364"/>
          <cell r="I1364"/>
          <cell r="J1364"/>
          <cell r="K1364"/>
          <cell r="L1364"/>
          <cell r="M1364"/>
          <cell r="N1364"/>
          <cell r="O1364"/>
          <cell r="P1364"/>
          <cell r="Q1364"/>
          <cell r="R1364"/>
          <cell r="S1364"/>
          <cell r="T1364"/>
          <cell r="U1364"/>
          <cell r="V1364"/>
          <cell r="W1364"/>
          <cell r="X1364"/>
          <cell r="Y1364"/>
          <cell r="Z1364"/>
          <cell r="AA1364"/>
          <cell r="AB1364"/>
          <cell r="AC1364"/>
          <cell r="AD1364"/>
          <cell r="AE1364"/>
          <cell r="AF1364"/>
          <cell r="AG1364"/>
          <cell r="AH1364"/>
          <cell r="AI1364"/>
          <cell r="AJ1364"/>
          <cell r="AK1364"/>
          <cell r="AL1364"/>
          <cell r="AM1364"/>
          <cell r="AN1364"/>
          <cell r="AO1364"/>
          <cell r="AP1364"/>
          <cell r="AQ1364"/>
          <cell r="AR1364"/>
          <cell r="AS1364"/>
          <cell r="AT1364"/>
          <cell r="AU1364"/>
          <cell r="AV1364"/>
          <cell r="AW1364"/>
          <cell r="AX1364"/>
          <cell r="AY1364"/>
          <cell r="AZ1364"/>
        </row>
        <row r="1365">
          <cell r="A1365"/>
          <cell r="B1365"/>
          <cell r="C1365"/>
          <cell r="D1365"/>
          <cell r="E1365"/>
          <cell r="F1365"/>
          <cell r="G1365"/>
          <cell r="H1365"/>
          <cell r="I1365"/>
          <cell r="J1365"/>
          <cell r="K1365"/>
          <cell r="L1365"/>
          <cell r="M1365"/>
          <cell r="N1365"/>
          <cell r="O1365"/>
          <cell r="P1365"/>
          <cell r="Q1365"/>
          <cell r="R1365"/>
          <cell r="S1365"/>
          <cell r="T1365"/>
          <cell r="U1365"/>
          <cell r="V1365"/>
          <cell r="W1365"/>
          <cell r="X1365"/>
          <cell r="Y1365"/>
          <cell r="Z1365"/>
          <cell r="AA1365"/>
          <cell r="AB1365"/>
          <cell r="AC1365"/>
          <cell r="AD1365"/>
          <cell r="AE1365"/>
          <cell r="AF1365"/>
          <cell r="AG1365"/>
          <cell r="AH1365"/>
          <cell r="AI1365"/>
          <cell r="AJ1365"/>
          <cell r="AK1365"/>
          <cell r="AL1365"/>
          <cell r="AM1365"/>
          <cell r="AN1365"/>
          <cell r="AO1365"/>
          <cell r="AP1365"/>
          <cell r="AQ1365"/>
          <cell r="AR1365"/>
          <cell r="AS1365"/>
          <cell r="AT1365"/>
          <cell r="AU1365"/>
          <cell r="AV1365"/>
          <cell r="AW1365"/>
          <cell r="AX1365"/>
          <cell r="AY1365"/>
          <cell r="AZ1365"/>
        </row>
        <row r="1366">
          <cell r="A1366"/>
          <cell r="B1366"/>
          <cell r="C1366"/>
          <cell r="D1366"/>
          <cell r="E1366"/>
          <cell r="F1366"/>
          <cell r="G1366"/>
          <cell r="H1366"/>
          <cell r="I1366"/>
          <cell r="J1366"/>
          <cell r="K1366"/>
          <cell r="L1366"/>
          <cell r="M1366"/>
          <cell r="N1366"/>
          <cell r="O1366"/>
          <cell r="P1366"/>
          <cell r="Q1366"/>
          <cell r="R1366"/>
          <cell r="S1366"/>
          <cell r="T1366"/>
          <cell r="U1366"/>
          <cell r="V1366"/>
          <cell r="W1366"/>
          <cell r="X1366"/>
          <cell r="Y1366"/>
          <cell r="Z1366"/>
          <cell r="AA1366"/>
          <cell r="AB1366"/>
          <cell r="AC1366"/>
          <cell r="AD1366"/>
          <cell r="AE1366"/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/>
          <cell r="AS1366"/>
          <cell r="AT1366"/>
          <cell r="AU1366"/>
          <cell r="AV1366"/>
          <cell r="AW1366"/>
          <cell r="AX1366"/>
          <cell r="AY1366"/>
          <cell r="AZ1366"/>
        </row>
        <row r="1367">
          <cell r="A1367"/>
          <cell r="B1367"/>
          <cell r="C1367"/>
          <cell r="D1367"/>
          <cell r="E1367"/>
          <cell r="F1367"/>
          <cell r="G1367"/>
          <cell r="H1367"/>
          <cell r="I1367"/>
          <cell r="J1367"/>
          <cell r="K1367"/>
          <cell r="L1367"/>
          <cell r="M1367"/>
          <cell r="N1367"/>
          <cell r="O1367"/>
          <cell r="P1367"/>
          <cell r="Q1367"/>
          <cell r="R1367"/>
          <cell r="S1367"/>
          <cell r="T1367"/>
          <cell r="U1367"/>
          <cell r="V1367"/>
          <cell r="W1367"/>
          <cell r="X1367"/>
          <cell r="Y1367"/>
          <cell r="Z1367"/>
          <cell r="AA1367"/>
          <cell r="AB1367"/>
          <cell r="AC1367"/>
          <cell r="AD1367"/>
          <cell r="AE1367"/>
          <cell r="AF1367"/>
          <cell r="AG1367"/>
          <cell r="AH1367"/>
          <cell r="AI1367"/>
          <cell r="AJ1367"/>
          <cell r="AK1367"/>
          <cell r="AL1367"/>
          <cell r="AM1367"/>
          <cell r="AN1367"/>
          <cell r="AO1367"/>
          <cell r="AP1367"/>
          <cell r="AQ1367"/>
          <cell r="AR1367"/>
          <cell r="AS1367"/>
          <cell r="AT1367"/>
          <cell r="AU1367"/>
          <cell r="AV1367"/>
          <cell r="AW1367"/>
          <cell r="AX1367"/>
          <cell r="AY1367"/>
          <cell r="AZ1367"/>
        </row>
        <row r="1368">
          <cell r="A1368"/>
          <cell r="B1368"/>
          <cell r="C1368"/>
          <cell r="D1368"/>
          <cell r="E1368"/>
          <cell r="F1368"/>
          <cell r="G1368"/>
          <cell r="H1368"/>
          <cell r="I1368"/>
          <cell r="J1368"/>
          <cell r="K1368"/>
          <cell r="L1368"/>
          <cell r="M1368"/>
          <cell r="N1368"/>
          <cell r="O1368"/>
          <cell r="P1368"/>
          <cell r="Q1368"/>
          <cell r="R1368"/>
          <cell r="S1368"/>
          <cell r="T1368"/>
          <cell r="U1368"/>
          <cell r="V1368"/>
          <cell r="W1368"/>
          <cell r="X1368"/>
          <cell r="Y1368"/>
          <cell r="Z1368"/>
          <cell r="AA1368"/>
          <cell r="AB1368"/>
          <cell r="AC1368"/>
          <cell r="AD1368"/>
          <cell r="AE1368"/>
          <cell r="AF1368"/>
          <cell r="AG1368"/>
          <cell r="AH1368"/>
          <cell r="AI1368"/>
          <cell r="AJ1368"/>
          <cell r="AK1368"/>
          <cell r="AL1368"/>
          <cell r="AM1368"/>
          <cell r="AN1368"/>
          <cell r="AO1368"/>
          <cell r="AP1368"/>
          <cell r="AQ1368"/>
          <cell r="AR1368"/>
          <cell r="AS1368"/>
          <cell r="AT1368"/>
          <cell r="AU1368"/>
          <cell r="AV1368"/>
          <cell r="AW1368"/>
          <cell r="AX1368"/>
          <cell r="AY1368"/>
          <cell r="AZ1368"/>
        </row>
        <row r="1369">
          <cell r="A1369"/>
          <cell r="B1369"/>
          <cell r="C1369"/>
          <cell r="D1369"/>
          <cell r="E1369"/>
          <cell r="F1369"/>
          <cell r="G1369"/>
          <cell r="H1369"/>
          <cell r="I1369"/>
          <cell r="J1369"/>
          <cell r="K1369"/>
          <cell r="L1369"/>
          <cell r="M1369"/>
          <cell r="N1369"/>
          <cell r="O1369"/>
          <cell r="P1369"/>
          <cell r="Q1369"/>
          <cell r="R1369"/>
          <cell r="S1369"/>
          <cell r="T1369"/>
          <cell r="U1369"/>
          <cell r="V1369"/>
          <cell r="W1369"/>
          <cell r="X1369"/>
          <cell r="Y1369"/>
          <cell r="Z1369"/>
          <cell r="AA1369"/>
          <cell r="AB1369"/>
          <cell r="AC1369"/>
          <cell r="AD1369"/>
          <cell r="AE1369"/>
          <cell r="AF1369"/>
          <cell r="AG1369"/>
          <cell r="AH1369"/>
          <cell r="AI1369"/>
          <cell r="AJ1369"/>
          <cell r="AK1369"/>
          <cell r="AL1369"/>
          <cell r="AM1369"/>
          <cell r="AN1369"/>
          <cell r="AO1369"/>
          <cell r="AP1369"/>
          <cell r="AQ1369"/>
          <cell r="AR1369"/>
          <cell r="AS1369"/>
          <cell r="AT1369"/>
          <cell r="AU1369"/>
          <cell r="AV1369"/>
          <cell r="AW1369"/>
          <cell r="AX1369"/>
          <cell r="AY1369"/>
          <cell r="AZ1369"/>
        </row>
        <row r="1370">
          <cell r="A1370"/>
          <cell r="B1370"/>
          <cell r="C1370"/>
          <cell r="D1370"/>
          <cell r="E1370"/>
          <cell r="F1370"/>
          <cell r="G1370"/>
          <cell r="H1370"/>
          <cell r="I1370"/>
          <cell r="J1370"/>
          <cell r="K1370"/>
          <cell r="L1370"/>
          <cell r="M1370"/>
          <cell r="N1370"/>
          <cell r="O1370"/>
          <cell r="P1370"/>
          <cell r="Q1370"/>
          <cell r="R1370"/>
          <cell r="S1370"/>
          <cell r="T1370"/>
          <cell r="U1370"/>
          <cell r="V1370"/>
          <cell r="W1370"/>
          <cell r="X1370"/>
          <cell r="Y1370"/>
          <cell r="Z1370"/>
          <cell r="AA1370"/>
          <cell r="AB1370"/>
          <cell r="AC1370"/>
          <cell r="AD1370"/>
          <cell r="AE1370"/>
          <cell r="AF1370"/>
          <cell r="AG1370"/>
          <cell r="AH1370"/>
          <cell r="AI1370"/>
          <cell r="AJ1370"/>
          <cell r="AK1370"/>
          <cell r="AL1370"/>
          <cell r="AM1370"/>
          <cell r="AN1370"/>
          <cell r="AO1370"/>
          <cell r="AP1370"/>
          <cell r="AQ1370"/>
          <cell r="AR1370"/>
          <cell r="AS1370"/>
          <cell r="AT1370"/>
          <cell r="AU1370"/>
          <cell r="AV1370"/>
          <cell r="AW1370"/>
          <cell r="AX1370"/>
          <cell r="AY1370"/>
          <cell r="AZ1370"/>
        </row>
        <row r="1371">
          <cell r="A1371"/>
          <cell r="B1371"/>
          <cell r="C1371"/>
          <cell r="D1371"/>
          <cell r="E1371"/>
          <cell r="F1371"/>
          <cell r="G1371"/>
          <cell r="H1371"/>
          <cell r="I1371"/>
          <cell r="J1371"/>
          <cell r="K1371"/>
          <cell r="L1371"/>
          <cell r="M1371"/>
          <cell r="N1371"/>
          <cell r="O1371"/>
          <cell r="P1371"/>
          <cell r="Q1371"/>
          <cell r="R1371"/>
          <cell r="S1371"/>
          <cell r="T1371"/>
          <cell r="U1371"/>
          <cell r="V1371"/>
          <cell r="W1371"/>
          <cell r="X1371"/>
          <cell r="Y1371"/>
          <cell r="Z1371"/>
          <cell r="AA1371"/>
          <cell r="AB1371"/>
          <cell r="AC1371"/>
          <cell r="AD1371"/>
          <cell r="AE1371"/>
          <cell r="AF1371"/>
          <cell r="AG1371"/>
          <cell r="AH1371"/>
          <cell r="AI1371"/>
          <cell r="AJ1371"/>
          <cell r="AK1371"/>
          <cell r="AL1371"/>
          <cell r="AM1371"/>
          <cell r="AN1371"/>
          <cell r="AO1371"/>
          <cell r="AP1371"/>
          <cell r="AQ1371"/>
          <cell r="AR1371"/>
          <cell r="AS1371"/>
          <cell r="AT1371"/>
          <cell r="AU1371"/>
          <cell r="AV1371"/>
          <cell r="AW1371"/>
          <cell r="AX1371"/>
          <cell r="AY1371"/>
          <cell r="AZ1371"/>
        </row>
        <row r="1372">
          <cell r="A1372"/>
          <cell r="B1372"/>
          <cell r="C1372"/>
          <cell r="D1372"/>
          <cell r="E1372"/>
          <cell r="F1372"/>
          <cell r="G1372"/>
          <cell r="H1372"/>
          <cell r="I1372"/>
          <cell r="J1372"/>
          <cell r="K1372"/>
          <cell r="L1372"/>
          <cell r="M1372"/>
          <cell r="N1372"/>
          <cell r="O1372"/>
          <cell r="P1372"/>
          <cell r="Q1372"/>
          <cell r="R1372"/>
          <cell r="S1372"/>
          <cell r="T1372"/>
          <cell r="U1372"/>
          <cell r="V1372"/>
          <cell r="W1372"/>
          <cell r="X1372"/>
          <cell r="Y1372"/>
          <cell r="Z1372"/>
          <cell r="AA1372"/>
          <cell r="AB1372"/>
          <cell r="AC1372"/>
          <cell r="AD1372"/>
          <cell r="AE1372"/>
          <cell r="AF1372"/>
          <cell r="AG1372"/>
          <cell r="AH1372"/>
          <cell r="AI1372"/>
          <cell r="AJ1372"/>
          <cell r="AK1372"/>
          <cell r="AL1372"/>
          <cell r="AM1372"/>
          <cell r="AN1372"/>
          <cell r="AO1372"/>
          <cell r="AP1372"/>
          <cell r="AQ1372"/>
          <cell r="AR1372"/>
          <cell r="AS1372"/>
          <cell r="AT1372"/>
          <cell r="AU1372"/>
          <cell r="AV1372"/>
          <cell r="AW1372"/>
          <cell r="AX1372"/>
          <cell r="AY1372"/>
          <cell r="AZ1372"/>
        </row>
        <row r="1373">
          <cell r="A1373"/>
          <cell r="B1373"/>
          <cell r="C1373"/>
          <cell r="D1373"/>
          <cell r="E1373"/>
          <cell r="F1373"/>
          <cell r="G1373"/>
          <cell r="H1373"/>
          <cell r="I1373"/>
          <cell r="J1373"/>
          <cell r="K1373"/>
          <cell r="L1373"/>
          <cell r="M1373"/>
          <cell r="N1373"/>
          <cell r="O1373"/>
          <cell r="P1373"/>
          <cell r="Q1373"/>
          <cell r="R1373"/>
          <cell r="S1373"/>
          <cell r="T1373"/>
          <cell r="U1373"/>
          <cell r="V1373"/>
          <cell r="W1373"/>
          <cell r="X1373"/>
          <cell r="Y1373"/>
          <cell r="Z1373"/>
          <cell r="AA1373"/>
          <cell r="AB1373"/>
          <cell r="AC1373"/>
          <cell r="AD1373"/>
          <cell r="AE1373"/>
          <cell r="AF1373"/>
          <cell r="AG1373"/>
          <cell r="AH1373"/>
          <cell r="AI1373"/>
          <cell r="AJ1373"/>
          <cell r="AK1373"/>
          <cell r="AL1373"/>
          <cell r="AM1373"/>
          <cell r="AN1373"/>
          <cell r="AO1373"/>
          <cell r="AP1373"/>
          <cell r="AQ1373"/>
          <cell r="AR1373"/>
          <cell r="AS1373"/>
          <cell r="AT1373"/>
          <cell r="AU1373"/>
          <cell r="AV1373"/>
          <cell r="AW1373"/>
          <cell r="AX1373"/>
          <cell r="AY1373"/>
          <cell r="AZ1373"/>
        </row>
        <row r="1374">
          <cell r="A1374"/>
          <cell r="B1374"/>
          <cell r="C1374"/>
          <cell r="D1374"/>
          <cell r="E1374"/>
          <cell r="F1374"/>
          <cell r="G1374"/>
          <cell r="H1374"/>
          <cell r="I1374"/>
          <cell r="J1374"/>
          <cell r="K1374"/>
          <cell r="L1374"/>
          <cell r="M1374"/>
          <cell r="N1374"/>
          <cell r="O1374"/>
          <cell r="P1374"/>
          <cell r="Q1374"/>
          <cell r="R1374"/>
          <cell r="S1374"/>
          <cell r="T1374"/>
          <cell r="U1374"/>
          <cell r="V1374"/>
          <cell r="W1374"/>
          <cell r="X1374"/>
          <cell r="Y1374"/>
          <cell r="Z1374"/>
          <cell r="AA1374"/>
          <cell r="AB1374"/>
          <cell r="AC1374"/>
          <cell r="AD1374"/>
          <cell r="AE1374"/>
          <cell r="AF1374"/>
          <cell r="AG1374"/>
          <cell r="AH1374"/>
          <cell r="AI1374"/>
          <cell r="AJ1374"/>
          <cell r="AK1374"/>
          <cell r="AL1374"/>
          <cell r="AM1374"/>
          <cell r="AN1374"/>
          <cell r="AO1374"/>
          <cell r="AP1374"/>
          <cell r="AQ1374"/>
          <cell r="AR1374"/>
          <cell r="AS1374"/>
          <cell r="AT1374"/>
          <cell r="AU1374"/>
          <cell r="AV1374"/>
          <cell r="AW1374"/>
          <cell r="AX1374"/>
          <cell r="AY1374"/>
          <cell r="AZ1374"/>
        </row>
        <row r="1375">
          <cell r="A1375"/>
          <cell r="B1375"/>
          <cell r="C1375"/>
          <cell r="D1375"/>
          <cell r="E1375"/>
          <cell r="F1375"/>
          <cell r="G1375"/>
          <cell r="H1375"/>
          <cell r="I1375"/>
          <cell r="J1375"/>
          <cell r="K1375"/>
          <cell r="L1375"/>
          <cell r="M1375"/>
          <cell r="N1375"/>
          <cell r="O1375"/>
          <cell r="P1375"/>
          <cell r="Q1375"/>
          <cell r="R1375"/>
          <cell r="S1375"/>
          <cell r="T1375"/>
          <cell r="U1375"/>
          <cell r="V1375"/>
          <cell r="W1375"/>
          <cell r="X1375"/>
          <cell r="Y1375"/>
          <cell r="Z1375"/>
          <cell r="AA1375"/>
          <cell r="AB1375"/>
          <cell r="AC1375"/>
          <cell r="AD1375"/>
          <cell r="AE1375"/>
          <cell r="AF1375"/>
          <cell r="AG1375"/>
          <cell r="AH1375"/>
          <cell r="AI1375"/>
          <cell r="AJ1375"/>
          <cell r="AK1375"/>
          <cell r="AL1375"/>
          <cell r="AM1375"/>
          <cell r="AN1375"/>
          <cell r="AO1375"/>
          <cell r="AP1375"/>
          <cell r="AQ1375"/>
          <cell r="AR1375"/>
          <cell r="AS1375"/>
          <cell r="AT1375"/>
          <cell r="AU1375"/>
          <cell r="AV1375"/>
          <cell r="AW1375"/>
          <cell r="AX1375"/>
          <cell r="AY1375"/>
          <cell r="AZ1375"/>
        </row>
        <row r="1376">
          <cell r="A1376"/>
          <cell r="B1376"/>
          <cell r="C1376"/>
          <cell r="D1376"/>
          <cell r="E1376"/>
          <cell r="F1376"/>
          <cell r="G1376"/>
          <cell r="H1376"/>
          <cell r="I1376"/>
          <cell r="J1376"/>
          <cell r="K1376"/>
          <cell r="L1376"/>
          <cell r="M1376"/>
          <cell r="N1376"/>
          <cell r="O1376"/>
          <cell r="P1376"/>
          <cell r="Q1376"/>
          <cell r="R1376"/>
          <cell r="S1376"/>
          <cell r="T1376"/>
          <cell r="U1376"/>
          <cell r="V1376"/>
          <cell r="W1376"/>
          <cell r="X1376"/>
          <cell r="Y1376"/>
          <cell r="Z1376"/>
          <cell r="AA1376"/>
          <cell r="AB1376"/>
          <cell r="AC1376"/>
          <cell r="AD1376"/>
          <cell r="AE1376"/>
          <cell r="AF1376"/>
          <cell r="AG1376"/>
          <cell r="AH1376"/>
          <cell r="AI1376"/>
          <cell r="AJ1376"/>
          <cell r="AK1376"/>
          <cell r="AL1376"/>
          <cell r="AM1376"/>
          <cell r="AN1376"/>
          <cell r="AO1376"/>
          <cell r="AP1376"/>
          <cell r="AQ1376"/>
          <cell r="AR1376"/>
          <cell r="AS1376"/>
          <cell r="AT1376"/>
          <cell r="AU1376"/>
          <cell r="AV1376"/>
          <cell r="AW1376"/>
          <cell r="AX1376"/>
          <cell r="AY1376"/>
          <cell r="AZ1376"/>
        </row>
        <row r="1377">
          <cell r="A1377"/>
          <cell r="B1377"/>
          <cell r="C1377"/>
          <cell r="D1377"/>
          <cell r="E1377"/>
          <cell r="F1377"/>
          <cell r="G1377"/>
          <cell r="H1377"/>
          <cell r="I1377"/>
          <cell r="J1377"/>
          <cell r="K1377"/>
          <cell r="L1377"/>
          <cell r="M1377"/>
          <cell r="N1377"/>
          <cell r="O1377"/>
          <cell r="P1377"/>
          <cell r="Q1377"/>
          <cell r="R1377"/>
          <cell r="S1377"/>
          <cell r="T1377"/>
          <cell r="U1377"/>
          <cell r="V1377"/>
          <cell r="W1377"/>
          <cell r="X1377"/>
          <cell r="Y1377"/>
          <cell r="Z1377"/>
          <cell r="AA1377"/>
          <cell r="AB1377"/>
          <cell r="AC1377"/>
          <cell r="AD1377"/>
          <cell r="AE1377"/>
          <cell r="AF1377"/>
          <cell r="AG1377"/>
          <cell r="AH1377"/>
          <cell r="AI1377"/>
          <cell r="AJ1377"/>
          <cell r="AK1377"/>
          <cell r="AL1377"/>
          <cell r="AM1377"/>
          <cell r="AN1377"/>
          <cell r="AO1377"/>
          <cell r="AP1377"/>
          <cell r="AQ1377"/>
          <cell r="AR1377"/>
          <cell r="AS1377"/>
          <cell r="AT1377"/>
          <cell r="AU1377"/>
          <cell r="AV1377"/>
          <cell r="AW1377"/>
          <cell r="AX1377"/>
          <cell r="AY1377"/>
          <cell r="AZ1377"/>
        </row>
        <row r="1378">
          <cell r="A1378"/>
          <cell r="B1378"/>
          <cell r="C1378"/>
          <cell r="D1378"/>
          <cell r="E1378"/>
          <cell r="F1378"/>
          <cell r="G1378"/>
          <cell r="H1378"/>
          <cell r="I1378"/>
          <cell r="J1378"/>
          <cell r="K1378"/>
          <cell r="L1378"/>
          <cell r="M1378"/>
          <cell r="N1378"/>
          <cell r="O1378"/>
          <cell r="P1378"/>
          <cell r="Q1378"/>
          <cell r="R1378"/>
          <cell r="S1378"/>
          <cell r="T1378"/>
          <cell r="U1378"/>
          <cell r="V1378"/>
          <cell r="W1378"/>
          <cell r="X1378"/>
          <cell r="Y1378"/>
          <cell r="Z1378"/>
          <cell r="AA1378"/>
          <cell r="AB1378"/>
          <cell r="AC1378"/>
          <cell r="AD1378"/>
          <cell r="AE1378"/>
          <cell r="AF1378"/>
          <cell r="AG1378"/>
          <cell r="AH1378"/>
          <cell r="AI1378"/>
          <cell r="AJ1378"/>
          <cell r="AK1378"/>
          <cell r="AL1378"/>
          <cell r="AM1378"/>
          <cell r="AN1378"/>
          <cell r="AO1378"/>
          <cell r="AP1378"/>
          <cell r="AQ1378"/>
          <cell r="AR1378"/>
          <cell r="AS1378"/>
          <cell r="AT1378"/>
          <cell r="AU1378"/>
          <cell r="AV1378"/>
          <cell r="AW1378"/>
          <cell r="AX1378"/>
          <cell r="AY1378"/>
          <cell r="AZ1378"/>
        </row>
        <row r="1379">
          <cell r="A1379"/>
          <cell r="B1379"/>
          <cell r="C1379"/>
          <cell r="D1379"/>
          <cell r="E1379"/>
          <cell r="F1379"/>
          <cell r="G1379"/>
          <cell r="H1379"/>
          <cell r="I1379"/>
          <cell r="J1379"/>
          <cell r="K1379"/>
          <cell r="L1379"/>
          <cell r="M1379"/>
          <cell r="N1379"/>
          <cell r="O1379"/>
          <cell r="P1379"/>
          <cell r="Q1379"/>
          <cell r="R1379"/>
          <cell r="S1379"/>
          <cell r="T1379"/>
          <cell r="U1379"/>
          <cell r="V1379"/>
          <cell r="W1379"/>
          <cell r="X1379"/>
          <cell r="Y1379"/>
          <cell r="Z1379"/>
          <cell r="AA1379"/>
          <cell r="AB1379"/>
          <cell r="AC1379"/>
          <cell r="AD1379"/>
          <cell r="AE1379"/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/>
          <cell r="AS1379"/>
          <cell r="AT1379"/>
          <cell r="AU1379"/>
          <cell r="AV1379"/>
          <cell r="AW1379"/>
          <cell r="AX1379"/>
          <cell r="AY1379"/>
          <cell r="AZ1379"/>
        </row>
        <row r="1380">
          <cell r="A1380"/>
          <cell r="B1380"/>
          <cell r="C1380"/>
          <cell r="D1380"/>
          <cell r="E1380"/>
          <cell r="F1380"/>
          <cell r="G1380"/>
          <cell r="H1380"/>
          <cell r="I1380"/>
          <cell r="J1380"/>
          <cell r="K1380"/>
          <cell r="L1380"/>
          <cell r="M1380"/>
          <cell r="N1380"/>
          <cell r="O1380"/>
          <cell r="P1380"/>
          <cell r="Q1380"/>
          <cell r="R1380"/>
          <cell r="S1380"/>
          <cell r="T1380"/>
          <cell r="U1380"/>
          <cell r="V1380"/>
          <cell r="W1380"/>
          <cell r="X1380"/>
          <cell r="Y1380"/>
          <cell r="Z1380"/>
          <cell r="AA1380"/>
          <cell r="AB1380"/>
          <cell r="AC1380"/>
          <cell r="AD1380"/>
          <cell r="AE1380"/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/>
          <cell r="AS1380"/>
          <cell r="AT1380"/>
          <cell r="AU1380"/>
          <cell r="AV1380"/>
          <cell r="AW1380"/>
          <cell r="AX1380"/>
          <cell r="AY1380"/>
          <cell r="AZ1380"/>
        </row>
        <row r="1381">
          <cell r="A1381"/>
          <cell r="B1381"/>
          <cell r="C1381"/>
          <cell r="D1381"/>
          <cell r="E1381"/>
          <cell r="F1381"/>
          <cell r="G1381"/>
          <cell r="H1381"/>
          <cell r="I1381"/>
          <cell r="J1381"/>
          <cell r="K1381"/>
          <cell r="L1381"/>
          <cell r="M1381"/>
          <cell r="N1381"/>
          <cell r="O1381"/>
          <cell r="P1381"/>
          <cell r="Q1381"/>
          <cell r="R1381"/>
          <cell r="S1381"/>
          <cell r="T1381"/>
          <cell r="U1381"/>
          <cell r="V1381"/>
          <cell r="W1381"/>
          <cell r="X1381"/>
          <cell r="Y1381"/>
          <cell r="Z1381"/>
          <cell r="AA1381"/>
          <cell r="AB1381"/>
          <cell r="AC1381"/>
          <cell r="AD1381"/>
          <cell r="AE1381"/>
          <cell r="AF1381"/>
          <cell r="AG1381"/>
          <cell r="AH1381"/>
          <cell r="AI1381"/>
          <cell r="AJ1381"/>
          <cell r="AK1381"/>
          <cell r="AL1381"/>
          <cell r="AM1381"/>
          <cell r="AN1381"/>
          <cell r="AO1381"/>
          <cell r="AP1381"/>
          <cell r="AQ1381"/>
          <cell r="AR1381"/>
          <cell r="AS1381"/>
          <cell r="AT1381"/>
          <cell r="AU1381"/>
          <cell r="AV1381"/>
          <cell r="AW1381"/>
          <cell r="AX1381"/>
          <cell r="AY1381"/>
          <cell r="AZ1381"/>
        </row>
        <row r="1382">
          <cell r="A1382"/>
          <cell r="B1382"/>
          <cell r="C1382"/>
          <cell r="D1382"/>
          <cell r="E1382"/>
          <cell r="F1382"/>
          <cell r="G1382"/>
          <cell r="H1382"/>
          <cell r="I1382"/>
          <cell r="J1382"/>
          <cell r="K1382"/>
          <cell r="L1382"/>
          <cell r="M1382"/>
          <cell r="N1382"/>
          <cell r="O1382"/>
          <cell r="P1382"/>
          <cell r="Q1382"/>
          <cell r="R1382"/>
          <cell r="S1382"/>
          <cell r="T1382"/>
          <cell r="U1382"/>
          <cell r="V1382"/>
          <cell r="W1382"/>
          <cell r="X1382"/>
          <cell r="Y1382"/>
          <cell r="Z1382"/>
          <cell r="AA1382"/>
          <cell r="AB1382"/>
          <cell r="AC1382"/>
          <cell r="AD1382"/>
          <cell r="AE1382"/>
          <cell r="AF1382"/>
          <cell r="AG1382"/>
          <cell r="AH1382"/>
          <cell r="AI1382"/>
          <cell r="AJ1382"/>
          <cell r="AK1382"/>
          <cell r="AL1382"/>
          <cell r="AM1382"/>
          <cell r="AN1382"/>
          <cell r="AO1382"/>
          <cell r="AP1382"/>
          <cell r="AQ1382"/>
          <cell r="AR1382"/>
          <cell r="AS1382"/>
          <cell r="AT1382"/>
          <cell r="AU1382"/>
          <cell r="AV1382"/>
          <cell r="AW1382"/>
          <cell r="AX1382"/>
          <cell r="AY1382"/>
          <cell r="AZ1382"/>
        </row>
        <row r="1383">
          <cell r="A1383"/>
          <cell r="B1383"/>
          <cell r="C1383"/>
          <cell r="D1383"/>
          <cell r="E1383"/>
          <cell r="F1383"/>
          <cell r="G1383"/>
          <cell r="H1383"/>
          <cell r="I1383"/>
          <cell r="J1383"/>
          <cell r="K1383"/>
          <cell r="L1383"/>
          <cell r="M1383"/>
          <cell r="N1383"/>
          <cell r="O1383"/>
          <cell r="P1383"/>
          <cell r="Q1383"/>
          <cell r="R1383"/>
          <cell r="S1383"/>
          <cell r="T1383"/>
          <cell r="U1383"/>
          <cell r="V1383"/>
          <cell r="W1383"/>
          <cell r="X1383"/>
          <cell r="Y1383"/>
          <cell r="Z1383"/>
          <cell r="AA1383"/>
          <cell r="AB1383"/>
          <cell r="AC1383"/>
          <cell r="AD1383"/>
          <cell r="AE1383"/>
          <cell r="AF1383"/>
          <cell r="AG1383"/>
          <cell r="AH1383"/>
          <cell r="AI1383"/>
          <cell r="AJ1383"/>
          <cell r="AK1383"/>
          <cell r="AL1383"/>
          <cell r="AM1383"/>
          <cell r="AN1383"/>
          <cell r="AO1383"/>
          <cell r="AP1383"/>
          <cell r="AQ1383"/>
          <cell r="AR1383"/>
          <cell r="AS1383"/>
          <cell r="AT1383"/>
          <cell r="AU1383"/>
          <cell r="AV1383"/>
          <cell r="AW1383"/>
          <cell r="AX1383"/>
          <cell r="AY1383"/>
          <cell r="AZ1383"/>
        </row>
        <row r="1384">
          <cell r="A1384"/>
          <cell r="B1384"/>
          <cell r="C1384"/>
          <cell r="D1384"/>
          <cell r="E1384"/>
          <cell r="F1384"/>
          <cell r="G1384"/>
          <cell r="H1384"/>
          <cell r="I1384"/>
          <cell r="J1384"/>
          <cell r="K1384"/>
          <cell r="L1384"/>
          <cell r="M1384"/>
          <cell r="N1384"/>
          <cell r="O1384"/>
          <cell r="P1384"/>
          <cell r="Q1384"/>
          <cell r="R1384"/>
          <cell r="S1384"/>
          <cell r="T1384"/>
          <cell r="U1384"/>
          <cell r="V1384"/>
          <cell r="W1384"/>
          <cell r="X1384"/>
          <cell r="Y1384"/>
          <cell r="Z1384"/>
          <cell r="AA1384"/>
          <cell r="AB1384"/>
          <cell r="AC1384"/>
          <cell r="AD1384"/>
          <cell r="AE1384"/>
          <cell r="AF1384"/>
          <cell r="AG1384"/>
          <cell r="AH1384"/>
          <cell r="AI1384"/>
          <cell r="AJ1384"/>
          <cell r="AK1384"/>
          <cell r="AL1384"/>
          <cell r="AM1384"/>
          <cell r="AN1384"/>
          <cell r="AO1384"/>
          <cell r="AP1384"/>
          <cell r="AQ1384"/>
          <cell r="AR1384"/>
          <cell r="AS1384"/>
          <cell r="AT1384"/>
          <cell r="AU1384"/>
          <cell r="AV1384"/>
          <cell r="AW1384"/>
          <cell r="AX1384"/>
          <cell r="AY1384"/>
          <cell r="AZ1384"/>
        </row>
        <row r="1385">
          <cell r="A1385"/>
          <cell r="B1385"/>
          <cell r="C1385"/>
          <cell r="D1385"/>
          <cell r="E1385"/>
          <cell r="F1385"/>
          <cell r="G1385"/>
          <cell r="H1385"/>
          <cell r="I1385"/>
          <cell r="J1385"/>
          <cell r="K1385"/>
          <cell r="L1385"/>
          <cell r="M1385"/>
          <cell r="N1385"/>
          <cell r="O1385"/>
          <cell r="P1385"/>
          <cell r="Q1385"/>
          <cell r="R1385"/>
          <cell r="S1385"/>
          <cell r="T1385"/>
          <cell r="U1385"/>
          <cell r="V1385"/>
          <cell r="W1385"/>
          <cell r="X1385"/>
          <cell r="Y1385"/>
          <cell r="Z1385"/>
          <cell r="AA1385"/>
          <cell r="AB1385"/>
          <cell r="AC1385"/>
          <cell r="AD1385"/>
          <cell r="AE1385"/>
          <cell r="AF1385"/>
          <cell r="AG1385"/>
          <cell r="AH1385"/>
          <cell r="AI1385"/>
          <cell r="AJ1385"/>
          <cell r="AK1385"/>
          <cell r="AL1385"/>
          <cell r="AM1385"/>
          <cell r="AN1385"/>
          <cell r="AO1385"/>
          <cell r="AP1385"/>
          <cell r="AQ1385"/>
          <cell r="AR1385"/>
          <cell r="AS1385"/>
          <cell r="AT1385"/>
          <cell r="AU1385"/>
          <cell r="AV1385"/>
          <cell r="AW1385"/>
          <cell r="AX1385"/>
          <cell r="AY1385"/>
          <cell r="AZ1385"/>
        </row>
        <row r="1386">
          <cell r="A1386"/>
          <cell r="B1386"/>
          <cell r="C1386"/>
          <cell r="D1386"/>
          <cell r="E1386"/>
          <cell r="F1386"/>
          <cell r="G1386"/>
          <cell r="H1386"/>
          <cell r="I1386"/>
          <cell r="J1386"/>
          <cell r="K1386"/>
          <cell r="L1386"/>
          <cell r="M1386"/>
          <cell r="N1386"/>
          <cell r="O1386"/>
          <cell r="P1386"/>
          <cell r="Q1386"/>
          <cell r="R1386"/>
          <cell r="S1386"/>
          <cell r="T1386"/>
          <cell r="U1386"/>
          <cell r="V1386"/>
          <cell r="W1386"/>
          <cell r="X1386"/>
          <cell r="Y1386"/>
          <cell r="Z1386"/>
          <cell r="AA1386"/>
          <cell r="AB1386"/>
          <cell r="AC1386"/>
          <cell r="AD1386"/>
          <cell r="AE1386"/>
          <cell r="AF1386"/>
          <cell r="AG1386"/>
          <cell r="AH1386"/>
          <cell r="AI1386"/>
          <cell r="AJ1386"/>
          <cell r="AK1386"/>
          <cell r="AL1386"/>
          <cell r="AM1386"/>
          <cell r="AN1386"/>
          <cell r="AO1386"/>
          <cell r="AP1386"/>
          <cell r="AQ1386"/>
          <cell r="AR1386"/>
          <cell r="AS1386"/>
          <cell r="AT1386"/>
          <cell r="AU1386"/>
          <cell r="AV1386"/>
          <cell r="AW1386"/>
          <cell r="AX1386"/>
          <cell r="AY1386"/>
          <cell r="AZ1386"/>
        </row>
        <row r="1387">
          <cell r="A1387"/>
          <cell r="B1387"/>
          <cell r="C1387"/>
          <cell r="D1387"/>
          <cell r="E1387"/>
          <cell r="F1387"/>
          <cell r="G1387"/>
          <cell r="H1387"/>
          <cell r="I1387"/>
          <cell r="J1387"/>
          <cell r="K1387"/>
          <cell r="L1387"/>
          <cell r="M1387"/>
          <cell r="N1387"/>
          <cell r="O1387"/>
          <cell r="P1387"/>
          <cell r="Q1387"/>
          <cell r="R1387"/>
          <cell r="S1387"/>
          <cell r="T1387"/>
          <cell r="U1387"/>
          <cell r="V1387"/>
          <cell r="W1387"/>
          <cell r="X1387"/>
          <cell r="Y1387"/>
          <cell r="Z1387"/>
          <cell r="AA1387"/>
          <cell r="AB1387"/>
          <cell r="AC1387"/>
          <cell r="AD1387"/>
          <cell r="AE1387"/>
          <cell r="AF1387"/>
          <cell r="AG1387"/>
          <cell r="AH1387"/>
          <cell r="AI1387"/>
          <cell r="AJ1387"/>
          <cell r="AK1387"/>
          <cell r="AL1387"/>
          <cell r="AM1387"/>
          <cell r="AN1387"/>
          <cell r="AO1387"/>
          <cell r="AP1387"/>
          <cell r="AQ1387"/>
          <cell r="AR1387"/>
          <cell r="AS1387"/>
          <cell r="AT1387"/>
          <cell r="AU1387"/>
          <cell r="AV1387"/>
          <cell r="AW1387"/>
          <cell r="AX1387"/>
          <cell r="AY1387"/>
          <cell r="AZ1387"/>
        </row>
        <row r="1388">
          <cell r="A1388"/>
          <cell r="B1388"/>
          <cell r="C1388"/>
          <cell r="D1388"/>
          <cell r="E1388"/>
          <cell r="F1388"/>
          <cell r="G1388"/>
          <cell r="H1388"/>
          <cell r="I1388"/>
          <cell r="J1388"/>
          <cell r="K1388"/>
          <cell r="L1388"/>
          <cell r="M1388"/>
          <cell r="N1388"/>
          <cell r="O1388"/>
          <cell r="P1388"/>
          <cell r="Q1388"/>
          <cell r="R1388"/>
          <cell r="S1388"/>
          <cell r="T1388"/>
          <cell r="U1388"/>
          <cell r="V1388"/>
          <cell r="W1388"/>
          <cell r="X1388"/>
          <cell r="Y1388"/>
          <cell r="Z1388"/>
          <cell r="AA1388"/>
          <cell r="AB1388"/>
          <cell r="AC1388"/>
          <cell r="AD1388"/>
          <cell r="AE1388"/>
          <cell r="AF1388"/>
          <cell r="AG1388"/>
          <cell r="AH1388"/>
          <cell r="AI1388"/>
          <cell r="AJ1388"/>
          <cell r="AK1388"/>
          <cell r="AL1388"/>
          <cell r="AM1388"/>
          <cell r="AN1388"/>
          <cell r="AO1388"/>
          <cell r="AP1388"/>
          <cell r="AQ1388"/>
          <cell r="AR1388"/>
          <cell r="AS1388"/>
          <cell r="AT1388"/>
          <cell r="AU1388"/>
          <cell r="AV1388"/>
          <cell r="AW1388"/>
          <cell r="AX1388"/>
          <cell r="AY1388"/>
          <cell r="AZ1388"/>
        </row>
        <row r="1389">
          <cell r="A1389"/>
          <cell r="B1389"/>
          <cell r="C1389"/>
          <cell r="D1389"/>
          <cell r="E1389"/>
          <cell r="F1389"/>
          <cell r="G1389"/>
          <cell r="H1389"/>
          <cell r="I1389"/>
          <cell r="J1389"/>
          <cell r="K1389"/>
          <cell r="L1389"/>
          <cell r="M1389"/>
          <cell r="N1389"/>
          <cell r="O1389"/>
          <cell r="P1389"/>
          <cell r="Q1389"/>
          <cell r="R1389"/>
          <cell r="S1389"/>
          <cell r="T1389"/>
          <cell r="U1389"/>
          <cell r="V1389"/>
          <cell r="W1389"/>
          <cell r="X1389"/>
          <cell r="Y1389"/>
          <cell r="Z1389"/>
          <cell r="AA1389"/>
          <cell r="AB1389"/>
          <cell r="AC1389"/>
          <cell r="AD1389"/>
          <cell r="AE1389"/>
          <cell r="AF1389"/>
          <cell r="AG1389"/>
          <cell r="AH1389"/>
          <cell r="AI1389"/>
          <cell r="AJ1389"/>
          <cell r="AK1389"/>
          <cell r="AL1389"/>
          <cell r="AM1389"/>
          <cell r="AN1389"/>
          <cell r="AO1389"/>
          <cell r="AP1389"/>
          <cell r="AQ1389"/>
          <cell r="AR1389"/>
          <cell r="AS1389"/>
          <cell r="AT1389"/>
          <cell r="AU1389"/>
          <cell r="AV1389"/>
          <cell r="AW1389"/>
          <cell r="AX1389"/>
          <cell r="AY1389"/>
          <cell r="AZ1389"/>
        </row>
        <row r="1390">
          <cell r="A1390"/>
          <cell r="B1390"/>
          <cell r="C1390"/>
          <cell r="D1390"/>
          <cell r="E1390"/>
          <cell r="F1390"/>
          <cell r="G1390"/>
          <cell r="H1390"/>
          <cell r="I1390"/>
          <cell r="J1390"/>
          <cell r="K1390"/>
          <cell r="L1390"/>
          <cell r="M1390"/>
          <cell r="N1390"/>
          <cell r="O1390"/>
          <cell r="P1390"/>
          <cell r="Q1390"/>
          <cell r="R1390"/>
          <cell r="S1390"/>
          <cell r="T1390"/>
          <cell r="U1390"/>
          <cell r="V1390"/>
          <cell r="W1390"/>
          <cell r="X1390"/>
          <cell r="Y1390"/>
          <cell r="Z1390"/>
          <cell r="AA1390"/>
          <cell r="AB1390"/>
          <cell r="AC1390"/>
          <cell r="AD1390"/>
          <cell r="AE1390"/>
          <cell r="AF1390"/>
          <cell r="AG1390"/>
          <cell r="AH1390"/>
          <cell r="AI1390"/>
          <cell r="AJ1390"/>
          <cell r="AK1390"/>
          <cell r="AL1390"/>
          <cell r="AM1390"/>
          <cell r="AN1390"/>
          <cell r="AO1390"/>
          <cell r="AP1390"/>
          <cell r="AQ1390"/>
          <cell r="AR1390"/>
          <cell r="AS1390"/>
          <cell r="AT1390"/>
          <cell r="AU1390"/>
          <cell r="AV1390"/>
          <cell r="AW1390"/>
          <cell r="AX1390"/>
          <cell r="AY1390"/>
          <cell r="AZ1390"/>
        </row>
        <row r="1391">
          <cell r="A1391"/>
          <cell r="B1391"/>
          <cell r="C1391"/>
          <cell r="D1391"/>
          <cell r="E1391"/>
          <cell r="F1391"/>
          <cell r="G1391"/>
          <cell r="H1391"/>
          <cell r="I1391"/>
          <cell r="J1391"/>
          <cell r="K1391"/>
          <cell r="L1391"/>
          <cell r="M1391"/>
          <cell r="N1391"/>
          <cell r="O1391"/>
          <cell r="P1391"/>
          <cell r="Q1391"/>
          <cell r="R1391"/>
          <cell r="S1391"/>
          <cell r="T1391"/>
          <cell r="U1391"/>
          <cell r="V1391"/>
          <cell r="W1391"/>
          <cell r="X1391"/>
          <cell r="Y1391"/>
          <cell r="Z1391"/>
          <cell r="AA1391"/>
          <cell r="AB1391"/>
          <cell r="AC1391"/>
          <cell r="AD1391"/>
          <cell r="AE1391"/>
          <cell r="AF1391"/>
          <cell r="AG1391"/>
          <cell r="AH1391"/>
          <cell r="AI1391"/>
          <cell r="AJ1391"/>
          <cell r="AK1391"/>
          <cell r="AL1391"/>
          <cell r="AM1391"/>
          <cell r="AN1391"/>
          <cell r="AO1391"/>
          <cell r="AP1391"/>
          <cell r="AQ1391"/>
          <cell r="AR1391"/>
          <cell r="AS1391"/>
          <cell r="AT1391"/>
          <cell r="AU1391"/>
          <cell r="AV1391"/>
          <cell r="AW1391"/>
          <cell r="AX1391"/>
          <cell r="AY1391"/>
          <cell r="AZ1391"/>
        </row>
        <row r="1392">
          <cell r="A1392"/>
          <cell r="B1392"/>
          <cell r="C1392"/>
          <cell r="D1392"/>
          <cell r="E1392"/>
          <cell r="F1392"/>
          <cell r="G1392"/>
          <cell r="H1392"/>
          <cell r="I1392"/>
          <cell r="J1392"/>
          <cell r="K1392"/>
          <cell r="L1392"/>
          <cell r="M1392"/>
          <cell r="N1392"/>
          <cell r="O1392"/>
          <cell r="P1392"/>
          <cell r="Q1392"/>
          <cell r="R1392"/>
          <cell r="S1392"/>
          <cell r="T1392"/>
          <cell r="U1392"/>
          <cell r="V1392"/>
          <cell r="W1392"/>
          <cell r="X1392"/>
          <cell r="Y1392"/>
          <cell r="Z1392"/>
          <cell r="AA1392"/>
          <cell r="AB1392"/>
          <cell r="AC1392"/>
          <cell r="AD1392"/>
          <cell r="AE1392"/>
          <cell r="AF1392"/>
          <cell r="AG1392"/>
          <cell r="AH1392"/>
          <cell r="AI1392"/>
          <cell r="AJ1392"/>
          <cell r="AK1392"/>
          <cell r="AL1392"/>
          <cell r="AM1392"/>
          <cell r="AN1392"/>
          <cell r="AO1392"/>
          <cell r="AP1392"/>
          <cell r="AQ1392"/>
          <cell r="AR1392"/>
          <cell r="AS1392"/>
          <cell r="AT1392"/>
          <cell r="AU1392"/>
          <cell r="AV1392"/>
          <cell r="AW1392"/>
          <cell r="AX1392"/>
          <cell r="AY1392"/>
          <cell r="AZ1392"/>
        </row>
        <row r="1393">
          <cell r="A1393"/>
          <cell r="B1393"/>
          <cell r="C1393"/>
          <cell r="D1393"/>
          <cell r="E1393"/>
          <cell r="F1393"/>
          <cell r="G1393"/>
          <cell r="H1393"/>
          <cell r="I1393"/>
          <cell r="J1393"/>
          <cell r="K1393"/>
          <cell r="L1393"/>
          <cell r="M1393"/>
          <cell r="N1393"/>
          <cell r="O1393"/>
          <cell r="P1393"/>
          <cell r="Q1393"/>
          <cell r="R1393"/>
          <cell r="S1393"/>
          <cell r="T1393"/>
          <cell r="U1393"/>
          <cell r="V1393"/>
          <cell r="W1393"/>
          <cell r="X1393"/>
          <cell r="Y1393"/>
          <cell r="Z1393"/>
          <cell r="AA1393"/>
          <cell r="AB1393"/>
          <cell r="AC1393"/>
          <cell r="AD1393"/>
          <cell r="AE1393"/>
          <cell r="AF1393"/>
          <cell r="AG1393"/>
          <cell r="AH1393"/>
          <cell r="AI1393"/>
          <cell r="AJ1393"/>
          <cell r="AK1393"/>
          <cell r="AL1393"/>
          <cell r="AM1393"/>
          <cell r="AN1393"/>
          <cell r="AO1393"/>
          <cell r="AP1393"/>
          <cell r="AQ1393"/>
          <cell r="AR1393"/>
          <cell r="AS1393"/>
          <cell r="AT1393"/>
          <cell r="AU1393"/>
          <cell r="AV1393"/>
          <cell r="AW1393"/>
          <cell r="AX1393"/>
          <cell r="AY1393"/>
          <cell r="AZ1393"/>
        </row>
        <row r="1394">
          <cell r="A1394"/>
          <cell r="B1394"/>
          <cell r="C1394"/>
          <cell r="D1394"/>
          <cell r="E1394"/>
          <cell r="F1394"/>
          <cell r="G1394"/>
          <cell r="H1394"/>
          <cell r="I1394"/>
          <cell r="J1394"/>
          <cell r="K1394"/>
          <cell r="L1394"/>
          <cell r="M1394"/>
          <cell r="N1394"/>
          <cell r="O1394"/>
          <cell r="P1394"/>
          <cell r="Q1394"/>
          <cell r="R1394"/>
          <cell r="S1394"/>
          <cell r="T1394"/>
          <cell r="U1394"/>
          <cell r="V1394"/>
          <cell r="W1394"/>
          <cell r="X1394"/>
          <cell r="Y1394"/>
          <cell r="Z1394"/>
          <cell r="AA1394"/>
          <cell r="AB1394"/>
          <cell r="AC1394"/>
          <cell r="AD1394"/>
          <cell r="AE1394"/>
          <cell r="AF1394"/>
          <cell r="AG1394"/>
          <cell r="AH1394"/>
          <cell r="AI1394"/>
          <cell r="AJ1394"/>
          <cell r="AK1394"/>
          <cell r="AL1394"/>
          <cell r="AM1394"/>
          <cell r="AN1394"/>
          <cell r="AO1394"/>
          <cell r="AP1394"/>
          <cell r="AQ1394"/>
          <cell r="AR1394"/>
          <cell r="AS1394"/>
          <cell r="AT1394"/>
          <cell r="AU1394"/>
          <cell r="AV1394"/>
          <cell r="AW1394"/>
          <cell r="AX1394"/>
          <cell r="AY1394"/>
          <cell r="AZ1394"/>
        </row>
        <row r="1395">
          <cell r="A1395"/>
          <cell r="B1395"/>
          <cell r="C1395"/>
          <cell r="D1395"/>
          <cell r="E1395"/>
          <cell r="F1395"/>
          <cell r="G1395"/>
          <cell r="H1395"/>
          <cell r="I1395"/>
          <cell r="J1395"/>
          <cell r="K1395"/>
          <cell r="L1395"/>
          <cell r="M1395"/>
          <cell r="N1395"/>
          <cell r="O1395"/>
          <cell r="P1395"/>
          <cell r="Q1395"/>
          <cell r="R1395"/>
          <cell r="S1395"/>
          <cell r="T1395"/>
          <cell r="U1395"/>
          <cell r="V1395"/>
          <cell r="W1395"/>
          <cell r="X1395"/>
          <cell r="Y1395"/>
          <cell r="Z1395"/>
          <cell r="AA1395"/>
          <cell r="AB1395"/>
          <cell r="AC1395"/>
          <cell r="AD1395"/>
          <cell r="AE1395"/>
          <cell r="AF1395"/>
          <cell r="AG1395"/>
          <cell r="AH1395"/>
          <cell r="AI1395"/>
          <cell r="AJ1395"/>
          <cell r="AK1395"/>
          <cell r="AL1395"/>
          <cell r="AM1395"/>
          <cell r="AN1395"/>
          <cell r="AO1395"/>
          <cell r="AP1395"/>
          <cell r="AQ1395"/>
          <cell r="AR1395"/>
          <cell r="AS1395"/>
          <cell r="AT1395"/>
          <cell r="AU1395"/>
          <cell r="AV1395"/>
          <cell r="AW1395"/>
          <cell r="AX1395"/>
          <cell r="AY1395"/>
          <cell r="AZ1395"/>
        </row>
        <row r="1396">
          <cell r="A1396"/>
          <cell r="B1396"/>
          <cell r="C1396"/>
          <cell r="D1396"/>
          <cell r="E1396"/>
          <cell r="F1396"/>
          <cell r="G1396"/>
          <cell r="H1396"/>
          <cell r="I1396"/>
          <cell r="J1396"/>
          <cell r="K1396"/>
          <cell r="L1396"/>
          <cell r="M1396"/>
          <cell r="N1396"/>
          <cell r="O1396"/>
          <cell r="P1396"/>
          <cell r="Q1396"/>
          <cell r="R1396"/>
          <cell r="S1396"/>
          <cell r="T1396"/>
          <cell r="U1396"/>
          <cell r="V1396"/>
          <cell r="W1396"/>
          <cell r="X1396"/>
          <cell r="Y1396"/>
          <cell r="Z1396"/>
          <cell r="AA1396"/>
          <cell r="AB1396"/>
          <cell r="AC1396"/>
          <cell r="AD1396"/>
          <cell r="AE1396"/>
          <cell r="AF1396"/>
          <cell r="AG1396"/>
          <cell r="AH1396"/>
          <cell r="AI1396"/>
          <cell r="AJ1396"/>
          <cell r="AK1396"/>
          <cell r="AL1396"/>
          <cell r="AM1396"/>
          <cell r="AN1396"/>
          <cell r="AO1396"/>
          <cell r="AP1396"/>
          <cell r="AQ1396"/>
          <cell r="AR1396"/>
          <cell r="AS1396"/>
          <cell r="AT1396"/>
          <cell r="AU1396"/>
          <cell r="AV1396"/>
          <cell r="AW1396"/>
          <cell r="AX1396"/>
          <cell r="AY1396"/>
          <cell r="AZ1396"/>
        </row>
        <row r="1397">
          <cell r="A1397"/>
          <cell r="B1397"/>
          <cell r="C1397"/>
          <cell r="D1397"/>
          <cell r="E1397"/>
          <cell r="F1397"/>
          <cell r="G1397"/>
          <cell r="H1397"/>
          <cell r="I1397"/>
          <cell r="J1397"/>
          <cell r="K1397"/>
          <cell r="L1397"/>
          <cell r="M1397"/>
          <cell r="N1397"/>
          <cell r="O1397"/>
          <cell r="P1397"/>
          <cell r="Q1397"/>
          <cell r="R1397"/>
          <cell r="S1397"/>
          <cell r="T1397"/>
          <cell r="U1397"/>
          <cell r="V1397"/>
          <cell r="W1397"/>
          <cell r="X1397"/>
          <cell r="Y1397"/>
          <cell r="Z1397"/>
          <cell r="AA1397"/>
          <cell r="AB1397"/>
          <cell r="AC1397"/>
          <cell r="AD1397"/>
          <cell r="AE1397"/>
          <cell r="AF1397"/>
          <cell r="AG1397"/>
          <cell r="AH1397"/>
          <cell r="AI1397"/>
          <cell r="AJ1397"/>
          <cell r="AK1397"/>
          <cell r="AL1397"/>
          <cell r="AM1397"/>
          <cell r="AN1397"/>
          <cell r="AO1397"/>
          <cell r="AP1397"/>
          <cell r="AQ1397"/>
          <cell r="AR1397"/>
          <cell r="AS1397"/>
          <cell r="AT1397"/>
          <cell r="AU1397"/>
          <cell r="AV1397"/>
          <cell r="AW1397"/>
          <cell r="AX1397"/>
          <cell r="AY1397"/>
          <cell r="AZ1397"/>
        </row>
        <row r="1398">
          <cell r="A1398"/>
          <cell r="B1398"/>
          <cell r="C1398"/>
          <cell r="D1398"/>
          <cell r="E1398"/>
          <cell r="F1398"/>
          <cell r="G1398"/>
          <cell r="H1398"/>
          <cell r="I1398"/>
          <cell r="J1398"/>
          <cell r="K1398"/>
          <cell r="L1398"/>
          <cell r="M1398"/>
          <cell r="N1398"/>
          <cell r="O1398"/>
          <cell r="P1398"/>
          <cell r="Q1398"/>
          <cell r="R1398"/>
          <cell r="S1398"/>
          <cell r="T1398"/>
          <cell r="U1398"/>
          <cell r="V1398"/>
          <cell r="W1398"/>
          <cell r="X1398"/>
          <cell r="Y1398"/>
          <cell r="Z1398"/>
          <cell r="AA1398"/>
          <cell r="AB1398"/>
          <cell r="AC1398"/>
          <cell r="AD1398"/>
          <cell r="AE1398"/>
          <cell r="AF1398"/>
          <cell r="AG1398"/>
          <cell r="AH1398"/>
          <cell r="AI1398"/>
          <cell r="AJ1398"/>
          <cell r="AK1398"/>
          <cell r="AL1398"/>
          <cell r="AM1398"/>
          <cell r="AN1398"/>
          <cell r="AO1398"/>
          <cell r="AP1398"/>
          <cell r="AQ1398"/>
          <cell r="AR1398"/>
          <cell r="AS1398"/>
          <cell r="AT1398"/>
          <cell r="AU1398"/>
          <cell r="AV1398"/>
          <cell r="AW1398"/>
          <cell r="AX1398"/>
          <cell r="AY1398"/>
          <cell r="AZ1398"/>
        </row>
        <row r="1399">
          <cell r="A1399"/>
          <cell r="B1399"/>
          <cell r="C1399"/>
          <cell r="D1399"/>
          <cell r="E1399"/>
          <cell r="F1399"/>
          <cell r="G1399"/>
          <cell r="H1399"/>
          <cell r="I1399"/>
          <cell r="J1399"/>
          <cell r="K1399"/>
          <cell r="L1399"/>
          <cell r="M1399"/>
          <cell r="N1399"/>
          <cell r="O1399"/>
          <cell r="P1399"/>
          <cell r="Q1399"/>
          <cell r="R1399"/>
          <cell r="S1399"/>
          <cell r="T1399"/>
          <cell r="U1399"/>
          <cell r="V1399"/>
          <cell r="W1399"/>
          <cell r="X1399"/>
          <cell r="Y1399"/>
          <cell r="Z1399"/>
          <cell r="AA1399"/>
          <cell r="AB1399"/>
          <cell r="AC1399"/>
          <cell r="AD1399"/>
          <cell r="AE1399"/>
          <cell r="AF1399"/>
          <cell r="AG1399"/>
          <cell r="AH1399"/>
          <cell r="AI1399"/>
          <cell r="AJ1399"/>
          <cell r="AK1399"/>
          <cell r="AL1399"/>
          <cell r="AM1399"/>
          <cell r="AN1399"/>
          <cell r="AO1399"/>
          <cell r="AP1399"/>
          <cell r="AQ1399"/>
          <cell r="AR1399"/>
          <cell r="AS1399"/>
          <cell r="AT1399"/>
          <cell r="AU1399"/>
          <cell r="AV1399"/>
          <cell r="AW1399"/>
          <cell r="AX1399"/>
          <cell r="AY1399"/>
          <cell r="AZ1399"/>
        </row>
        <row r="1400">
          <cell r="A1400"/>
          <cell r="B1400"/>
          <cell r="C1400"/>
          <cell r="D1400"/>
          <cell r="E1400"/>
          <cell r="F1400"/>
          <cell r="G1400"/>
          <cell r="H1400"/>
          <cell r="I1400"/>
          <cell r="J1400"/>
          <cell r="K1400"/>
          <cell r="L1400"/>
          <cell r="M1400"/>
          <cell r="N1400"/>
          <cell r="O1400"/>
          <cell r="P1400"/>
          <cell r="Q1400"/>
          <cell r="R1400"/>
          <cell r="S1400"/>
          <cell r="T1400"/>
          <cell r="U1400"/>
          <cell r="V1400"/>
          <cell r="W1400"/>
          <cell r="X1400"/>
          <cell r="Y1400"/>
          <cell r="Z1400"/>
          <cell r="AA1400"/>
          <cell r="AB1400"/>
          <cell r="AC1400"/>
          <cell r="AD1400"/>
          <cell r="AE1400"/>
          <cell r="AF1400"/>
          <cell r="AG1400"/>
          <cell r="AH1400"/>
          <cell r="AI1400"/>
          <cell r="AJ1400"/>
          <cell r="AK1400"/>
          <cell r="AL1400"/>
          <cell r="AM1400"/>
          <cell r="AN1400"/>
          <cell r="AO1400"/>
          <cell r="AP1400"/>
          <cell r="AQ1400"/>
          <cell r="AR1400"/>
          <cell r="AS1400"/>
          <cell r="AT1400"/>
          <cell r="AU1400"/>
          <cell r="AV1400"/>
          <cell r="AW1400"/>
          <cell r="AX1400"/>
          <cell r="AY1400"/>
          <cell r="AZ1400"/>
        </row>
        <row r="1401">
          <cell r="A1401"/>
          <cell r="B1401"/>
          <cell r="C1401"/>
          <cell r="D1401"/>
          <cell r="E1401"/>
          <cell r="F1401"/>
          <cell r="G1401"/>
          <cell r="H1401"/>
          <cell r="I1401"/>
          <cell r="J1401"/>
          <cell r="K1401"/>
          <cell r="L1401"/>
          <cell r="M1401"/>
          <cell r="N1401"/>
          <cell r="O1401"/>
          <cell r="P1401"/>
          <cell r="Q1401"/>
          <cell r="R1401"/>
          <cell r="S1401"/>
          <cell r="T1401"/>
          <cell r="U1401"/>
          <cell r="V1401"/>
          <cell r="W1401"/>
          <cell r="X1401"/>
          <cell r="Y1401"/>
          <cell r="Z1401"/>
          <cell r="AA1401"/>
          <cell r="AB1401"/>
          <cell r="AC1401"/>
          <cell r="AD1401"/>
          <cell r="AE1401"/>
          <cell r="AF1401"/>
          <cell r="AG1401"/>
          <cell r="AH1401"/>
          <cell r="AI1401"/>
          <cell r="AJ1401"/>
          <cell r="AK1401"/>
          <cell r="AL1401"/>
          <cell r="AM1401"/>
          <cell r="AN1401"/>
          <cell r="AO1401"/>
          <cell r="AP1401"/>
          <cell r="AQ1401"/>
          <cell r="AR1401"/>
          <cell r="AS1401"/>
          <cell r="AT1401"/>
          <cell r="AU1401"/>
          <cell r="AV1401"/>
          <cell r="AW1401"/>
          <cell r="AX1401"/>
          <cell r="AY1401"/>
          <cell r="AZ1401"/>
        </row>
        <row r="1402">
          <cell r="A1402"/>
          <cell r="B1402"/>
          <cell r="C1402"/>
          <cell r="D1402"/>
          <cell r="E1402"/>
          <cell r="F1402"/>
          <cell r="G1402"/>
          <cell r="H1402"/>
          <cell r="I1402"/>
          <cell r="J1402"/>
          <cell r="K1402"/>
          <cell r="L1402"/>
          <cell r="M1402"/>
          <cell r="N1402"/>
          <cell r="O1402"/>
          <cell r="P1402"/>
          <cell r="Q1402"/>
          <cell r="R1402"/>
          <cell r="S1402"/>
          <cell r="T1402"/>
          <cell r="U1402"/>
          <cell r="V1402"/>
          <cell r="W1402"/>
          <cell r="X1402"/>
          <cell r="Y1402"/>
          <cell r="Z1402"/>
          <cell r="AA1402"/>
          <cell r="AB1402"/>
          <cell r="AC1402"/>
          <cell r="AD1402"/>
          <cell r="AE1402"/>
          <cell r="AF1402"/>
          <cell r="AG1402"/>
          <cell r="AH1402"/>
          <cell r="AI1402"/>
          <cell r="AJ1402"/>
          <cell r="AK1402"/>
          <cell r="AL1402"/>
          <cell r="AM1402"/>
          <cell r="AN1402"/>
          <cell r="AO1402"/>
          <cell r="AP1402"/>
          <cell r="AQ1402"/>
          <cell r="AR1402"/>
          <cell r="AS1402"/>
          <cell r="AT1402"/>
          <cell r="AU1402"/>
          <cell r="AV1402"/>
          <cell r="AW1402"/>
          <cell r="AX1402"/>
          <cell r="AY1402"/>
          <cell r="AZ1402"/>
        </row>
        <row r="1403">
          <cell r="A1403"/>
          <cell r="B1403"/>
          <cell r="C1403"/>
          <cell r="D1403"/>
          <cell r="E1403"/>
          <cell r="F1403"/>
          <cell r="G1403"/>
          <cell r="H1403"/>
          <cell r="I1403"/>
          <cell r="J1403"/>
          <cell r="K1403"/>
          <cell r="L1403"/>
          <cell r="M1403"/>
          <cell r="N1403"/>
          <cell r="O1403"/>
          <cell r="P1403"/>
          <cell r="Q1403"/>
          <cell r="R1403"/>
          <cell r="S1403"/>
          <cell r="T1403"/>
          <cell r="U1403"/>
          <cell r="V1403"/>
          <cell r="W1403"/>
          <cell r="X1403"/>
          <cell r="Y1403"/>
          <cell r="Z1403"/>
          <cell r="AA1403"/>
          <cell r="AB1403"/>
          <cell r="AC1403"/>
          <cell r="AD1403"/>
          <cell r="AE1403"/>
          <cell r="AF1403"/>
          <cell r="AG1403"/>
          <cell r="AH1403"/>
          <cell r="AI1403"/>
          <cell r="AJ1403"/>
          <cell r="AK1403"/>
          <cell r="AL1403"/>
          <cell r="AM1403"/>
          <cell r="AN1403"/>
          <cell r="AO1403"/>
          <cell r="AP1403"/>
          <cell r="AQ1403"/>
          <cell r="AR1403"/>
          <cell r="AS1403"/>
          <cell r="AT1403"/>
          <cell r="AU1403"/>
          <cell r="AV1403"/>
          <cell r="AW1403"/>
          <cell r="AX1403"/>
          <cell r="AY1403"/>
          <cell r="AZ1403"/>
        </row>
        <row r="1404">
          <cell r="A1404"/>
          <cell r="B1404"/>
          <cell r="C1404"/>
          <cell r="D1404"/>
          <cell r="E1404"/>
          <cell r="F1404"/>
          <cell r="G1404"/>
          <cell r="H1404"/>
          <cell r="I1404"/>
          <cell r="J1404"/>
          <cell r="K1404"/>
          <cell r="L1404"/>
          <cell r="M1404"/>
          <cell r="N1404"/>
          <cell r="O1404"/>
          <cell r="P1404"/>
          <cell r="Q1404"/>
          <cell r="R1404"/>
          <cell r="S1404"/>
          <cell r="T1404"/>
          <cell r="U1404"/>
          <cell r="V1404"/>
          <cell r="W1404"/>
          <cell r="X1404"/>
          <cell r="Y1404"/>
          <cell r="Z1404"/>
          <cell r="AA1404"/>
          <cell r="AB1404"/>
          <cell r="AC1404"/>
          <cell r="AD1404"/>
          <cell r="AE1404"/>
          <cell r="AF1404"/>
          <cell r="AG1404"/>
          <cell r="AH1404"/>
          <cell r="AI1404"/>
          <cell r="AJ1404"/>
          <cell r="AK1404"/>
          <cell r="AL1404"/>
          <cell r="AM1404"/>
          <cell r="AN1404"/>
          <cell r="AO1404"/>
          <cell r="AP1404"/>
          <cell r="AQ1404"/>
          <cell r="AR1404"/>
          <cell r="AS1404"/>
          <cell r="AT1404"/>
          <cell r="AU1404"/>
          <cell r="AV1404"/>
          <cell r="AW1404"/>
          <cell r="AX1404"/>
          <cell r="AY1404"/>
          <cell r="AZ1404"/>
        </row>
        <row r="1405">
          <cell r="A1405"/>
          <cell r="B1405"/>
          <cell r="C1405"/>
          <cell r="D1405"/>
          <cell r="E1405"/>
          <cell r="F1405"/>
          <cell r="G1405"/>
          <cell r="H1405"/>
          <cell r="I1405"/>
          <cell r="J1405"/>
          <cell r="K1405"/>
          <cell r="L1405"/>
          <cell r="M1405"/>
          <cell r="N1405"/>
          <cell r="O1405"/>
          <cell r="P1405"/>
          <cell r="Q1405"/>
          <cell r="R1405"/>
          <cell r="S1405"/>
          <cell r="T1405"/>
          <cell r="U1405"/>
          <cell r="V1405"/>
          <cell r="W1405"/>
          <cell r="X1405"/>
          <cell r="Y1405"/>
          <cell r="Z1405"/>
          <cell r="AA1405"/>
          <cell r="AB1405"/>
          <cell r="AC1405"/>
          <cell r="AD1405"/>
          <cell r="AE1405"/>
          <cell r="AF1405"/>
          <cell r="AG1405"/>
          <cell r="AH1405"/>
          <cell r="AI1405"/>
          <cell r="AJ1405"/>
          <cell r="AK1405"/>
          <cell r="AL1405"/>
          <cell r="AM1405"/>
          <cell r="AN1405"/>
          <cell r="AO1405"/>
          <cell r="AP1405"/>
          <cell r="AQ1405"/>
          <cell r="AR1405"/>
          <cell r="AS1405"/>
          <cell r="AT1405"/>
          <cell r="AU1405"/>
          <cell r="AV1405"/>
          <cell r="AW1405"/>
          <cell r="AX1405"/>
          <cell r="AY1405"/>
          <cell r="AZ1405"/>
        </row>
        <row r="1406">
          <cell r="A1406"/>
          <cell r="B1406"/>
          <cell r="C1406"/>
          <cell r="D1406"/>
          <cell r="E1406"/>
          <cell r="F1406"/>
          <cell r="G1406"/>
          <cell r="H1406"/>
          <cell r="I1406"/>
          <cell r="J1406"/>
          <cell r="K1406"/>
          <cell r="L1406"/>
          <cell r="M1406"/>
          <cell r="N1406"/>
          <cell r="O1406"/>
          <cell r="P1406"/>
          <cell r="Q1406"/>
          <cell r="R1406"/>
          <cell r="S1406"/>
          <cell r="T1406"/>
          <cell r="U1406"/>
          <cell r="V1406"/>
          <cell r="W1406"/>
          <cell r="X1406"/>
          <cell r="Y1406"/>
          <cell r="Z1406"/>
          <cell r="AA1406"/>
          <cell r="AB1406"/>
          <cell r="AC1406"/>
          <cell r="AD1406"/>
          <cell r="AE1406"/>
          <cell r="AF1406"/>
          <cell r="AG1406"/>
          <cell r="AH1406"/>
          <cell r="AI1406"/>
          <cell r="AJ1406"/>
          <cell r="AK1406"/>
          <cell r="AL1406"/>
          <cell r="AM1406"/>
          <cell r="AN1406"/>
          <cell r="AO1406"/>
          <cell r="AP1406"/>
          <cell r="AQ1406"/>
          <cell r="AR1406"/>
          <cell r="AS1406"/>
          <cell r="AT1406"/>
          <cell r="AU1406"/>
          <cell r="AV1406"/>
          <cell r="AW1406"/>
          <cell r="AX1406"/>
          <cell r="AY1406"/>
          <cell r="AZ1406"/>
        </row>
        <row r="1407">
          <cell r="A1407"/>
          <cell r="B1407"/>
          <cell r="C1407"/>
          <cell r="D1407"/>
          <cell r="E1407"/>
          <cell r="F1407"/>
          <cell r="G1407"/>
          <cell r="H1407"/>
          <cell r="I1407"/>
          <cell r="J1407"/>
          <cell r="K1407"/>
          <cell r="L1407"/>
          <cell r="M1407"/>
          <cell r="N1407"/>
          <cell r="O1407"/>
          <cell r="P1407"/>
          <cell r="Q1407"/>
          <cell r="R1407"/>
          <cell r="S1407"/>
          <cell r="T1407"/>
          <cell r="U1407"/>
          <cell r="V1407"/>
          <cell r="W1407"/>
          <cell r="X1407"/>
          <cell r="Y1407"/>
          <cell r="Z1407"/>
          <cell r="AA1407"/>
          <cell r="AB1407"/>
          <cell r="AC1407"/>
          <cell r="AD1407"/>
          <cell r="AE1407"/>
          <cell r="AF1407"/>
          <cell r="AG1407"/>
          <cell r="AH1407"/>
          <cell r="AI1407"/>
          <cell r="AJ1407"/>
          <cell r="AK1407"/>
          <cell r="AL1407"/>
          <cell r="AM1407"/>
          <cell r="AN1407"/>
          <cell r="AO1407"/>
          <cell r="AP1407"/>
          <cell r="AQ1407"/>
          <cell r="AR1407"/>
          <cell r="AS1407"/>
          <cell r="AT1407"/>
          <cell r="AU1407"/>
          <cell r="AV1407"/>
          <cell r="AW1407"/>
          <cell r="AX1407"/>
          <cell r="AY1407"/>
          <cell r="AZ1407"/>
        </row>
        <row r="1408">
          <cell r="A1408"/>
          <cell r="B1408"/>
          <cell r="C1408"/>
          <cell r="D1408"/>
          <cell r="E1408"/>
          <cell r="F1408"/>
          <cell r="G1408"/>
          <cell r="H1408"/>
          <cell r="I1408"/>
          <cell r="J1408"/>
          <cell r="K1408"/>
          <cell r="L1408"/>
          <cell r="M1408"/>
          <cell r="N1408"/>
          <cell r="O1408"/>
          <cell r="P1408"/>
          <cell r="Q1408"/>
          <cell r="R1408"/>
          <cell r="S1408"/>
          <cell r="T1408"/>
          <cell r="U1408"/>
          <cell r="V1408"/>
          <cell r="W1408"/>
          <cell r="X1408"/>
          <cell r="Y1408"/>
          <cell r="Z1408"/>
          <cell r="AA1408"/>
          <cell r="AB1408"/>
          <cell r="AC1408"/>
          <cell r="AD1408"/>
          <cell r="AE1408"/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/>
          <cell r="AS1408"/>
          <cell r="AT1408"/>
          <cell r="AU1408"/>
          <cell r="AV1408"/>
          <cell r="AW1408"/>
          <cell r="AX1408"/>
          <cell r="AY1408"/>
          <cell r="AZ1408"/>
        </row>
        <row r="1409">
          <cell r="A1409"/>
          <cell r="B1409"/>
          <cell r="C1409"/>
          <cell r="D1409"/>
          <cell r="E1409"/>
          <cell r="F1409"/>
          <cell r="G1409"/>
          <cell r="H1409"/>
          <cell r="I1409"/>
          <cell r="J1409"/>
          <cell r="K1409"/>
          <cell r="L1409"/>
          <cell r="M1409"/>
          <cell r="N1409"/>
          <cell r="O1409"/>
          <cell r="P1409"/>
          <cell r="Q1409"/>
          <cell r="R1409"/>
          <cell r="S1409"/>
          <cell r="T1409"/>
          <cell r="U1409"/>
          <cell r="V1409"/>
          <cell r="W1409"/>
          <cell r="X1409"/>
          <cell r="Y1409"/>
          <cell r="Z1409"/>
          <cell r="AA1409"/>
          <cell r="AB1409"/>
          <cell r="AC1409"/>
          <cell r="AD1409"/>
          <cell r="AE1409"/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/>
          <cell r="AS1409"/>
          <cell r="AT1409"/>
          <cell r="AU1409"/>
          <cell r="AV1409"/>
          <cell r="AW1409"/>
          <cell r="AX1409"/>
          <cell r="AY1409"/>
          <cell r="AZ1409"/>
        </row>
        <row r="1410">
          <cell r="A1410"/>
          <cell r="B1410"/>
          <cell r="C1410"/>
          <cell r="D1410"/>
          <cell r="E1410"/>
          <cell r="F1410"/>
          <cell r="G1410"/>
          <cell r="H1410"/>
          <cell r="I1410"/>
          <cell r="J1410"/>
          <cell r="K1410"/>
          <cell r="L1410"/>
          <cell r="M1410"/>
          <cell r="N1410"/>
          <cell r="O1410"/>
          <cell r="P1410"/>
          <cell r="Q1410"/>
          <cell r="R1410"/>
          <cell r="S1410"/>
          <cell r="T1410"/>
          <cell r="U1410"/>
          <cell r="V1410"/>
          <cell r="W1410"/>
          <cell r="X1410"/>
          <cell r="Y1410"/>
          <cell r="Z1410"/>
          <cell r="AA1410"/>
          <cell r="AB1410"/>
          <cell r="AC1410"/>
          <cell r="AD1410"/>
          <cell r="AE1410"/>
          <cell r="AF1410"/>
          <cell r="AG1410"/>
          <cell r="AH1410"/>
          <cell r="AI1410"/>
          <cell r="AJ1410"/>
          <cell r="AK1410"/>
          <cell r="AL1410"/>
          <cell r="AM1410"/>
          <cell r="AN1410"/>
          <cell r="AO1410"/>
          <cell r="AP1410"/>
          <cell r="AQ1410"/>
          <cell r="AR1410"/>
          <cell r="AS1410"/>
          <cell r="AT1410"/>
          <cell r="AU1410"/>
          <cell r="AV1410"/>
          <cell r="AW1410"/>
          <cell r="AX1410"/>
          <cell r="AY1410"/>
          <cell r="AZ1410"/>
        </row>
        <row r="1411">
          <cell r="A1411"/>
          <cell r="B1411"/>
          <cell r="C1411"/>
          <cell r="D1411"/>
          <cell r="E1411"/>
          <cell r="F1411"/>
          <cell r="G1411"/>
          <cell r="H1411"/>
          <cell r="I1411"/>
          <cell r="J1411"/>
          <cell r="K1411"/>
          <cell r="L1411"/>
          <cell r="M1411"/>
          <cell r="N1411"/>
          <cell r="O1411"/>
          <cell r="P1411"/>
          <cell r="Q1411"/>
          <cell r="R1411"/>
          <cell r="S1411"/>
          <cell r="T1411"/>
          <cell r="U1411"/>
          <cell r="V1411"/>
          <cell r="W1411"/>
          <cell r="X1411"/>
          <cell r="Y1411"/>
          <cell r="Z1411"/>
          <cell r="AA1411"/>
          <cell r="AB1411"/>
          <cell r="AC1411"/>
          <cell r="AD1411"/>
          <cell r="AE1411"/>
          <cell r="AF1411"/>
          <cell r="AG1411"/>
          <cell r="AH1411"/>
          <cell r="AI1411"/>
          <cell r="AJ1411"/>
          <cell r="AK1411"/>
          <cell r="AL1411"/>
          <cell r="AM1411"/>
          <cell r="AN1411"/>
          <cell r="AO1411"/>
          <cell r="AP1411"/>
          <cell r="AQ1411"/>
          <cell r="AR1411"/>
          <cell r="AS1411"/>
          <cell r="AT1411"/>
          <cell r="AU1411"/>
          <cell r="AV1411"/>
          <cell r="AW1411"/>
          <cell r="AX1411"/>
          <cell r="AY1411"/>
          <cell r="AZ1411"/>
        </row>
        <row r="1412">
          <cell r="A1412"/>
          <cell r="B1412"/>
          <cell r="C1412"/>
          <cell r="D1412"/>
          <cell r="E1412"/>
          <cell r="F1412"/>
          <cell r="G1412"/>
          <cell r="H1412"/>
          <cell r="I1412"/>
          <cell r="J1412"/>
          <cell r="K1412"/>
          <cell r="L1412"/>
          <cell r="M1412"/>
          <cell r="N1412"/>
          <cell r="O1412"/>
          <cell r="P1412"/>
          <cell r="Q1412"/>
          <cell r="R1412"/>
          <cell r="S1412"/>
          <cell r="T1412"/>
          <cell r="U1412"/>
          <cell r="V1412"/>
          <cell r="W1412"/>
          <cell r="X1412"/>
          <cell r="Y1412"/>
          <cell r="Z1412"/>
          <cell r="AA1412"/>
          <cell r="AB1412"/>
          <cell r="AC1412"/>
          <cell r="AD1412"/>
          <cell r="AE1412"/>
          <cell r="AF1412"/>
          <cell r="AG1412"/>
          <cell r="AH1412"/>
          <cell r="AI1412"/>
          <cell r="AJ1412"/>
          <cell r="AK1412"/>
          <cell r="AL1412"/>
          <cell r="AM1412"/>
          <cell r="AN1412"/>
          <cell r="AO1412"/>
          <cell r="AP1412"/>
          <cell r="AQ1412"/>
          <cell r="AR1412"/>
          <cell r="AS1412"/>
          <cell r="AT1412"/>
          <cell r="AU1412"/>
          <cell r="AV1412"/>
          <cell r="AW1412"/>
          <cell r="AX1412"/>
          <cell r="AY1412"/>
          <cell r="AZ1412"/>
        </row>
        <row r="1413">
          <cell r="A1413"/>
          <cell r="B1413"/>
          <cell r="C1413"/>
          <cell r="D1413"/>
          <cell r="E1413"/>
          <cell r="F1413"/>
          <cell r="G1413"/>
          <cell r="H1413"/>
          <cell r="I1413"/>
          <cell r="J1413"/>
          <cell r="K1413"/>
          <cell r="L1413"/>
          <cell r="M1413"/>
          <cell r="N1413"/>
          <cell r="O1413"/>
          <cell r="P1413"/>
          <cell r="Q1413"/>
          <cell r="R1413"/>
          <cell r="S1413"/>
          <cell r="T1413"/>
          <cell r="U1413"/>
          <cell r="V1413"/>
          <cell r="W1413"/>
          <cell r="X1413"/>
          <cell r="Y1413"/>
          <cell r="Z1413"/>
          <cell r="AA1413"/>
          <cell r="AB1413"/>
          <cell r="AC1413"/>
          <cell r="AD1413"/>
          <cell r="AE1413"/>
          <cell r="AF1413"/>
          <cell r="AG1413"/>
          <cell r="AH1413"/>
          <cell r="AI1413"/>
          <cell r="AJ1413"/>
          <cell r="AK1413"/>
          <cell r="AL1413"/>
          <cell r="AM1413"/>
          <cell r="AN1413"/>
          <cell r="AO1413"/>
          <cell r="AP1413"/>
          <cell r="AQ1413"/>
          <cell r="AR1413"/>
          <cell r="AS1413"/>
          <cell r="AT1413"/>
          <cell r="AU1413"/>
          <cell r="AV1413"/>
          <cell r="AW1413"/>
          <cell r="AX1413"/>
          <cell r="AY1413"/>
          <cell r="AZ1413"/>
        </row>
        <row r="1414">
          <cell r="A1414"/>
          <cell r="B1414"/>
          <cell r="C1414"/>
          <cell r="D1414"/>
          <cell r="E1414"/>
          <cell r="F1414"/>
          <cell r="G1414"/>
          <cell r="H1414"/>
          <cell r="I1414"/>
          <cell r="J1414"/>
          <cell r="K1414"/>
          <cell r="L1414"/>
          <cell r="M1414"/>
          <cell r="N1414"/>
          <cell r="O1414"/>
          <cell r="P1414"/>
          <cell r="Q1414"/>
          <cell r="R1414"/>
          <cell r="S1414"/>
          <cell r="T1414"/>
          <cell r="U1414"/>
          <cell r="V1414"/>
          <cell r="W1414"/>
          <cell r="X1414"/>
          <cell r="Y1414"/>
          <cell r="Z1414"/>
          <cell r="AA1414"/>
          <cell r="AB1414"/>
          <cell r="AC1414"/>
          <cell r="AD1414"/>
          <cell r="AE1414"/>
          <cell r="AF1414"/>
          <cell r="AG1414"/>
          <cell r="AH1414"/>
          <cell r="AI1414"/>
          <cell r="AJ1414"/>
          <cell r="AK1414"/>
          <cell r="AL1414"/>
          <cell r="AM1414"/>
          <cell r="AN1414"/>
          <cell r="AO1414"/>
          <cell r="AP1414"/>
          <cell r="AQ1414"/>
          <cell r="AR1414"/>
          <cell r="AS1414"/>
          <cell r="AT1414"/>
          <cell r="AU1414"/>
          <cell r="AV1414"/>
          <cell r="AW1414"/>
          <cell r="AX1414"/>
          <cell r="AY1414"/>
          <cell r="AZ1414"/>
        </row>
        <row r="1415">
          <cell r="A1415"/>
          <cell r="B1415"/>
          <cell r="C1415"/>
          <cell r="D1415"/>
          <cell r="E1415"/>
          <cell r="F1415"/>
          <cell r="G1415"/>
          <cell r="H1415"/>
          <cell r="I1415"/>
          <cell r="J1415"/>
          <cell r="K1415"/>
          <cell r="L1415"/>
          <cell r="M1415"/>
          <cell r="N1415"/>
          <cell r="O1415"/>
          <cell r="P1415"/>
          <cell r="Q1415"/>
          <cell r="R1415"/>
          <cell r="S1415"/>
          <cell r="T1415"/>
          <cell r="U1415"/>
          <cell r="V1415"/>
          <cell r="W1415"/>
          <cell r="X1415"/>
          <cell r="Y1415"/>
          <cell r="Z1415"/>
          <cell r="AA1415"/>
          <cell r="AB1415"/>
          <cell r="AC1415"/>
          <cell r="AD1415"/>
          <cell r="AE1415"/>
          <cell r="AF1415"/>
          <cell r="AG1415"/>
          <cell r="AH1415"/>
          <cell r="AI1415"/>
          <cell r="AJ1415"/>
          <cell r="AK1415"/>
          <cell r="AL1415"/>
          <cell r="AM1415"/>
          <cell r="AN1415"/>
          <cell r="AO1415"/>
          <cell r="AP1415"/>
          <cell r="AQ1415"/>
          <cell r="AR1415"/>
          <cell r="AS1415"/>
          <cell r="AT1415"/>
          <cell r="AU1415"/>
          <cell r="AV1415"/>
          <cell r="AW1415"/>
          <cell r="AX1415"/>
          <cell r="AY1415"/>
          <cell r="AZ1415"/>
        </row>
        <row r="1416">
          <cell r="A1416"/>
          <cell r="B1416"/>
          <cell r="C1416"/>
          <cell r="D1416"/>
          <cell r="E1416"/>
          <cell r="F1416"/>
          <cell r="G1416"/>
          <cell r="H1416"/>
          <cell r="I1416"/>
          <cell r="J1416"/>
          <cell r="K1416"/>
          <cell r="L1416"/>
          <cell r="M1416"/>
          <cell r="N1416"/>
          <cell r="O1416"/>
          <cell r="P1416"/>
          <cell r="Q1416"/>
          <cell r="R1416"/>
          <cell r="S1416"/>
          <cell r="T1416"/>
          <cell r="U1416"/>
          <cell r="V1416"/>
          <cell r="W1416"/>
          <cell r="X1416"/>
          <cell r="Y1416"/>
          <cell r="Z1416"/>
          <cell r="AA1416"/>
          <cell r="AB1416"/>
          <cell r="AC1416"/>
          <cell r="AD1416"/>
          <cell r="AE1416"/>
          <cell r="AF1416"/>
          <cell r="AG1416"/>
          <cell r="AH1416"/>
          <cell r="AI1416"/>
          <cell r="AJ1416"/>
          <cell r="AK1416"/>
          <cell r="AL1416"/>
          <cell r="AM1416"/>
          <cell r="AN1416"/>
          <cell r="AO1416"/>
          <cell r="AP1416"/>
          <cell r="AQ1416"/>
          <cell r="AR1416"/>
          <cell r="AS1416"/>
          <cell r="AT1416"/>
          <cell r="AU1416"/>
          <cell r="AV1416"/>
          <cell r="AW1416"/>
          <cell r="AX1416"/>
          <cell r="AY1416"/>
          <cell r="AZ1416"/>
        </row>
        <row r="1417">
          <cell r="A1417"/>
          <cell r="B1417"/>
          <cell r="C1417"/>
          <cell r="D1417"/>
          <cell r="E1417"/>
          <cell r="F1417"/>
          <cell r="G1417"/>
          <cell r="H1417"/>
          <cell r="I1417"/>
          <cell r="J1417"/>
          <cell r="K1417"/>
          <cell r="L1417"/>
          <cell r="M1417"/>
          <cell r="N1417"/>
          <cell r="O1417"/>
          <cell r="P1417"/>
          <cell r="Q1417"/>
          <cell r="R1417"/>
          <cell r="S1417"/>
          <cell r="T1417"/>
          <cell r="U1417"/>
          <cell r="V1417"/>
          <cell r="W1417"/>
          <cell r="X1417"/>
          <cell r="Y1417"/>
          <cell r="Z1417"/>
          <cell r="AA1417"/>
          <cell r="AB1417"/>
          <cell r="AC1417"/>
          <cell r="AD1417"/>
          <cell r="AE1417"/>
          <cell r="AF1417"/>
          <cell r="AG1417"/>
          <cell r="AH1417"/>
          <cell r="AI1417"/>
          <cell r="AJ1417"/>
          <cell r="AK1417"/>
          <cell r="AL1417"/>
          <cell r="AM1417"/>
          <cell r="AN1417"/>
          <cell r="AO1417"/>
          <cell r="AP1417"/>
          <cell r="AQ1417"/>
          <cell r="AR1417"/>
          <cell r="AS1417"/>
          <cell r="AT1417"/>
          <cell r="AU1417"/>
          <cell r="AV1417"/>
          <cell r="AW1417"/>
          <cell r="AX1417"/>
          <cell r="AY1417"/>
          <cell r="AZ1417"/>
        </row>
        <row r="1418">
          <cell r="A1418"/>
          <cell r="B1418"/>
          <cell r="C1418"/>
          <cell r="D1418"/>
          <cell r="E1418"/>
          <cell r="F1418"/>
          <cell r="G1418"/>
          <cell r="H1418"/>
          <cell r="I1418"/>
          <cell r="J1418"/>
          <cell r="K1418"/>
          <cell r="L1418"/>
          <cell r="M1418"/>
          <cell r="N1418"/>
          <cell r="O1418"/>
          <cell r="P1418"/>
          <cell r="Q1418"/>
          <cell r="R1418"/>
          <cell r="S1418"/>
          <cell r="T1418"/>
          <cell r="U1418"/>
          <cell r="V1418"/>
          <cell r="W1418"/>
          <cell r="X1418"/>
          <cell r="Y1418"/>
          <cell r="Z1418"/>
          <cell r="AA1418"/>
          <cell r="AB1418"/>
          <cell r="AC1418"/>
          <cell r="AD1418"/>
          <cell r="AE1418"/>
          <cell r="AF1418"/>
          <cell r="AG1418"/>
          <cell r="AH1418"/>
          <cell r="AI1418"/>
          <cell r="AJ1418"/>
          <cell r="AK1418"/>
          <cell r="AL1418"/>
          <cell r="AM1418"/>
          <cell r="AN1418"/>
          <cell r="AO1418"/>
          <cell r="AP1418"/>
          <cell r="AQ1418"/>
          <cell r="AR1418"/>
          <cell r="AS1418"/>
          <cell r="AT1418"/>
          <cell r="AU1418"/>
          <cell r="AV1418"/>
          <cell r="AW1418"/>
          <cell r="AX1418"/>
          <cell r="AY1418"/>
          <cell r="AZ1418"/>
        </row>
        <row r="1419">
          <cell r="A1419"/>
          <cell r="B1419"/>
          <cell r="C1419"/>
          <cell r="D1419"/>
          <cell r="E1419"/>
          <cell r="F1419"/>
          <cell r="G1419"/>
          <cell r="H1419"/>
          <cell r="I1419"/>
          <cell r="J1419"/>
          <cell r="K1419"/>
          <cell r="L1419"/>
          <cell r="M1419"/>
          <cell r="N1419"/>
          <cell r="O1419"/>
          <cell r="P1419"/>
          <cell r="Q1419"/>
          <cell r="R1419"/>
          <cell r="S1419"/>
          <cell r="T1419"/>
          <cell r="U1419"/>
          <cell r="V1419"/>
          <cell r="W1419"/>
          <cell r="X1419"/>
          <cell r="Y1419"/>
          <cell r="Z1419"/>
          <cell r="AA1419"/>
          <cell r="AB1419"/>
          <cell r="AC1419"/>
          <cell r="AD1419"/>
          <cell r="AE1419"/>
          <cell r="AF1419"/>
          <cell r="AG1419"/>
          <cell r="AH1419"/>
          <cell r="AI1419"/>
          <cell r="AJ1419"/>
          <cell r="AK1419"/>
          <cell r="AL1419"/>
          <cell r="AM1419"/>
          <cell r="AN1419"/>
          <cell r="AO1419"/>
          <cell r="AP1419"/>
          <cell r="AQ1419"/>
          <cell r="AR1419"/>
          <cell r="AS1419"/>
          <cell r="AT1419"/>
          <cell r="AU1419"/>
          <cell r="AV1419"/>
          <cell r="AW1419"/>
          <cell r="AX1419"/>
          <cell r="AY1419"/>
          <cell r="AZ1419"/>
        </row>
        <row r="1420">
          <cell r="A1420"/>
          <cell r="B1420"/>
          <cell r="C1420"/>
          <cell r="D1420"/>
          <cell r="E1420"/>
          <cell r="F1420"/>
          <cell r="G1420"/>
          <cell r="H1420"/>
          <cell r="I1420"/>
          <cell r="J1420"/>
          <cell r="K1420"/>
          <cell r="L1420"/>
          <cell r="M1420"/>
          <cell r="N1420"/>
          <cell r="O1420"/>
          <cell r="P1420"/>
          <cell r="Q1420"/>
          <cell r="R1420"/>
          <cell r="S1420"/>
          <cell r="T1420"/>
          <cell r="U1420"/>
          <cell r="V1420"/>
          <cell r="W1420"/>
          <cell r="X1420"/>
          <cell r="Y1420"/>
          <cell r="Z1420"/>
          <cell r="AA1420"/>
          <cell r="AB1420"/>
          <cell r="AC1420"/>
          <cell r="AD1420"/>
          <cell r="AE1420"/>
          <cell r="AF1420"/>
          <cell r="AG1420"/>
          <cell r="AH1420"/>
          <cell r="AI1420"/>
          <cell r="AJ1420"/>
          <cell r="AK1420"/>
          <cell r="AL1420"/>
          <cell r="AM1420"/>
          <cell r="AN1420"/>
          <cell r="AO1420"/>
          <cell r="AP1420"/>
          <cell r="AQ1420"/>
          <cell r="AR1420"/>
          <cell r="AS1420"/>
          <cell r="AT1420"/>
          <cell r="AU1420"/>
          <cell r="AV1420"/>
          <cell r="AW1420"/>
          <cell r="AX1420"/>
          <cell r="AY1420"/>
          <cell r="AZ1420"/>
        </row>
        <row r="1421">
          <cell r="A1421"/>
          <cell r="B1421"/>
          <cell r="C1421"/>
          <cell r="D1421"/>
          <cell r="E1421"/>
          <cell r="F1421"/>
          <cell r="G1421"/>
          <cell r="H1421"/>
          <cell r="I1421"/>
          <cell r="J1421"/>
          <cell r="K1421"/>
          <cell r="L1421"/>
          <cell r="M1421"/>
          <cell r="N1421"/>
          <cell r="O1421"/>
          <cell r="P1421"/>
          <cell r="Q1421"/>
          <cell r="R1421"/>
          <cell r="S1421"/>
          <cell r="T1421"/>
          <cell r="U1421"/>
          <cell r="V1421"/>
          <cell r="W1421"/>
          <cell r="X1421"/>
          <cell r="Y1421"/>
          <cell r="Z1421"/>
          <cell r="AA1421"/>
          <cell r="AB1421"/>
          <cell r="AC1421"/>
          <cell r="AD1421"/>
          <cell r="AE1421"/>
          <cell r="AF1421"/>
          <cell r="AG1421"/>
          <cell r="AH1421"/>
          <cell r="AI1421"/>
          <cell r="AJ1421"/>
          <cell r="AK1421"/>
          <cell r="AL1421"/>
          <cell r="AM1421"/>
          <cell r="AN1421"/>
          <cell r="AO1421"/>
          <cell r="AP1421"/>
          <cell r="AQ1421"/>
          <cell r="AR1421"/>
          <cell r="AS1421"/>
          <cell r="AT1421"/>
          <cell r="AU1421"/>
          <cell r="AV1421"/>
          <cell r="AW1421"/>
          <cell r="AX1421"/>
          <cell r="AY1421"/>
          <cell r="AZ1421"/>
        </row>
        <row r="1422">
          <cell r="A1422"/>
          <cell r="B1422"/>
          <cell r="C1422"/>
          <cell r="D1422"/>
          <cell r="E1422"/>
          <cell r="F1422"/>
          <cell r="G1422"/>
          <cell r="H1422"/>
          <cell r="I1422"/>
          <cell r="J1422"/>
          <cell r="K1422"/>
          <cell r="L1422"/>
          <cell r="M1422"/>
          <cell r="N1422"/>
          <cell r="O1422"/>
          <cell r="P1422"/>
          <cell r="Q1422"/>
          <cell r="R1422"/>
          <cell r="S1422"/>
          <cell r="T1422"/>
          <cell r="U1422"/>
          <cell r="V1422"/>
          <cell r="W1422"/>
          <cell r="X1422"/>
          <cell r="Y1422"/>
          <cell r="Z1422"/>
          <cell r="AA1422"/>
          <cell r="AB1422"/>
          <cell r="AC1422"/>
          <cell r="AD1422"/>
          <cell r="AE1422"/>
          <cell r="AF1422"/>
          <cell r="AG1422"/>
          <cell r="AH1422"/>
          <cell r="AI1422"/>
          <cell r="AJ1422"/>
          <cell r="AK1422"/>
          <cell r="AL1422"/>
          <cell r="AM1422"/>
          <cell r="AN1422"/>
          <cell r="AO1422"/>
          <cell r="AP1422"/>
          <cell r="AQ1422"/>
          <cell r="AR1422"/>
          <cell r="AS1422"/>
          <cell r="AT1422"/>
          <cell r="AU1422"/>
          <cell r="AV1422"/>
          <cell r="AW1422"/>
          <cell r="AX1422"/>
          <cell r="AY1422"/>
          <cell r="AZ1422"/>
        </row>
        <row r="1423">
          <cell r="A1423"/>
          <cell r="B1423"/>
          <cell r="C1423"/>
          <cell r="D1423"/>
          <cell r="E1423"/>
          <cell r="F1423"/>
          <cell r="G1423"/>
          <cell r="H1423"/>
          <cell r="I1423"/>
          <cell r="J1423"/>
          <cell r="K1423"/>
          <cell r="L1423"/>
          <cell r="M1423"/>
          <cell r="N1423"/>
          <cell r="O1423"/>
          <cell r="P1423"/>
          <cell r="Q1423"/>
          <cell r="R1423"/>
          <cell r="S1423"/>
          <cell r="T1423"/>
          <cell r="U1423"/>
          <cell r="V1423"/>
          <cell r="W1423"/>
          <cell r="X1423"/>
          <cell r="Y1423"/>
          <cell r="Z1423"/>
          <cell r="AA1423"/>
          <cell r="AB1423"/>
          <cell r="AC1423"/>
          <cell r="AD1423"/>
          <cell r="AE1423"/>
          <cell r="AF1423"/>
          <cell r="AG1423"/>
          <cell r="AH1423"/>
          <cell r="AI1423"/>
          <cell r="AJ1423"/>
          <cell r="AK1423"/>
          <cell r="AL1423"/>
          <cell r="AM1423"/>
          <cell r="AN1423"/>
          <cell r="AO1423"/>
          <cell r="AP1423"/>
          <cell r="AQ1423"/>
          <cell r="AR1423"/>
          <cell r="AS1423"/>
          <cell r="AT1423"/>
          <cell r="AU1423"/>
          <cell r="AV1423"/>
          <cell r="AW1423"/>
          <cell r="AX1423"/>
          <cell r="AY1423"/>
          <cell r="AZ1423"/>
        </row>
        <row r="1424">
          <cell r="A1424"/>
          <cell r="B1424"/>
          <cell r="C1424"/>
          <cell r="D1424"/>
          <cell r="E1424"/>
          <cell r="F1424"/>
          <cell r="G1424"/>
          <cell r="H1424"/>
          <cell r="I1424"/>
          <cell r="J1424"/>
          <cell r="K1424"/>
          <cell r="L1424"/>
          <cell r="M1424"/>
          <cell r="N1424"/>
          <cell r="O1424"/>
          <cell r="P1424"/>
          <cell r="Q1424"/>
          <cell r="R1424"/>
          <cell r="S1424"/>
          <cell r="T1424"/>
          <cell r="U1424"/>
          <cell r="V1424"/>
          <cell r="W1424"/>
          <cell r="X1424"/>
          <cell r="Y1424"/>
          <cell r="Z1424"/>
          <cell r="AA1424"/>
          <cell r="AB1424"/>
          <cell r="AC1424"/>
          <cell r="AD1424"/>
          <cell r="AE1424"/>
          <cell r="AF1424"/>
          <cell r="AG1424"/>
          <cell r="AH1424"/>
          <cell r="AI1424"/>
          <cell r="AJ1424"/>
          <cell r="AK1424"/>
          <cell r="AL1424"/>
          <cell r="AM1424"/>
          <cell r="AN1424"/>
          <cell r="AO1424"/>
          <cell r="AP1424"/>
          <cell r="AQ1424"/>
          <cell r="AR1424"/>
          <cell r="AS1424"/>
          <cell r="AT1424"/>
          <cell r="AU1424"/>
          <cell r="AV1424"/>
          <cell r="AW1424"/>
          <cell r="AX1424"/>
          <cell r="AY1424"/>
          <cell r="AZ1424"/>
        </row>
        <row r="1425">
          <cell r="A1425"/>
          <cell r="B1425"/>
          <cell r="C1425"/>
          <cell r="D1425"/>
          <cell r="E1425"/>
          <cell r="F1425"/>
          <cell r="G1425"/>
          <cell r="H1425"/>
          <cell r="I1425"/>
          <cell r="J1425"/>
          <cell r="K1425"/>
          <cell r="L1425"/>
          <cell r="M1425"/>
          <cell r="N1425"/>
          <cell r="O1425"/>
          <cell r="P1425"/>
          <cell r="Q1425"/>
          <cell r="R1425"/>
          <cell r="S1425"/>
          <cell r="T1425"/>
          <cell r="U1425"/>
          <cell r="V1425"/>
          <cell r="W1425"/>
          <cell r="X1425"/>
          <cell r="Y1425"/>
          <cell r="Z1425"/>
          <cell r="AA1425"/>
          <cell r="AB1425"/>
          <cell r="AC1425"/>
          <cell r="AD1425"/>
          <cell r="AE1425"/>
          <cell r="AF1425"/>
          <cell r="AG1425"/>
          <cell r="AH1425"/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/>
          <cell r="AS1425"/>
          <cell r="AT1425"/>
          <cell r="AU1425"/>
          <cell r="AV1425"/>
          <cell r="AW1425"/>
          <cell r="AX1425"/>
          <cell r="AY1425"/>
          <cell r="AZ1425"/>
        </row>
        <row r="1426">
          <cell r="A1426"/>
          <cell r="B1426"/>
          <cell r="C1426"/>
          <cell r="D1426"/>
          <cell r="E1426"/>
          <cell r="F1426"/>
          <cell r="G1426"/>
          <cell r="H1426"/>
          <cell r="I1426"/>
          <cell r="J1426"/>
          <cell r="K1426"/>
          <cell r="L1426"/>
          <cell r="M1426"/>
          <cell r="N1426"/>
          <cell r="O1426"/>
          <cell r="P1426"/>
          <cell r="Q1426"/>
          <cell r="R1426"/>
          <cell r="S1426"/>
          <cell r="T1426"/>
          <cell r="U1426"/>
          <cell r="V1426"/>
          <cell r="W1426"/>
          <cell r="X1426"/>
          <cell r="Y1426"/>
          <cell r="Z1426"/>
          <cell r="AA1426"/>
          <cell r="AB1426"/>
          <cell r="AC1426"/>
          <cell r="AD1426"/>
          <cell r="AE1426"/>
          <cell r="AF1426"/>
          <cell r="AG1426"/>
          <cell r="AH1426"/>
          <cell r="AI1426"/>
          <cell r="AJ1426"/>
          <cell r="AK1426"/>
          <cell r="AL1426"/>
          <cell r="AM1426"/>
          <cell r="AN1426"/>
          <cell r="AO1426"/>
          <cell r="AP1426"/>
          <cell r="AQ1426"/>
          <cell r="AR1426"/>
          <cell r="AS1426"/>
          <cell r="AT1426"/>
          <cell r="AU1426"/>
          <cell r="AV1426"/>
          <cell r="AW1426"/>
          <cell r="AX1426"/>
          <cell r="AY1426"/>
          <cell r="AZ1426"/>
        </row>
        <row r="1427">
          <cell r="A1427"/>
          <cell r="B1427"/>
          <cell r="C1427"/>
          <cell r="D1427"/>
          <cell r="E1427"/>
          <cell r="F1427"/>
          <cell r="G1427"/>
          <cell r="H1427"/>
          <cell r="I1427"/>
          <cell r="J1427"/>
          <cell r="K1427"/>
          <cell r="L1427"/>
          <cell r="M1427"/>
          <cell r="N1427"/>
          <cell r="O1427"/>
          <cell r="P1427"/>
          <cell r="Q1427"/>
          <cell r="R1427"/>
          <cell r="S1427"/>
          <cell r="T1427"/>
          <cell r="U1427"/>
          <cell r="V1427"/>
          <cell r="W1427"/>
          <cell r="X1427"/>
          <cell r="Y1427"/>
          <cell r="Z1427"/>
          <cell r="AA1427"/>
          <cell r="AB1427"/>
          <cell r="AC1427"/>
          <cell r="AD1427"/>
          <cell r="AE1427"/>
          <cell r="AF1427"/>
          <cell r="AG1427"/>
          <cell r="AH1427"/>
          <cell r="AI1427"/>
          <cell r="AJ1427"/>
          <cell r="AK1427"/>
          <cell r="AL1427"/>
          <cell r="AM1427"/>
          <cell r="AN1427"/>
          <cell r="AO1427"/>
          <cell r="AP1427"/>
          <cell r="AQ1427"/>
          <cell r="AR1427"/>
          <cell r="AS1427"/>
          <cell r="AT1427"/>
          <cell r="AU1427"/>
          <cell r="AV1427"/>
          <cell r="AW1427"/>
          <cell r="AX1427"/>
          <cell r="AY1427"/>
          <cell r="AZ1427"/>
        </row>
        <row r="1428">
          <cell r="A1428"/>
          <cell r="B1428"/>
          <cell r="C1428"/>
          <cell r="D1428"/>
          <cell r="E1428"/>
          <cell r="F1428"/>
          <cell r="G1428"/>
          <cell r="H1428"/>
          <cell r="I1428"/>
          <cell r="J1428"/>
          <cell r="K1428"/>
          <cell r="L1428"/>
          <cell r="M1428"/>
          <cell r="N1428"/>
          <cell r="O1428"/>
          <cell r="P1428"/>
          <cell r="Q1428"/>
          <cell r="R1428"/>
          <cell r="S1428"/>
          <cell r="T1428"/>
          <cell r="U1428"/>
          <cell r="V1428"/>
          <cell r="W1428"/>
          <cell r="X1428"/>
          <cell r="Y1428"/>
          <cell r="Z1428"/>
          <cell r="AA1428"/>
          <cell r="AB1428"/>
          <cell r="AC1428"/>
          <cell r="AD1428"/>
          <cell r="AE1428"/>
          <cell r="AF1428"/>
          <cell r="AG1428"/>
          <cell r="AH1428"/>
          <cell r="AI1428"/>
          <cell r="AJ1428"/>
          <cell r="AK1428"/>
          <cell r="AL1428"/>
          <cell r="AM1428"/>
          <cell r="AN1428"/>
          <cell r="AO1428"/>
          <cell r="AP1428"/>
          <cell r="AQ1428"/>
          <cell r="AR1428"/>
          <cell r="AS1428"/>
          <cell r="AT1428"/>
          <cell r="AU1428"/>
          <cell r="AV1428"/>
          <cell r="AW1428"/>
          <cell r="AX1428"/>
          <cell r="AY1428"/>
          <cell r="AZ1428"/>
        </row>
        <row r="1429">
          <cell r="A1429"/>
          <cell r="B1429"/>
          <cell r="C1429"/>
          <cell r="D1429"/>
          <cell r="E1429"/>
          <cell r="F1429"/>
          <cell r="G1429"/>
          <cell r="H1429"/>
          <cell r="I1429"/>
          <cell r="J1429"/>
          <cell r="K1429"/>
          <cell r="L1429"/>
          <cell r="M1429"/>
          <cell r="N1429"/>
          <cell r="O1429"/>
          <cell r="P1429"/>
          <cell r="Q1429"/>
          <cell r="R1429"/>
          <cell r="S1429"/>
          <cell r="T1429"/>
          <cell r="U1429"/>
          <cell r="V1429"/>
          <cell r="W1429"/>
          <cell r="X1429"/>
          <cell r="Y1429"/>
          <cell r="Z1429"/>
          <cell r="AA1429"/>
          <cell r="AB1429"/>
          <cell r="AC1429"/>
          <cell r="AD1429"/>
          <cell r="AE1429"/>
          <cell r="AF1429"/>
          <cell r="AG1429"/>
          <cell r="AH1429"/>
          <cell r="AI1429"/>
          <cell r="AJ1429"/>
          <cell r="AK1429"/>
          <cell r="AL1429"/>
          <cell r="AM1429"/>
          <cell r="AN1429"/>
          <cell r="AO1429"/>
          <cell r="AP1429"/>
          <cell r="AQ1429"/>
          <cell r="AR1429"/>
          <cell r="AS1429"/>
          <cell r="AT1429"/>
          <cell r="AU1429"/>
          <cell r="AV1429"/>
          <cell r="AW1429"/>
          <cell r="AX1429"/>
          <cell r="AY1429"/>
          <cell r="AZ1429"/>
        </row>
        <row r="1430">
          <cell r="A1430"/>
          <cell r="B1430"/>
          <cell r="C1430"/>
          <cell r="D1430"/>
          <cell r="E1430"/>
          <cell r="F1430"/>
          <cell r="G1430"/>
          <cell r="H1430"/>
          <cell r="I1430"/>
          <cell r="J1430"/>
          <cell r="K1430"/>
          <cell r="L1430"/>
          <cell r="M1430"/>
          <cell r="N1430"/>
          <cell r="O1430"/>
          <cell r="P1430"/>
          <cell r="Q1430"/>
          <cell r="R1430"/>
          <cell r="S1430"/>
          <cell r="T1430"/>
          <cell r="U1430"/>
          <cell r="V1430"/>
          <cell r="W1430"/>
          <cell r="X1430"/>
          <cell r="Y1430"/>
          <cell r="Z1430"/>
          <cell r="AA1430"/>
          <cell r="AB1430"/>
          <cell r="AC1430"/>
          <cell r="AD1430"/>
          <cell r="AE1430"/>
          <cell r="AF1430"/>
          <cell r="AG1430"/>
          <cell r="AH1430"/>
          <cell r="AI1430"/>
          <cell r="AJ1430"/>
          <cell r="AK1430"/>
          <cell r="AL1430"/>
          <cell r="AM1430"/>
          <cell r="AN1430"/>
          <cell r="AO1430"/>
          <cell r="AP1430"/>
          <cell r="AQ1430"/>
          <cell r="AR1430"/>
          <cell r="AS1430"/>
          <cell r="AT1430"/>
          <cell r="AU1430"/>
          <cell r="AV1430"/>
          <cell r="AW1430"/>
          <cell r="AX1430"/>
          <cell r="AY1430"/>
          <cell r="AZ1430"/>
        </row>
        <row r="1431">
          <cell r="A1431"/>
          <cell r="B1431"/>
          <cell r="C1431"/>
          <cell r="D1431"/>
          <cell r="E1431"/>
          <cell r="F1431"/>
          <cell r="G1431"/>
          <cell r="H1431"/>
          <cell r="I1431"/>
          <cell r="J1431"/>
          <cell r="K1431"/>
          <cell r="L1431"/>
          <cell r="M1431"/>
          <cell r="N1431"/>
          <cell r="O1431"/>
          <cell r="P1431"/>
          <cell r="Q1431"/>
          <cell r="R1431"/>
          <cell r="S1431"/>
          <cell r="T1431"/>
          <cell r="U1431"/>
          <cell r="V1431"/>
          <cell r="W1431"/>
          <cell r="X1431"/>
          <cell r="Y1431"/>
          <cell r="Z1431"/>
          <cell r="AA1431"/>
          <cell r="AB1431"/>
          <cell r="AC1431"/>
          <cell r="AD1431"/>
          <cell r="AE1431"/>
          <cell r="AF1431"/>
          <cell r="AG1431"/>
          <cell r="AH1431"/>
          <cell r="AI1431"/>
          <cell r="AJ1431"/>
          <cell r="AK1431"/>
          <cell r="AL1431"/>
          <cell r="AM1431"/>
          <cell r="AN1431"/>
          <cell r="AO1431"/>
          <cell r="AP1431"/>
          <cell r="AQ1431"/>
          <cell r="AR1431"/>
          <cell r="AS1431"/>
          <cell r="AT1431"/>
          <cell r="AU1431"/>
          <cell r="AV1431"/>
          <cell r="AW1431"/>
          <cell r="AX1431"/>
          <cell r="AY1431"/>
          <cell r="AZ1431"/>
        </row>
        <row r="1432">
          <cell r="A1432"/>
          <cell r="B1432"/>
          <cell r="C1432"/>
          <cell r="D1432"/>
          <cell r="E1432"/>
          <cell r="F1432"/>
          <cell r="G1432"/>
          <cell r="H1432"/>
          <cell r="I1432"/>
          <cell r="J1432"/>
          <cell r="K1432"/>
          <cell r="L1432"/>
          <cell r="M1432"/>
          <cell r="N1432"/>
          <cell r="O1432"/>
          <cell r="P1432"/>
          <cell r="Q1432"/>
          <cell r="R1432"/>
          <cell r="S1432"/>
          <cell r="T1432"/>
          <cell r="U1432"/>
          <cell r="V1432"/>
          <cell r="W1432"/>
          <cell r="X1432"/>
          <cell r="Y1432"/>
          <cell r="Z1432"/>
          <cell r="AA1432"/>
          <cell r="AB1432"/>
          <cell r="AC1432"/>
          <cell r="AD1432"/>
          <cell r="AE1432"/>
          <cell r="AF1432"/>
          <cell r="AG1432"/>
          <cell r="AH1432"/>
          <cell r="AI1432"/>
          <cell r="AJ1432"/>
          <cell r="AK1432"/>
          <cell r="AL1432"/>
          <cell r="AM1432"/>
          <cell r="AN1432"/>
          <cell r="AO1432"/>
          <cell r="AP1432"/>
          <cell r="AQ1432"/>
          <cell r="AR1432"/>
          <cell r="AS1432"/>
          <cell r="AT1432"/>
          <cell r="AU1432"/>
          <cell r="AV1432"/>
          <cell r="AW1432"/>
          <cell r="AX1432"/>
          <cell r="AY1432"/>
          <cell r="AZ1432"/>
        </row>
        <row r="1433">
          <cell r="A1433"/>
          <cell r="B1433"/>
          <cell r="C1433"/>
          <cell r="D1433"/>
          <cell r="E1433"/>
          <cell r="F1433"/>
          <cell r="G1433"/>
          <cell r="H1433"/>
          <cell r="I1433"/>
          <cell r="J1433"/>
          <cell r="K1433"/>
          <cell r="L1433"/>
          <cell r="M1433"/>
          <cell r="N1433"/>
          <cell r="O1433"/>
          <cell r="P1433"/>
          <cell r="Q1433"/>
          <cell r="R1433"/>
          <cell r="S1433"/>
          <cell r="T1433"/>
          <cell r="U1433"/>
          <cell r="V1433"/>
          <cell r="W1433"/>
          <cell r="X1433"/>
          <cell r="Y1433"/>
          <cell r="Z1433"/>
          <cell r="AA1433"/>
          <cell r="AB1433"/>
          <cell r="AC1433"/>
          <cell r="AD1433"/>
          <cell r="AE1433"/>
          <cell r="AF1433"/>
          <cell r="AG1433"/>
          <cell r="AH1433"/>
          <cell r="AI1433"/>
          <cell r="AJ1433"/>
          <cell r="AK1433"/>
          <cell r="AL1433"/>
          <cell r="AM1433"/>
          <cell r="AN1433"/>
          <cell r="AO1433"/>
          <cell r="AP1433"/>
          <cell r="AQ1433"/>
          <cell r="AR1433"/>
          <cell r="AS1433"/>
          <cell r="AT1433"/>
          <cell r="AU1433"/>
          <cell r="AV1433"/>
          <cell r="AW1433"/>
          <cell r="AX1433"/>
          <cell r="AY1433"/>
          <cell r="AZ1433"/>
        </row>
        <row r="1434">
          <cell r="A1434"/>
          <cell r="B1434"/>
          <cell r="C1434"/>
          <cell r="D1434"/>
          <cell r="E1434"/>
          <cell r="F1434"/>
          <cell r="G1434"/>
          <cell r="H1434"/>
          <cell r="I1434"/>
          <cell r="J1434"/>
          <cell r="K1434"/>
          <cell r="L1434"/>
          <cell r="M1434"/>
          <cell r="N1434"/>
          <cell r="O1434"/>
          <cell r="P1434"/>
          <cell r="Q1434"/>
          <cell r="R1434"/>
          <cell r="S1434"/>
          <cell r="T1434"/>
          <cell r="U1434"/>
          <cell r="V1434"/>
          <cell r="W1434"/>
          <cell r="X1434"/>
          <cell r="Y1434"/>
          <cell r="Z1434"/>
          <cell r="AA1434"/>
          <cell r="AB1434"/>
          <cell r="AC1434"/>
          <cell r="AD1434"/>
          <cell r="AE1434"/>
          <cell r="AF1434"/>
          <cell r="AG1434"/>
          <cell r="AH1434"/>
          <cell r="AI1434"/>
          <cell r="AJ1434"/>
          <cell r="AK1434"/>
          <cell r="AL1434"/>
          <cell r="AM1434"/>
          <cell r="AN1434"/>
          <cell r="AO1434"/>
          <cell r="AP1434"/>
          <cell r="AQ1434"/>
          <cell r="AR1434"/>
          <cell r="AS1434"/>
          <cell r="AT1434"/>
          <cell r="AU1434"/>
          <cell r="AV1434"/>
          <cell r="AW1434"/>
          <cell r="AX1434"/>
          <cell r="AY1434"/>
          <cell r="AZ1434"/>
        </row>
        <row r="1435">
          <cell r="A1435"/>
          <cell r="B1435"/>
          <cell r="C1435"/>
          <cell r="D1435"/>
          <cell r="E1435"/>
          <cell r="F1435"/>
          <cell r="G1435"/>
          <cell r="H1435"/>
          <cell r="I1435"/>
          <cell r="J1435"/>
          <cell r="K1435"/>
          <cell r="L1435"/>
          <cell r="M1435"/>
          <cell r="N1435"/>
          <cell r="O1435"/>
          <cell r="P1435"/>
          <cell r="Q1435"/>
          <cell r="R1435"/>
          <cell r="S1435"/>
          <cell r="T1435"/>
          <cell r="U1435"/>
          <cell r="V1435"/>
          <cell r="W1435"/>
          <cell r="X1435"/>
          <cell r="Y1435"/>
          <cell r="Z1435"/>
          <cell r="AA1435"/>
          <cell r="AB1435"/>
          <cell r="AC1435"/>
          <cell r="AD1435"/>
          <cell r="AE1435"/>
          <cell r="AF1435"/>
          <cell r="AG1435"/>
          <cell r="AH1435"/>
          <cell r="AI1435"/>
          <cell r="AJ1435"/>
          <cell r="AK1435"/>
          <cell r="AL1435"/>
          <cell r="AM1435"/>
          <cell r="AN1435"/>
          <cell r="AO1435"/>
          <cell r="AP1435"/>
          <cell r="AQ1435"/>
          <cell r="AR1435"/>
          <cell r="AS1435"/>
          <cell r="AT1435"/>
          <cell r="AU1435"/>
          <cell r="AV1435"/>
          <cell r="AW1435"/>
          <cell r="AX1435"/>
          <cell r="AY1435"/>
          <cell r="AZ1435"/>
        </row>
        <row r="1436">
          <cell r="A1436"/>
          <cell r="B1436"/>
          <cell r="C1436"/>
          <cell r="D1436"/>
          <cell r="E1436"/>
          <cell r="F1436"/>
          <cell r="G1436"/>
          <cell r="H1436"/>
          <cell r="I1436"/>
          <cell r="J1436"/>
          <cell r="K1436"/>
          <cell r="L1436"/>
          <cell r="M1436"/>
          <cell r="N1436"/>
          <cell r="O1436"/>
          <cell r="P1436"/>
          <cell r="Q1436"/>
          <cell r="R1436"/>
          <cell r="S1436"/>
          <cell r="T1436"/>
          <cell r="U1436"/>
          <cell r="V1436"/>
          <cell r="W1436"/>
          <cell r="X1436"/>
          <cell r="Y1436"/>
          <cell r="Z1436"/>
          <cell r="AA1436"/>
          <cell r="AB1436"/>
          <cell r="AC1436"/>
          <cell r="AD1436"/>
          <cell r="AE1436"/>
          <cell r="AF1436"/>
          <cell r="AG1436"/>
          <cell r="AH1436"/>
          <cell r="AI1436"/>
          <cell r="AJ1436"/>
          <cell r="AK1436"/>
          <cell r="AL1436"/>
          <cell r="AM1436"/>
          <cell r="AN1436"/>
          <cell r="AO1436"/>
          <cell r="AP1436"/>
          <cell r="AQ1436"/>
          <cell r="AR1436"/>
          <cell r="AS1436"/>
          <cell r="AT1436"/>
          <cell r="AU1436"/>
          <cell r="AV1436"/>
          <cell r="AW1436"/>
          <cell r="AX1436"/>
          <cell r="AY1436"/>
          <cell r="AZ1436"/>
        </row>
        <row r="1437">
          <cell r="A1437"/>
          <cell r="B1437"/>
          <cell r="C1437"/>
          <cell r="D1437"/>
          <cell r="E1437"/>
          <cell r="F1437"/>
          <cell r="G1437"/>
          <cell r="H1437"/>
          <cell r="I1437"/>
          <cell r="J1437"/>
          <cell r="K1437"/>
          <cell r="L1437"/>
          <cell r="M1437"/>
          <cell r="N1437"/>
          <cell r="O1437"/>
          <cell r="P1437"/>
          <cell r="Q1437"/>
          <cell r="R1437"/>
          <cell r="S1437"/>
          <cell r="T1437"/>
          <cell r="U1437"/>
          <cell r="V1437"/>
          <cell r="W1437"/>
          <cell r="X1437"/>
          <cell r="Y1437"/>
          <cell r="Z1437"/>
          <cell r="AA1437"/>
          <cell r="AB1437"/>
          <cell r="AC1437"/>
          <cell r="AD1437"/>
          <cell r="AE1437"/>
          <cell r="AF1437"/>
          <cell r="AG1437"/>
          <cell r="AH1437"/>
          <cell r="AI1437"/>
          <cell r="AJ1437"/>
          <cell r="AK1437"/>
          <cell r="AL1437"/>
          <cell r="AM1437"/>
          <cell r="AN1437"/>
          <cell r="AO1437"/>
          <cell r="AP1437"/>
          <cell r="AQ1437"/>
          <cell r="AR1437"/>
          <cell r="AS1437"/>
          <cell r="AT1437"/>
          <cell r="AU1437"/>
          <cell r="AV1437"/>
          <cell r="AW1437"/>
          <cell r="AX1437"/>
          <cell r="AY1437"/>
          <cell r="AZ1437"/>
        </row>
        <row r="1438">
          <cell r="A1438"/>
          <cell r="B1438"/>
          <cell r="C1438"/>
          <cell r="D1438"/>
          <cell r="E1438"/>
          <cell r="F1438"/>
          <cell r="G1438"/>
          <cell r="H1438"/>
          <cell r="I1438"/>
          <cell r="J1438"/>
          <cell r="K1438"/>
          <cell r="L1438"/>
          <cell r="M1438"/>
          <cell r="N1438"/>
          <cell r="O1438"/>
          <cell r="P1438"/>
          <cell r="Q1438"/>
          <cell r="R1438"/>
          <cell r="S1438"/>
          <cell r="T1438"/>
          <cell r="U1438"/>
          <cell r="V1438"/>
          <cell r="W1438"/>
          <cell r="X1438"/>
          <cell r="Y1438"/>
          <cell r="Z1438"/>
          <cell r="AA1438"/>
          <cell r="AB1438"/>
          <cell r="AC1438"/>
          <cell r="AD1438"/>
          <cell r="AE1438"/>
          <cell r="AF1438"/>
          <cell r="AG1438"/>
          <cell r="AH1438"/>
          <cell r="AI1438"/>
          <cell r="AJ1438"/>
          <cell r="AK1438"/>
          <cell r="AL1438"/>
          <cell r="AM1438"/>
          <cell r="AN1438"/>
          <cell r="AO1438"/>
          <cell r="AP1438"/>
          <cell r="AQ1438"/>
          <cell r="AR1438"/>
          <cell r="AS1438"/>
          <cell r="AT1438"/>
          <cell r="AU1438"/>
          <cell r="AV1438"/>
          <cell r="AW1438"/>
          <cell r="AX1438"/>
          <cell r="AY1438"/>
          <cell r="AZ1438"/>
        </row>
        <row r="1439">
          <cell r="A1439"/>
          <cell r="B1439"/>
          <cell r="C1439"/>
          <cell r="D1439"/>
          <cell r="E1439"/>
          <cell r="F1439"/>
          <cell r="G1439"/>
          <cell r="H1439"/>
          <cell r="I1439"/>
          <cell r="J1439"/>
          <cell r="K1439"/>
          <cell r="L1439"/>
          <cell r="M1439"/>
          <cell r="N1439"/>
          <cell r="O1439"/>
          <cell r="P1439"/>
          <cell r="Q1439"/>
          <cell r="R1439"/>
          <cell r="S1439"/>
          <cell r="T1439"/>
          <cell r="U1439"/>
          <cell r="V1439"/>
          <cell r="W1439"/>
          <cell r="X1439"/>
          <cell r="Y1439"/>
          <cell r="Z1439"/>
          <cell r="AA1439"/>
          <cell r="AB1439"/>
          <cell r="AC1439"/>
          <cell r="AD1439"/>
          <cell r="AE1439"/>
          <cell r="AF1439"/>
          <cell r="AG1439"/>
          <cell r="AH1439"/>
          <cell r="AI1439"/>
          <cell r="AJ1439"/>
          <cell r="AK1439"/>
          <cell r="AL1439"/>
          <cell r="AM1439"/>
          <cell r="AN1439"/>
          <cell r="AO1439"/>
          <cell r="AP1439"/>
          <cell r="AQ1439"/>
          <cell r="AR1439"/>
          <cell r="AS1439"/>
          <cell r="AT1439"/>
          <cell r="AU1439"/>
          <cell r="AV1439"/>
          <cell r="AW1439"/>
          <cell r="AX1439"/>
          <cell r="AY1439"/>
          <cell r="AZ1439"/>
        </row>
        <row r="1440">
          <cell r="A1440"/>
          <cell r="B1440"/>
          <cell r="C1440"/>
          <cell r="D1440"/>
          <cell r="E1440"/>
          <cell r="F1440"/>
          <cell r="G1440"/>
          <cell r="H1440"/>
          <cell r="I1440"/>
          <cell r="J1440"/>
          <cell r="K1440"/>
          <cell r="L1440"/>
          <cell r="M1440"/>
          <cell r="N1440"/>
          <cell r="O1440"/>
          <cell r="P1440"/>
          <cell r="Q1440"/>
          <cell r="R1440"/>
          <cell r="S1440"/>
          <cell r="T1440"/>
          <cell r="U1440"/>
          <cell r="V1440"/>
          <cell r="W1440"/>
          <cell r="X1440"/>
          <cell r="Y1440"/>
          <cell r="Z1440"/>
          <cell r="AA1440"/>
          <cell r="AB1440"/>
          <cell r="AC1440"/>
          <cell r="AD1440"/>
          <cell r="AE1440"/>
          <cell r="AF1440"/>
          <cell r="AG1440"/>
          <cell r="AH1440"/>
          <cell r="AI1440"/>
          <cell r="AJ1440"/>
          <cell r="AK1440"/>
          <cell r="AL1440"/>
          <cell r="AM1440"/>
          <cell r="AN1440"/>
          <cell r="AO1440"/>
          <cell r="AP1440"/>
          <cell r="AQ1440"/>
          <cell r="AR1440"/>
          <cell r="AS1440"/>
          <cell r="AT1440"/>
          <cell r="AU1440"/>
          <cell r="AV1440"/>
          <cell r="AW1440"/>
          <cell r="AX1440"/>
          <cell r="AY1440"/>
          <cell r="AZ1440"/>
        </row>
        <row r="1441">
          <cell r="A1441"/>
          <cell r="B1441"/>
          <cell r="C1441"/>
          <cell r="D1441"/>
          <cell r="E1441"/>
          <cell r="F1441"/>
          <cell r="G1441"/>
          <cell r="H1441"/>
          <cell r="I1441"/>
          <cell r="J1441"/>
          <cell r="K1441"/>
          <cell r="L1441"/>
          <cell r="M1441"/>
          <cell r="N1441"/>
          <cell r="O1441"/>
          <cell r="P1441"/>
          <cell r="Q1441"/>
          <cell r="R1441"/>
          <cell r="S1441"/>
          <cell r="T1441"/>
          <cell r="U1441"/>
          <cell r="V1441"/>
          <cell r="W1441"/>
          <cell r="X1441"/>
          <cell r="Y1441"/>
          <cell r="Z1441"/>
          <cell r="AA1441"/>
          <cell r="AB1441"/>
          <cell r="AC1441"/>
          <cell r="AD1441"/>
          <cell r="AE1441"/>
          <cell r="AF1441"/>
          <cell r="AG1441"/>
          <cell r="AH1441"/>
          <cell r="AI1441"/>
          <cell r="AJ1441"/>
          <cell r="AK1441"/>
          <cell r="AL1441"/>
          <cell r="AM1441"/>
          <cell r="AN1441"/>
          <cell r="AO1441"/>
          <cell r="AP1441"/>
          <cell r="AQ1441"/>
          <cell r="AR1441"/>
          <cell r="AS1441"/>
          <cell r="AT1441"/>
          <cell r="AU1441"/>
          <cell r="AV1441"/>
          <cell r="AW1441"/>
          <cell r="AX1441"/>
          <cell r="AY1441"/>
          <cell r="AZ1441"/>
        </row>
        <row r="1442">
          <cell r="A1442"/>
          <cell r="B1442"/>
          <cell r="C1442"/>
          <cell r="D1442"/>
          <cell r="E1442"/>
          <cell r="F1442"/>
          <cell r="G1442"/>
          <cell r="H1442"/>
          <cell r="I1442"/>
          <cell r="J1442"/>
          <cell r="K1442"/>
          <cell r="L1442"/>
          <cell r="M1442"/>
          <cell r="N1442"/>
          <cell r="O1442"/>
          <cell r="P1442"/>
          <cell r="Q1442"/>
          <cell r="R1442"/>
          <cell r="S1442"/>
          <cell r="T1442"/>
          <cell r="U1442"/>
          <cell r="V1442"/>
          <cell r="W1442"/>
          <cell r="X1442"/>
          <cell r="Y1442"/>
          <cell r="Z1442"/>
          <cell r="AA1442"/>
          <cell r="AB1442"/>
          <cell r="AC1442"/>
          <cell r="AD1442"/>
          <cell r="AE1442"/>
          <cell r="AF1442"/>
          <cell r="AG1442"/>
          <cell r="AH1442"/>
          <cell r="AI1442"/>
          <cell r="AJ1442"/>
          <cell r="AK1442"/>
          <cell r="AL1442"/>
          <cell r="AM1442"/>
          <cell r="AN1442"/>
          <cell r="AO1442"/>
          <cell r="AP1442"/>
          <cell r="AQ1442"/>
          <cell r="AR1442"/>
          <cell r="AS1442"/>
          <cell r="AT1442"/>
          <cell r="AU1442"/>
          <cell r="AV1442"/>
          <cell r="AW1442"/>
          <cell r="AX1442"/>
          <cell r="AY1442"/>
          <cell r="AZ1442"/>
        </row>
        <row r="1443">
          <cell r="A1443"/>
          <cell r="B1443"/>
          <cell r="C1443"/>
          <cell r="D1443"/>
          <cell r="E1443"/>
          <cell r="F1443"/>
          <cell r="G1443"/>
          <cell r="H1443"/>
          <cell r="I1443"/>
          <cell r="J1443"/>
          <cell r="K1443"/>
          <cell r="L1443"/>
          <cell r="M1443"/>
          <cell r="N1443"/>
          <cell r="O1443"/>
          <cell r="P1443"/>
          <cell r="Q1443"/>
          <cell r="R1443"/>
          <cell r="S1443"/>
          <cell r="T1443"/>
          <cell r="U1443"/>
          <cell r="V1443"/>
          <cell r="W1443"/>
          <cell r="X1443"/>
          <cell r="Y1443"/>
          <cell r="Z1443"/>
          <cell r="AA1443"/>
          <cell r="AB1443"/>
          <cell r="AC1443"/>
          <cell r="AD1443"/>
          <cell r="AE1443"/>
          <cell r="AF1443"/>
          <cell r="AG1443"/>
          <cell r="AH1443"/>
          <cell r="AI1443"/>
          <cell r="AJ1443"/>
          <cell r="AK1443"/>
          <cell r="AL1443"/>
          <cell r="AM1443"/>
          <cell r="AN1443"/>
          <cell r="AO1443"/>
          <cell r="AP1443"/>
          <cell r="AQ1443"/>
          <cell r="AR1443"/>
          <cell r="AS1443"/>
          <cell r="AT1443"/>
          <cell r="AU1443"/>
          <cell r="AV1443"/>
          <cell r="AW1443"/>
          <cell r="AX1443"/>
          <cell r="AY1443"/>
          <cell r="AZ1443"/>
        </row>
        <row r="1444">
          <cell r="A1444"/>
          <cell r="B1444"/>
          <cell r="C1444"/>
          <cell r="D1444"/>
          <cell r="E1444"/>
          <cell r="F1444"/>
          <cell r="G1444"/>
          <cell r="H1444"/>
          <cell r="I1444"/>
          <cell r="J1444"/>
          <cell r="K1444"/>
          <cell r="L1444"/>
          <cell r="M1444"/>
          <cell r="N1444"/>
          <cell r="O1444"/>
          <cell r="P1444"/>
          <cell r="Q1444"/>
          <cell r="R1444"/>
          <cell r="S1444"/>
          <cell r="T1444"/>
          <cell r="U1444"/>
          <cell r="V1444"/>
          <cell r="W1444"/>
          <cell r="X1444"/>
          <cell r="Y1444"/>
          <cell r="Z1444"/>
          <cell r="AA1444"/>
          <cell r="AB1444"/>
          <cell r="AC1444"/>
          <cell r="AD1444"/>
          <cell r="AE1444"/>
          <cell r="AF1444"/>
          <cell r="AG1444"/>
          <cell r="AH1444"/>
          <cell r="AI1444"/>
          <cell r="AJ1444"/>
          <cell r="AK1444"/>
          <cell r="AL1444"/>
          <cell r="AM1444"/>
          <cell r="AN1444"/>
          <cell r="AO1444"/>
          <cell r="AP1444"/>
          <cell r="AQ1444"/>
          <cell r="AR1444"/>
          <cell r="AS1444"/>
          <cell r="AT1444"/>
          <cell r="AU1444"/>
          <cell r="AV1444"/>
          <cell r="AW1444"/>
          <cell r="AX1444"/>
          <cell r="AY1444"/>
          <cell r="AZ1444"/>
        </row>
        <row r="1445">
          <cell r="A1445"/>
          <cell r="B1445"/>
          <cell r="C1445"/>
          <cell r="D1445"/>
          <cell r="E1445"/>
          <cell r="F1445"/>
          <cell r="G1445"/>
          <cell r="H1445"/>
          <cell r="I1445"/>
          <cell r="J1445"/>
          <cell r="K1445"/>
          <cell r="L1445"/>
          <cell r="M1445"/>
          <cell r="N1445"/>
          <cell r="O1445"/>
          <cell r="P1445"/>
          <cell r="Q1445"/>
          <cell r="R1445"/>
          <cell r="S1445"/>
          <cell r="T1445"/>
          <cell r="U1445"/>
          <cell r="V1445"/>
          <cell r="W1445"/>
          <cell r="X1445"/>
          <cell r="Y1445"/>
          <cell r="Z1445"/>
          <cell r="AA1445"/>
          <cell r="AB1445"/>
          <cell r="AC1445"/>
          <cell r="AD1445"/>
          <cell r="AE1445"/>
          <cell r="AF1445"/>
          <cell r="AG1445"/>
          <cell r="AH1445"/>
          <cell r="AI1445"/>
          <cell r="AJ1445"/>
          <cell r="AK1445"/>
          <cell r="AL1445"/>
          <cell r="AM1445"/>
          <cell r="AN1445"/>
          <cell r="AO1445"/>
          <cell r="AP1445"/>
          <cell r="AQ1445"/>
          <cell r="AR1445"/>
          <cell r="AS1445"/>
          <cell r="AT1445"/>
          <cell r="AU1445"/>
          <cell r="AV1445"/>
          <cell r="AW1445"/>
          <cell r="AX1445"/>
          <cell r="AY1445"/>
          <cell r="AZ1445"/>
        </row>
        <row r="1446">
          <cell r="A1446"/>
          <cell r="B1446"/>
          <cell r="C1446"/>
          <cell r="D1446"/>
          <cell r="E1446"/>
          <cell r="F1446"/>
          <cell r="G1446"/>
          <cell r="H1446"/>
          <cell r="I1446"/>
          <cell r="J1446"/>
          <cell r="K1446"/>
          <cell r="L1446"/>
          <cell r="M1446"/>
          <cell r="N1446"/>
          <cell r="O1446"/>
          <cell r="P1446"/>
          <cell r="Q1446"/>
          <cell r="R1446"/>
          <cell r="S1446"/>
          <cell r="T1446"/>
          <cell r="U1446"/>
          <cell r="V1446"/>
          <cell r="W1446"/>
          <cell r="X1446"/>
          <cell r="Y1446"/>
          <cell r="Z1446"/>
          <cell r="AA1446"/>
          <cell r="AB1446"/>
          <cell r="AC1446"/>
          <cell r="AD1446"/>
          <cell r="AE1446"/>
          <cell r="AF1446"/>
          <cell r="AG1446"/>
          <cell r="AH1446"/>
          <cell r="AI1446"/>
          <cell r="AJ1446"/>
          <cell r="AK1446"/>
          <cell r="AL1446"/>
          <cell r="AM1446"/>
          <cell r="AN1446"/>
          <cell r="AO1446"/>
          <cell r="AP1446"/>
          <cell r="AQ1446"/>
          <cell r="AR1446"/>
          <cell r="AS1446"/>
          <cell r="AT1446"/>
          <cell r="AU1446"/>
          <cell r="AV1446"/>
          <cell r="AW1446"/>
          <cell r="AX1446"/>
          <cell r="AY1446"/>
          <cell r="AZ1446"/>
        </row>
        <row r="1447">
          <cell r="A1447"/>
          <cell r="B1447"/>
          <cell r="C1447"/>
          <cell r="D1447"/>
          <cell r="E1447"/>
          <cell r="F1447"/>
          <cell r="G1447"/>
          <cell r="H1447"/>
          <cell r="I1447"/>
          <cell r="J1447"/>
          <cell r="K1447"/>
          <cell r="L1447"/>
          <cell r="M1447"/>
          <cell r="N1447"/>
          <cell r="O1447"/>
          <cell r="P1447"/>
          <cell r="Q1447"/>
          <cell r="R1447"/>
          <cell r="S1447"/>
          <cell r="T1447"/>
          <cell r="U1447"/>
          <cell r="V1447"/>
          <cell r="W1447"/>
          <cell r="X1447"/>
          <cell r="Y1447"/>
          <cell r="Z1447"/>
          <cell r="AA1447"/>
          <cell r="AB1447"/>
          <cell r="AC1447"/>
          <cell r="AD1447"/>
          <cell r="AE1447"/>
          <cell r="AF1447"/>
          <cell r="AG1447"/>
          <cell r="AH1447"/>
          <cell r="AI1447"/>
          <cell r="AJ1447"/>
          <cell r="AK1447"/>
          <cell r="AL1447"/>
          <cell r="AM1447"/>
          <cell r="AN1447"/>
          <cell r="AO1447"/>
          <cell r="AP1447"/>
          <cell r="AQ1447"/>
          <cell r="AR1447"/>
          <cell r="AS1447"/>
          <cell r="AT1447"/>
          <cell r="AU1447"/>
          <cell r="AV1447"/>
          <cell r="AW1447"/>
          <cell r="AX1447"/>
          <cell r="AY1447"/>
          <cell r="AZ1447"/>
        </row>
        <row r="1448">
          <cell r="A1448"/>
          <cell r="B1448"/>
          <cell r="C1448"/>
          <cell r="D1448"/>
          <cell r="E1448"/>
          <cell r="F1448"/>
          <cell r="G1448"/>
          <cell r="H1448"/>
          <cell r="I1448"/>
          <cell r="J1448"/>
          <cell r="K1448"/>
          <cell r="L1448"/>
          <cell r="M1448"/>
          <cell r="N1448"/>
          <cell r="O1448"/>
          <cell r="P1448"/>
          <cell r="Q1448"/>
          <cell r="R1448"/>
          <cell r="S1448"/>
          <cell r="T1448"/>
          <cell r="U1448"/>
          <cell r="V1448"/>
          <cell r="W1448"/>
          <cell r="X1448"/>
          <cell r="Y1448"/>
          <cell r="Z1448"/>
          <cell r="AA1448"/>
          <cell r="AB1448"/>
          <cell r="AC1448"/>
          <cell r="AD1448"/>
          <cell r="AE1448"/>
          <cell r="AF1448"/>
          <cell r="AG1448"/>
          <cell r="AH1448"/>
          <cell r="AI1448"/>
          <cell r="AJ1448"/>
          <cell r="AK1448"/>
          <cell r="AL1448"/>
          <cell r="AM1448"/>
          <cell r="AN1448"/>
          <cell r="AO1448"/>
          <cell r="AP1448"/>
          <cell r="AQ1448"/>
          <cell r="AR1448"/>
          <cell r="AS1448"/>
          <cell r="AT1448"/>
          <cell r="AU1448"/>
          <cell r="AV1448"/>
          <cell r="AW1448"/>
          <cell r="AX1448"/>
          <cell r="AY1448"/>
          <cell r="AZ1448"/>
        </row>
        <row r="1449">
          <cell r="A1449"/>
          <cell r="B1449"/>
          <cell r="C1449"/>
          <cell r="D1449"/>
          <cell r="E1449"/>
          <cell r="F1449"/>
          <cell r="G1449"/>
          <cell r="H1449"/>
          <cell r="I1449"/>
          <cell r="J1449"/>
          <cell r="K1449"/>
          <cell r="L1449"/>
          <cell r="M1449"/>
          <cell r="N1449"/>
          <cell r="O1449"/>
          <cell r="P1449"/>
          <cell r="Q1449"/>
          <cell r="R1449"/>
          <cell r="S1449"/>
          <cell r="T1449"/>
          <cell r="U1449"/>
          <cell r="V1449"/>
          <cell r="W1449"/>
          <cell r="X1449"/>
          <cell r="Y1449"/>
          <cell r="Z1449"/>
          <cell r="AA1449"/>
          <cell r="AB1449"/>
          <cell r="AC1449"/>
          <cell r="AD1449"/>
          <cell r="AE1449"/>
          <cell r="AF1449"/>
          <cell r="AG1449"/>
          <cell r="AH1449"/>
          <cell r="AI1449"/>
          <cell r="AJ1449"/>
          <cell r="AK1449"/>
          <cell r="AL1449"/>
          <cell r="AM1449"/>
          <cell r="AN1449"/>
          <cell r="AO1449"/>
          <cell r="AP1449"/>
          <cell r="AQ1449"/>
          <cell r="AR1449"/>
          <cell r="AS1449"/>
          <cell r="AT1449"/>
          <cell r="AU1449"/>
          <cell r="AV1449"/>
          <cell r="AW1449"/>
          <cell r="AX1449"/>
          <cell r="AY1449"/>
          <cell r="AZ1449"/>
        </row>
        <row r="1450">
          <cell r="A1450"/>
          <cell r="B1450"/>
          <cell r="C1450"/>
          <cell r="D1450"/>
          <cell r="E1450"/>
          <cell r="F1450"/>
          <cell r="G1450"/>
          <cell r="H1450"/>
          <cell r="I1450"/>
          <cell r="J1450"/>
          <cell r="K1450"/>
          <cell r="L1450"/>
          <cell r="M1450"/>
          <cell r="N1450"/>
          <cell r="O1450"/>
          <cell r="P1450"/>
          <cell r="Q1450"/>
          <cell r="R1450"/>
          <cell r="S1450"/>
          <cell r="T1450"/>
          <cell r="U1450"/>
          <cell r="V1450"/>
          <cell r="W1450"/>
          <cell r="X1450"/>
          <cell r="Y1450"/>
          <cell r="Z1450"/>
          <cell r="AA1450"/>
          <cell r="AB1450"/>
          <cell r="AC1450"/>
          <cell r="AD1450"/>
          <cell r="AE1450"/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/>
          <cell r="AS1450"/>
          <cell r="AT1450"/>
          <cell r="AU1450"/>
          <cell r="AV1450"/>
          <cell r="AW1450"/>
          <cell r="AX1450"/>
          <cell r="AY1450"/>
          <cell r="AZ1450"/>
        </row>
        <row r="1451">
          <cell r="A1451"/>
          <cell r="B1451"/>
          <cell r="C1451"/>
          <cell r="D1451"/>
          <cell r="E1451"/>
          <cell r="F1451"/>
          <cell r="G1451"/>
          <cell r="H1451"/>
          <cell r="I1451"/>
          <cell r="J1451"/>
          <cell r="K1451"/>
          <cell r="L1451"/>
          <cell r="M1451"/>
          <cell r="N1451"/>
          <cell r="O1451"/>
          <cell r="P1451"/>
          <cell r="Q1451"/>
          <cell r="R1451"/>
          <cell r="S1451"/>
          <cell r="T1451"/>
          <cell r="U1451"/>
          <cell r="V1451"/>
          <cell r="W1451"/>
          <cell r="X1451"/>
          <cell r="Y1451"/>
          <cell r="Z1451"/>
          <cell r="AA1451"/>
          <cell r="AB1451"/>
          <cell r="AC1451"/>
          <cell r="AD1451"/>
          <cell r="AE1451"/>
          <cell r="AF1451"/>
          <cell r="AG1451"/>
          <cell r="AH1451"/>
          <cell r="AI1451"/>
          <cell r="AJ1451"/>
          <cell r="AK1451"/>
          <cell r="AL1451"/>
          <cell r="AM1451"/>
          <cell r="AN1451"/>
          <cell r="AO1451"/>
          <cell r="AP1451"/>
          <cell r="AQ1451"/>
          <cell r="AR1451"/>
          <cell r="AS1451"/>
          <cell r="AT1451"/>
          <cell r="AU1451"/>
          <cell r="AV1451"/>
          <cell r="AW1451"/>
          <cell r="AX1451"/>
          <cell r="AY1451"/>
          <cell r="AZ1451"/>
        </row>
        <row r="1452">
          <cell r="A1452"/>
          <cell r="B1452"/>
          <cell r="C1452"/>
          <cell r="D1452"/>
          <cell r="E1452"/>
          <cell r="F1452"/>
          <cell r="G1452"/>
          <cell r="H1452"/>
          <cell r="I1452"/>
          <cell r="J1452"/>
          <cell r="K1452"/>
          <cell r="L1452"/>
          <cell r="M1452"/>
          <cell r="N1452"/>
          <cell r="O1452"/>
          <cell r="P1452"/>
          <cell r="Q1452"/>
          <cell r="R1452"/>
          <cell r="S1452"/>
          <cell r="T1452"/>
          <cell r="U1452"/>
          <cell r="V1452"/>
          <cell r="W1452"/>
          <cell r="X1452"/>
          <cell r="Y1452"/>
          <cell r="Z1452"/>
          <cell r="AA1452"/>
          <cell r="AB1452"/>
          <cell r="AC1452"/>
          <cell r="AD1452"/>
          <cell r="AE1452"/>
          <cell r="AF1452"/>
          <cell r="AG1452"/>
          <cell r="AH1452"/>
          <cell r="AI1452"/>
          <cell r="AJ1452"/>
          <cell r="AK1452"/>
          <cell r="AL1452"/>
          <cell r="AM1452"/>
          <cell r="AN1452"/>
          <cell r="AO1452"/>
          <cell r="AP1452"/>
          <cell r="AQ1452"/>
          <cell r="AR1452"/>
          <cell r="AS1452"/>
          <cell r="AT1452"/>
          <cell r="AU1452"/>
          <cell r="AV1452"/>
          <cell r="AW1452"/>
          <cell r="AX1452"/>
          <cell r="AY1452"/>
          <cell r="AZ1452"/>
        </row>
        <row r="1453">
          <cell r="A1453"/>
          <cell r="B1453"/>
          <cell r="C1453"/>
          <cell r="D1453"/>
          <cell r="E1453"/>
          <cell r="F1453"/>
          <cell r="G1453"/>
          <cell r="H1453"/>
          <cell r="I1453"/>
          <cell r="J1453"/>
          <cell r="K1453"/>
          <cell r="L1453"/>
          <cell r="M1453"/>
          <cell r="N1453"/>
          <cell r="O1453"/>
          <cell r="P1453"/>
          <cell r="Q1453"/>
          <cell r="R1453"/>
          <cell r="S1453"/>
          <cell r="T1453"/>
          <cell r="U1453"/>
          <cell r="V1453"/>
          <cell r="W1453"/>
          <cell r="X1453"/>
          <cell r="Y1453"/>
          <cell r="Z1453"/>
          <cell r="AA1453"/>
          <cell r="AB1453"/>
          <cell r="AC1453"/>
          <cell r="AD1453"/>
          <cell r="AE1453"/>
          <cell r="AF1453"/>
          <cell r="AG1453"/>
          <cell r="AH1453"/>
          <cell r="AI1453"/>
          <cell r="AJ1453"/>
          <cell r="AK1453"/>
          <cell r="AL1453"/>
          <cell r="AM1453"/>
          <cell r="AN1453"/>
          <cell r="AO1453"/>
          <cell r="AP1453"/>
          <cell r="AQ1453"/>
          <cell r="AR1453"/>
          <cell r="AS1453"/>
          <cell r="AT1453"/>
          <cell r="AU1453"/>
          <cell r="AV1453"/>
          <cell r="AW1453"/>
          <cell r="AX1453"/>
          <cell r="AY1453"/>
          <cell r="AZ1453"/>
        </row>
        <row r="1454">
          <cell r="A1454"/>
          <cell r="B1454"/>
          <cell r="C1454"/>
          <cell r="D1454"/>
          <cell r="E1454"/>
          <cell r="F1454"/>
          <cell r="G1454"/>
          <cell r="H1454"/>
          <cell r="I1454"/>
          <cell r="J1454"/>
          <cell r="K1454"/>
          <cell r="L1454"/>
          <cell r="M1454"/>
          <cell r="N1454"/>
          <cell r="O1454"/>
          <cell r="P1454"/>
          <cell r="Q1454"/>
          <cell r="R1454"/>
          <cell r="S1454"/>
          <cell r="T1454"/>
          <cell r="U1454"/>
          <cell r="V1454"/>
          <cell r="W1454"/>
          <cell r="X1454"/>
          <cell r="Y1454"/>
          <cell r="Z1454"/>
          <cell r="AA1454"/>
          <cell r="AB1454"/>
          <cell r="AC1454"/>
          <cell r="AD1454"/>
          <cell r="AE1454"/>
          <cell r="AF1454"/>
          <cell r="AG1454"/>
          <cell r="AH1454"/>
          <cell r="AI1454"/>
          <cell r="AJ1454"/>
          <cell r="AK1454"/>
          <cell r="AL1454"/>
          <cell r="AM1454"/>
          <cell r="AN1454"/>
          <cell r="AO1454"/>
          <cell r="AP1454"/>
          <cell r="AQ1454"/>
          <cell r="AR1454"/>
          <cell r="AS1454"/>
          <cell r="AT1454"/>
          <cell r="AU1454"/>
          <cell r="AV1454"/>
          <cell r="AW1454"/>
          <cell r="AX1454"/>
          <cell r="AY1454"/>
          <cell r="AZ1454"/>
        </row>
        <row r="1455">
          <cell r="A1455"/>
          <cell r="B1455"/>
          <cell r="C1455"/>
          <cell r="D1455"/>
          <cell r="E1455"/>
          <cell r="F1455"/>
          <cell r="G1455"/>
          <cell r="H1455"/>
          <cell r="I1455"/>
          <cell r="J1455"/>
          <cell r="K1455"/>
          <cell r="L1455"/>
          <cell r="M1455"/>
          <cell r="N1455"/>
          <cell r="O1455"/>
          <cell r="P1455"/>
          <cell r="Q1455"/>
          <cell r="R1455"/>
          <cell r="S1455"/>
          <cell r="T1455"/>
          <cell r="U1455"/>
          <cell r="V1455"/>
          <cell r="W1455"/>
          <cell r="X1455"/>
          <cell r="Y1455"/>
          <cell r="Z1455"/>
          <cell r="AA1455"/>
          <cell r="AB1455"/>
          <cell r="AC1455"/>
          <cell r="AD1455"/>
          <cell r="AE1455"/>
          <cell r="AF1455"/>
          <cell r="AG1455"/>
          <cell r="AH1455"/>
          <cell r="AI1455"/>
          <cell r="AJ1455"/>
          <cell r="AK1455"/>
          <cell r="AL1455"/>
          <cell r="AM1455"/>
          <cell r="AN1455"/>
          <cell r="AO1455"/>
          <cell r="AP1455"/>
          <cell r="AQ1455"/>
          <cell r="AR1455"/>
          <cell r="AS1455"/>
          <cell r="AT1455"/>
          <cell r="AU1455"/>
          <cell r="AV1455"/>
          <cell r="AW1455"/>
          <cell r="AX1455"/>
          <cell r="AY1455"/>
          <cell r="AZ1455"/>
        </row>
        <row r="1456">
          <cell r="A1456"/>
          <cell r="B1456"/>
          <cell r="C1456"/>
          <cell r="D1456"/>
          <cell r="E1456"/>
          <cell r="F1456"/>
          <cell r="G1456"/>
          <cell r="H1456"/>
          <cell r="I1456"/>
          <cell r="J1456"/>
          <cell r="K1456"/>
          <cell r="L1456"/>
          <cell r="M1456"/>
          <cell r="N1456"/>
          <cell r="O1456"/>
          <cell r="P1456"/>
          <cell r="Q1456"/>
          <cell r="R1456"/>
          <cell r="S1456"/>
          <cell r="T1456"/>
          <cell r="U1456"/>
          <cell r="V1456"/>
          <cell r="W1456"/>
          <cell r="X1456"/>
          <cell r="Y1456"/>
          <cell r="Z1456"/>
          <cell r="AA1456"/>
          <cell r="AB1456"/>
          <cell r="AC1456"/>
          <cell r="AD1456"/>
          <cell r="AE1456"/>
          <cell r="AF1456"/>
          <cell r="AG1456"/>
          <cell r="AH1456"/>
          <cell r="AI1456"/>
          <cell r="AJ1456"/>
          <cell r="AK1456"/>
          <cell r="AL1456"/>
          <cell r="AM1456"/>
          <cell r="AN1456"/>
          <cell r="AO1456"/>
          <cell r="AP1456"/>
          <cell r="AQ1456"/>
          <cell r="AR1456"/>
          <cell r="AS1456"/>
          <cell r="AT1456"/>
          <cell r="AU1456"/>
          <cell r="AV1456"/>
          <cell r="AW1456"/>
          <cell r="AX1456"/>
          <cell r="AY1456"/>
          <cell r="AZ1456"/>
        </row>
        <row r="1457">
          <cell r="A1457"/>
          <cell r="B1457"/>
          <cell r="C1457"/>
          <cell r="D1457"/>
          <cell r="E1457"/>
          <cell r="F1457"/>
          <cell r="G1457"/>
          <cell r="H1457"/>
          <cell r="I1457"/>
          <cell r="J1457"/>
          <cell r="K1457"/>
          <cell r="L1457"/>
          <cell r="M1457"/>
          <cell r="N1457"/>
          <cell r="O1457"/>
          <cell r="P1457"/>
          <cell r="Q1457"/>
          <cell r="R1457"/>
          <cell r="S1457"/>
          <cell r="T1457"/>
          <cell r="U1457"/>
          <cell r="V1457"/>
          <cell r="W1457"/>
          <cell r="X1457"/>
          <cell r="Y1457"/>
          <cell r="Z1457"/>
          <cell r="AA1457"/>
          <cell r="AB1457"/>
          <cell r="AC1457"/>
          <cell r="AD1457"/>
          <cell r="AE1457"/>
          <cell r="AF1457"/>
          <cell r="AG1457"/>
          <cell r="AH1457"/>
          <cell r="AI1457"/>
          <cell r="AJ1457"/>
          <cell r="AK1457"/>
          <cell r="AL1457"/>
          <cell r="AM1457"/>
          <cell r="AN1457"/>
          <cell r="AO1457"/>
          <cell r="AP1457"/>
          <cell r="AQ1457"/>
          <cell r="AR1457"/>
          <cell r="AS1457"/>
          <cell r="AT1457"/>
          <cell r="AU1457"/>
          <cell r="AV1457"/>
          <cell r="AW1457"/>
          <cell r="AX1457"/>
          <cell r="AY1457"/>
          <cell r="AZ1457"/>
        </row>
        <row r="1458">
          <cell r="A1458"/>
          <cell r="B1458"/>
          <cell r="C1458"/>
          <cell r="D1458"/>
          <cell r="E1458"/>
          <cell r="F1458"/>
          <cell r="G1458"/>
          <cell r="H1458"/>
          <cell r="I1458"/>
          <cell r="J1458"/>
          <cell r="K1458"/>
          <cell r="L1458"/>
          <cell r="M1458"/>
          <cell r="N1458"/>
          <cell r="O1458"/>
          <cell r="P1458"/>
          <cell r="Q1458"/>
          <cell r="R1458"/>
          <cell r="S1458"/>
          <cell r="T1458"/>
          <cell r="U1458"/>
          <cell r="V1458"/>
          <cell r="W1458"/>
          <cell r="X1458"/>
          <cell r="Y1458"/>
          <cell r="Z1458"/>
          <cell r="AA1458"/>
          <cell r="AB1458"/>
          <cell r="AC1458"/>
          <cell r="AD1458"/>
          <cell r="AE1458"/>
          <cell r="AF1458"/>
          <cell r="AG1458"/>
          <cell r="AH1458"/>
          <cell r="AI1458"/>
          <cell r="AJ1458"/>
          <cell r="AK1458"/>
          <cell r="AL1458"/>
          <cell r="AM1458"/>
          <cell r="AN1458"/>
          <cell r="AO1458"/>
          <cell r="AP1458"/>
          <cell r="AQ1458"/>
          <cell r="AR1458"/>
          <cell r="AS1458"/>
          <cell r="AT1458"/>
          <cell r="AU1458"/>
          <cell r="AV1458"/>
          <cell r="AW1458"/>
          <cell r="AX1458"/>
          <cell r="AY1458"/>
          <cell r="AZ1458"/>
        </row>
        <row r="1459">
          <cell r="A1459"/>
          <cell r="B1459"/>
          <cell r="C1459"/>
          <cell r="D1459"/>
          <cell r="E1459"/>
          <cell r="F1459"/>
          <cell r="G1459"/>
          <cell r="H1459"/>
          <cell r="I1459"/>
          <cell r="J1459"/>
          <cell r="K1459"/>
          <cell r="L1459"/>
          <cell r="M1459"/>
          <cell r="N1459"/>
          <cell r="O1459"/>
          <cell r="P1459"/>
          <cell r="Q1459"/>
          <cell r="R1459"/>
          <cell r="S1459"/>
          <cell r="T1459"/>
          <cell r="U1459"/>
          <cell r="V1459"/>
          <cell r="W1459"/>
          <cell r="X1459"/>
          <cell r="Y1459"/>
          <cell r="Z1459"/>
          <cell r="AA1459"/>
          <cell r="AB1459"/>
          <cell r="AC1459"/>
          <cell r="AD1459"/>
          <cell r="AE1459"/>
          <cell r="AF1459"/>
          <cell r="AG1459"/>
          <cell r="AH1459"/>
          <cell r="AI1459"/>
          <cell r="AJ1459"/>
          <cell r="AK1459"/>
          <cell r="AL1459"/>
          <cell r="AM1459"/>
          <cell r="AN1459"/>
          <cell r="AO1459"/>
          <cell r="AP1459"/>
          <cell r="AQ1459"/>
          <cell r="AR1459"/>
          <cell r="AS1459"/>
          <cell r="AT1459"/>
          <cell r="AU1459"/>
          <cell r="AV1459"/>
          <cell r="AW1459"/>
          <cell r="AX1459"/>
          <cell r="AY1459"/>
          <cell r="AZ1459"/>
        </row>
        <row r="1460">
          <cell r="A1460"/>
          <cell r="B1460"/>
          <cell r="C1460"/>
          <cell r="D1460"/>
          <cell r="E1460"/>
          <cell r="F1460"/>
          <cell r="G1460"/>
          <cell r="H1460"/>
          <cell r="I1460"/>
          <cell r="J1460"/>
          <cell r="K1460"/>
          <cell r="L1460"/>
          <cell r="M1460"/>
          <cell r="N1460"/>
          <cell r="O1460"/>
          <cell r="P1460"/>
          <cell r="Q1460"/>
          <cell r="R1460"/>
          <cell r="S1460"/>
          <cell r="T1460"/>
          <cell r="U1460"/>
          <cell r="V1460"/>
          <cell r="W1460"/>
          <cell r="X1460"/>
          <cell r="Y1460"/>
          <cell r="Z1460"/>
          <cell r="AA1460"/>
          <cell r="AB1460"/>
          <cell r="AC1460"/>
          <cell r="AD1460"/>
          <cell r="AE1460"/>
          <cell r="AF1460"/>
          <cell r="AG1460"/>
          <cell r="AH1460"/>
          <cell r="AI1460"/>
          <cell r="AJ1460"/>
          <cell r="AK1460"/>
          <cell r="AL1460"/>
          <cell r="AM1460"/>
          <cell r="AN1460"/>
          <cell r="AO1460"/>
          <cell r="AP1460"/>
          <cell r="AQ1460"/>
          <cell r="AR1460"/>
          <cell r="AS1460"/>
          <cell r="AT1460"/>
          <cell r="AU1460"/>
          <cell r="AV1460"/>
          <cell r="AW1460"/>
          <cell r="AX1460"/>
          <cell r="AY1460"/>
          <cell r="AZ1460"/>
        </row>
        <row r="1461">
          <cell r="A1461"/>
          <cell r="B1461"/>
          <cell r="C1461"/>
          <cell r="D1461"/>
          <cell r="E1461"/>
          <cell r="F1461"/>
          <cell r="G1461"/>
          <cell r="H1461"/>
          <cell r="I1461"/>
          <cell r="J1461"/>
          <cell r="K1461"/>
          <cell r="L1461"/>
          <cell r="M1461"/>
          <cell r="N1461"/>
          <cell r="O1461"/>
          <cell r="P1461"/>
          <cell r="Q1461"/>
          <cell r="R1461"/>
          <cell r="S1461"/>
          <cell r="T1461"/>
          <cell r="U1461"/>
          <cell r="V1461"/>
          <cell r="W1461"/>
          <cell r="X1461"/>
          <cell r="Y1461"/>
          <cell r="Z1461"/>
          <cell r="AA1461"/>
          <cell r="AB1461"/>
          <cell r="AC1461"/>
          <cell r="AD1461"/>
          <cell r="AE1461"/>
          <cell r="AF1461"/>
          <cell r="AG1461"/>
          <cell r="AH1461"/>
          <cell r="AI1461"/>
          <cell r="AJ1461"/>
          <cell r="AK1461"/>
          <cell r="AL1461"/>
          <cell r="AM1461"/>
          <cell r="AN1461"/>
          <cell r="AO1461"/>
          <cell r="AP1461"/>
          <cell r="AQ1461"/>
          <cell r="AR1461"/>
          <cell r="AS1461"/>
          <cell r="AT1461"/>
          <cell r="AU1461"/>
          <cell r="AV1461"/>
          <cell r="AW1461"/>
          <cell r="AX1461"/>
          <cell r="AY1461"/>
          <cell r="AZ1461"/>
        </row>
        <row r="1462">
          <cell r="A1462"/>
          <cell r="B1462"/>
          <cell r="C1462"/>
          <cell r="D1462"/>
          <cell r="E1462"/>
          <cell r="F1462"/>
          <cell r="G1462"/>
          <cell r="H1462"/>
          <cell r="I1462"/>
          <cell r="J1462"/>
          <cell r="K1462"/>
          <cell r="L1462"/>
          <cell r="M1462"/>
          <cell r="N1462"/>
          <cell r="O1462"/>
          <cell r="P1462"/>
          <cell r="Q1462"/>
          <cell r="R1462"/>
          <cell r="S1462"/>
          <cell r="T1462"/>
          <cell r="U1462"/>
          <cell r="V1462"/>
          <cell r="W1462"/>
          <cell r="X1462"/>
          <cell r="Y1462"/>
          <cell r="Z1462"/>
          <cell r="AA1462"/>
          <cell r="AB1462"/>
          <cell r="AC1462"/>
          <cell r="AD1462"/>
          <cell r="AE1462"/>
          <cell r="AF1462"/>
          <cell r="AG1462"/>
          <cell r="AH1462"/>
          <cell r="AI1462"/>
          <cell r="AJ1462"/>
          <cell r="AK1462"/>
          <cell r="AL1462"/>
          <cell r="AM1462"/>
          <cell r="AN1462"/>
          <cell r="AO1462"/>
          <cell r="AP1462"/>
          <cell r="AQ1462"/>
          <cell r="AR1462"/>
          <cell r="AS1462"/>
          <cell r="AT1462"/>
          <cell r="AU1462"/>
          <cell r="AV1462"/>
          <cell r="AW1462"/>
          <cell r="AX1462"/>
          <cell r="AY1462"/>
          <cell r="AZ1462"/>
        </row>
        <row r="1463">
          <cell r="A1463"/>
          <cell r="B1463"/>
          <cell r="C1463"/>
          <cell r="D1463"/>
          <cell r="E1463"/>
          <cell r="F1463"/>
          <cell r="G1463"/>
          <cell r="H1463"/>
          <cell r="I1463"/>
          <cell r="J1463"/>
          <cell r="K1463"/>
          <cell r="L1463"/>
          <cell r="M1463"/>
          <cell r="N1463"/>
          <cell r="O1463"/>
          <cell r="P1463"/>
          <cell r="Q1463"/>
          <cell r="R1463"/>
          <cell r="S1463"/>
          <cell r="T1463"/>
          <cell r="U1463"/>
          <cell r="V1463"/>
          <cell r="W1463"/>
          <cell r="X1463"/>
          <cell r="Y1463"/>
          <cell r="Z1463"/>
          <cell r="AA1463"/>
          <cell r="AB1463"/>
          <cell r="AC1463"/>
          <cell r="AD1463"/>
          <cell r="AE1463"/>
          <cell r="AF1463"/>
          <cell r="AG1463"/>
          <cell r="AH1463"/>
          <cell r="AI1463"/>
          <cell r="AJ1463"/>
          <cell r="AK1463"/>
          <cell r="AL1463"/>
          <cell r="AM1463"/>
          <cell r="AN1463"/>
          <cell r="AO1463"/>
          <cell r="AP1463"/>
          <cell r="AQ1463"/>
          <cell r="AR1463"/>
          <cell r="AS1463"/>
          <cell r="AT1463"/>
          <cell r="AU1463"/>
          <cell r="AV1463"/>
          <cell r="AW1463"/>
          <cell r="AX1463"/>
          <cell r="AY1463"/>
          <cell r="AZ1463"/>
        </row>
        <row r="1464">
          <cell r="A1464"/>
          <cell r="B1464"/>
          <cell r="C1464"/>
          <cell r="D1464"/>
          <cell r="E1464"/>
          <cell r="F1464"/>
          <cell r="G1464"/>
          <cell r="H1464"/>
          <cell r="I1464"/>
          <cell r="J1464"/>
          <cell r="K1464"/>
          <cell r="L1464"/>
          <cell r="M1464"/>
          <cell r="N1464"/>
          <cell r="O1464"/>
          <cell r="P1464"/>
          <cell r="Q1464"/>
          <cell r="R1464"/>
          <cell r="S1464"/>
          <cell r="T1464"/>
          <cell r="U1464"/>
          <cell r="V1464"/>
          <cell r="W1464"/>
          <cell r="X1464"/>
          <cell r="Y1464"/>
          <cell r="Z1464"/>
          <cell r="AA1464"/>
          <cell r="AB1464"/>
          <cell r="AC1464"/>
          <cell r="AD1464"/>
          <cell r="AE1464"/>
          <cell r="AF1464"/>
          <cell r="AG1464"/>
          <cell r="AH1464"/>
          <cell r="AI1464"/>
          <cell r="AJ1464"/>
          <cell r="AK1464"/>
          <cell r="AL1464"/>
          <cell r="AM1464"/>
          <cell r="AN1464"/>
          <cell r="AO1464"/>
          <cell r="AP1464"/>
          <cell r="AQ1464"/>
          <cell r="AR1464"/>
          <cell r="AS1464"/>
          <cell r="AT1464"/>
          <cell r="AU1464"/>
          <cell r="AV1464"/>
          <cell r="AW1464"/>
          <cell r="AX1464"/>
          <cell r="AY1464"/>
          <cell r="AZ1464"/>
        </row>
        <row r="1465">
          <cell r="A1465"/>
          <cell r="B1465"/>
          <cell r="C1465"/>
          <cell r="D1465"/>
          <cell r="E1465"/>
          <cell r="F1465"/>
          <cell r="G1465"/>
          <cell r="H1465"/>
          <cell r="I1465"/>
          <cell r="J1465"/>
          <cell r="K1465"/>
          <cell r="L1465"/>
          <cell r="M1465"/>
          <cell r="N1465"/>
          <cell r="O1465"/>
          <cell r="P1465"/>
          <cell r="Q1465"/>
          <cell r="R1465"/>
          <cell r="S1465"/>
          <cell r="T1465"/>
          <cell r="U1465"/>
          <cell r="V1465"/>
          <cell r="W1465"/>
          <cell r="X1465"/>
          <cell r="Y1465"/>
          <cell r="Z1465"/>
          <cell r="AA1465"/>
          <cell r="AB1465"/>
          <cell r="AC1465"/>
          <cell r="AD1465"/>
          <cell r="AE1465"/>
          <cell r="AF1465"/>
          <cell r="AG1465"/>
          <cell r="AH1465"/>
          <cell r="AI1465"/>
          <cell r="AJ1465"/>
          <cell r="AK1465"/>
          <cell r="AL1465"/>
          <cell r="AM1465"/>
          <cell r="AN1465"/>
          <cell r="AO1465"/>
          <cell r="AP1465"/>
          <cell r="AQ1465"/>
          <cell r="AR1465"/>
          <cell r="AS1465"/>
          <cell r="AT1465"/>
          <cell r="AU1465"/>
          <cell r="AV1465"/>
          <cell r="AW1465"/>
          <cell r="AX1465"/>
          <cell r="AY1465"/>
          <cell r="AZ1465"/>
        </row>
        <row r="1466">
          <cell r="A1466"/>
          <cell r="B1466"/>
          <cell r="C1466"/>
          <cell r="D1466"/>
          <cell r="E1466"/>
          <cell r="F1466"/>
          <cell r="G1466"/>
          <cell r="H1466"/>
          <cell r="I1466"/>
          <cell r="J1466"/>
          <cell r="K1466"/>
          <cell r="L1466"/>
          <cell r="M1466"/>
          <cell r="N1466"/>
          <cell r="O1466"/>
          <cell r="P1466"/>
          <cell r="Q1466"/>
          <cell r="R1466"/>
          <cell r="S1466"/>
          <cell r="T1466"/>
          <cell r="U1466"/>
          <cell r="V1466"/>
          <cell r="W1466"/>
          <cell r="X1466"/>
          <cell r="Y1466"/>
          <cell r="Z1466"/>
          <cell r="AA1466"/>
          <cell r="AB1466"/>
          <cell r="AC1466"/>
          <cell r="AD1466"/>
          <cell r="AE1466"/>
          <cell r="AF1466"/>
          <cell r="AG1466"/>
          <cell r="AH1466"/>
          <cell r="AI1466"/>
          <cell r="AJ1466"/>
          <cell r="AK1466"/>
          <cell r="AL1466"/>
          <cell r="AM1466"/>
          <cell r="AN1466"/>
          <cell r="AO1466"/>
          <cell r="AP1466"/>
          <cell r="AQ1466"/>
          <cell r="AR1466"/>
          <cell r="AS1466"/>
          <cell r="AT1466"/>
          <cell r="AU1466"/>
          <cell r="AV1466"/>
          <cell r="AW1466"/>
          <cell r="AX1466"/>
          <cell r="AY1466"/>
          <cell r="AZ1466"/>
        </row>
        <row r="1467">
          <cell r="A1467"/>
          <cell r="B1467"/>
          <cell r="C1467"/>
          <cell r="D1467"/>
          <cell r="E1467"/>
          <cell r="F1467"/>
          <cell r="G1467"/>
          <cell r="H1467"/>
          <cell r="I1467"/>
          <cell r="J1467"/>
          <cell r="K1467"/>
          <cell r="L1467"/>
          <cell r="M1467"/>
          <cell r="N1467"/>
          <cell r="O1467"/>
          <cell r="P1467"/>
          <cell r="Q1467"/>
          <cell r="R1467"/>
          <cell r="S1467"/>
          <cell r="T1467"/>
          <cell r="U1467"/>
          <cell r="V1467"/>
          <cell r="W1467"/>
          <cell r="X1467"/>
          <cell r="Y1467"/>
          <cell r="Z1467"/>
          <cell r="AA1467"/>
          <cell r="AB1467"/>
          <cell r="AC1467"/>
          <cell r="AD1467"/>
          <cell r="AE1467"/>
          <cell r="AF1467"/>
          <cell r="AG1467"/>
          <cell r="AH1467"/>
          <cell r="AI1467"/>
          <cell r="AJ1467"/>
          <cell r="AK1467"/>
          <cell r="AL1467"/>
          <cell r="AM1467"/>
          <cell r="AN1467"/>
          <cell r="AO1467"/>
          <cell r="AP1467"/>
          <cell r="AQ1467"/>
          <cell r="AR1467"/>
          <cell r="AS1467"/>
          <cell r="AT1467"/>
          <cell r="AU1467"/>
          <cell r="AV1467"/>
          <cell r="AW1467"/>
          <cell r="AX1467"/>
          <cell r="AY1467"/>
          <cell r="AZ1467"/>
        </row>
        <row r="1468">
          <cell r="A1468"/>
          <cell r="B1468"/>
          <cell r="C1468"/>
          <cell r="D1468"/>
          <cell r="E1468"/>
          <cell r="F1468"/>
          <cell r="G1468"/>
          <cell r="H1468"/>
          <cell r="I1468"/>
          <cell r="J1468"/>
          <cell r="K1468"/>
          <cell r="L1468"/>
          <cell r="M1468"/>
          <cell r="N1468"/>
          <cell r="O1468"/>
          <cell r="P1468"/>
          <cell r="Q1468"/>
          <cell r="R1468"/>
          <cell r="S1468"/>
          <cell r="T1468"/>
          <cell r="U1468"/>
          <cell r="V1468"/>
          <cell r="W1468"/>
          <cell r="X1468"/>
          <cell r="Y1468"/>
          <cell r="Z1468"/>
          <cell r="AA1468"/>
          <cell r="AB1468"/>
          <cell r="AC1468"/>
          <cell r="AD1468"/>
          <cell r="AE1468"/>
          <cell r="AF1468"/>
          <cell r="AG1468"/>
          <cell r="AH1468"/>
          <cell r="AI1468"/>
          <cell r="AJ1468"/>
          <cell r="AK1468"/>
          <cell r="AL1468"/>
          <cell r="AM1468"/>
          <cell r="AN1468"/>
          <cell r="AO1468"/>
          <cell r="AP1468"/>
          <cell r="AQ1468"/>
          <cell r="AR1468"/>
          <cell r="AS1468"/>
          <cell r="AT1468"/>
          <cell r="AU1468"/>
          <cell r="AV1468"/>
          <cell r="AW1468"/>
          <cell r="AX1468"/>
          <cell r="AY1468"/>
          <cell r="AZ1468"/>
        </row>
        <row r="1469">
          <cell r="A1469"/>
          <cell r="B1469"/>
          <cell r="C1469"/>
          <cell r="D1469"/>
          <cell r="E1469"/>
          <cell r="F1469"/>
          <cell r="G1469"/>
          <cell r="H1469"/>
          <cell r="I1469"/>
          <cell r="J1469"/>
          <cell r="K1469"/>
          <cell r="L1469"/>
          <cell r="M1469"/>
          <cell r="N1469"/>
          <cell r="O1469"/>
          <cell r="P1469"/>
          <cell r="Q1469"/>
          <cell r="R1469"/>
          <cell r="S1469"/>
          <cell r="T1469"/>
          <cell r="U1469"/>
          <cell r="V1469"/>
          <cell r="W1469"/>
          <cell r="X1469"/>
          <cell r="Y1469"/>
          <cell r="Z1469"/>
          <cell r="AA1469"/>
          <cell r="AB1469"/>
          <cell r="AC1469"/>
          <cell r="AD1469"/>
          <cell r="AE1469"/>
          <cell r="AF1469"/>
          <cell r="AG1469"/>
          <cell r="AH1469"/>
          <cell r="AI1469"/>
          <cell r="AJ1469"/>
          <cell r="AK1469"/>
          <cell r="AL1469"/>
          <cell r="AM1469"/>
          <cell r="AN1469"/>
          <cell r="AO1469"/>
          <cell r="AP1469"/>
          <cell r="AQ1469"/>
          <cell r="AR1469"/>
          <cell r="AS1469"/>
          <cell r="AT1469"/>
          <cell r="AU1469"/>
          <cell r="AV1469"/>
          <cell r="AW1469"/>
          <cell r="AX1469"/>
          <cell r="AY1469"/>
          <cell r="AZ1469"/>
        </row>
        <row r="1470">
          <cell r="A1470"/>
          <cell r="B1470"/>
          <cell r="C1470"/>
          <cell r="D1470"/>
          <cell r="E1470"/>
          <cell r="F1470"/>
          <cell r="G1470"/>
          <cell r="H1470"/>
          <cell r="I1470"/>
          <cell r="J1470"/>
          <cell r="K1470"/>
          <cell r="L1470"/>
          <cell r="M1470"/>
          <cell r="N1470"/>
          <cell r="O1470"/>
          <cell r="P1470"/>
          <cell r="Q1470"/>
          <cell r="R1470"/>
          <cell r="S1470"/>
          <cell r="T1470"/>
          <cell r="U1470"/>
          <cell r="V1470"/>
          <cell r="W1470"/>
          <cell r="X1470"/>
          <cell r="Y1470"/>
          <cell r="Z1470"/>
          <cell r="AA1470"/>
          <cell r="AB1470"/>
          <cell r="AC1470"/>
          <cell r="AD1470"/>
          <cell r="AE1470"/>
          <cell r="AF1470"/>
          <cell r="AG1470"/>
          <cell r="AH1470"/>
          <cell r="AI1470"/>
          <cell r="AJ1470"/>
          <cell r="AK1470"/>
          <cell r="AL1470"/>
          <cell r="AM1470"/>
          <cell r="AN1470"/>
          <cell r="AO1470"/>
          <cell r="AP1470"/>
          <cell r="AQ1470"/>
          <cell r="AR1470"/>
          <cell r="AS1470"/>
          <cell r="AT1470"/>
          <cell r="AU1470"/>
          <cell r="AV1470"/>
          <cell r="AW1470"/>
          <cell r="AX1470"/>
          <cell r="AY1470"/>
          <cell r="AZ1470"/>
        </row>
        <row r="1471">
          <cell r="A1471"/>
          <cell r="B1471"/>
          <cell r="C1471"/>
          <cell r="D1471"/>
          <cell r="E1471"/>
          <cell r="F1471"/>
          <cell r="G1471"/>
          <cell r="H1471"/>
          <cell r="I1471"/>
          <cell r="J1471"/>
          <cell r="K1471"/>
          <cell r="L1471"/>
          <cell r="M1471"/>
          <cell r="N1471"/>
          <cell r="O1471"/>
          <cell r="P1471"/>
          <cell r="Q1471"/>
          <cell r="R1471"/>
          <cell r="S1471"/>
          <cell r="T1471"/>
          <cell r="U1471"/>
          <cell r="V1471"/>
          <cell r="W1471"/>
          <cell r="X1471"/>
          <cell r="Y1471"/>
          <cell r="Z1471"/>
          <cell r="AA1471"/>
          <cell r="AB1471"/>
          <cell r="AC1471"/>
          <cell r="AD1471"/>
          <cell r="AE1471"/>
          <cell r="AF1471"/>
          <cell r="AG1471"/>
          <cell r="AH1471"/>
          <cell r="AI1471"/>
          <cell r="AJ1471"/>
          <cell r="AK1471"/>
          <cell r="AL1471"/>
          <cell r="AM1471"/>
          <cell r="AN1471"/>
          <cell r="AO1471"/>
          <cell r="AP1471"/>
          <cell r="AQ1471"/>
          <cell r="AR1471"/>
          <cell r="AS1471"/>
          <cell r="AT1471"/>
          <cell r="AU1471"/>
          <cell r="AV1471"/>
          <cell r="AW1471"/>
          <cell r="AX1471"/>
          <cell r="AY1471"/>
          <cell r="AZ1471"/>
        </row>
        <row r="1472">
          <cell r="A1472"/>
          <cell r="B1472"/>
          <cell r="C1472"/>
          <cell r="D1472"/>
          <cell r="E1472"/>
          <cell r="F1472"/>
          <cell r="G1472"/>
          <cell r="H1472"/>
          <cell r="I1472"/>
          <cell r="J1472"/>
          <cell r="K1472"/>
          <cell r="L1472"/>
          <cell r="M1472"/>
          <cell r="N1472"/>
          <cell r="O1472"/>
          <cell r="P1472"/>
          <cell r="Q1472"/>
          <cell r="R1472"/>
          <cell r="S1472"/>
          <cell r="T1472"/>
          <cell r="U1472"/>
          <cell r="V1472"/>
          <cell r="W1472"/>
          <cell r="X1472"/>
          <cell r="Y1472"/>
          <cell r="Z1472"/>
          <cell r="AA1472"/>
          <cell r="AB1472"/>
          <cell r="AC1472"/>
          <cell r="AD1472"/>
          <cell r="AE1472"/>
          <cell r="AF1472"/>
          <cell r="AG1472"/>
          <cell r="AH1472"/>
          <cell r="AI1472"/>
          <cell r="AJ1472"/>
          <cell r="AK1472"/>
          <cell r="AL1472"/>
          <cell r="AM1472"/>
          <cell r="AN1472"/>
          <cell r="AO1472"/>
          <cell r="AP1472"/>
          <cell r="AQ1472"/>
          <cell r="AR1472"/>
          <cell r="AS1472"/>
          <cell r="AT1472"/>
          <cell r="AU1472"/>
          <cell r="AV1472"/>
          <cell r="AW1472"/>
          <cell r="AX1472"/>
          <cell r="AY1472"/>
          <cell r="AZ1472"/>
        </row>
        <row r="1473">
          <cell r="A1473"/>
          <cell r="B1473"/>
          <cell r="C1473"/>
          <cell r="D1473"/>
          <cell r="E1473"/>
          <cell r="F1473"/>
          <cell r="G1473"/>
          <cell r="H1473"/>
          <cell r="I1473"/>
          <cell r="J1473"/>
          <cell r="K1473"/>
          <cell r="L1473"/>
          <cell r="M1473"/>
          <cell r="N1473"/>
          <cell r="O1473"/>
          <cell r="P1473"/>
          <cell r="Q1473"/>
          <cell r="R1473"/>
          <cell r="S1473"/>
          <cell r="T1473"/>
          <cell r="U1473"/>
          <cell r="V1473"/>
          <cell r="W1473"/>
          <cell r="X1473"/>
          <cell r="Y1473"/>
          <cell r="Z1473"/>
          <cell r="AA1473"/>
          <cell r="AB1473"/>
          <cell r="AC1473"/>
          <cell r="AD1473"/>
          <cell r="AE1473"/>
          <cell r="AF1473"/>
          <cell r="AG1473"/>
          <cell r="AH1473"/>
          <cell r="AI1473"/>
          <cell r="AJ1473"/>
          <cell r="AK1473"/>
          <cell r="AL1473"/>
          <cell r="AM1473"/>
          <cell r="AN1473"/>
          <cell r="AO1473"/>
          <cell r="AP1473"/>
          <cell r="AQ1473"/>
          <cell r="AR1473"/>
          <cell r="AS1473"/>
          <cell r="AT1473"/>
          <cell r="AU1473"/>
          <cell r="AV1473"/>
          <cell r="AW1473"/>
          <cell r="AX1473"/>
          <cell r="AY1473"/>
          <cell r="AZ1473"/>
        </row>
        <row r="1474">
          <cell r="A1474"/>
          <cell r="B1474"/>
          <cell r="C1474"/>
          <cell r="D1474"/>
          <cell r="E1474"/>
          <cell r="F1474"/>
          <cell r="G1474"/>
          <cell r="H1474"/>
          <cell r="I1474"/>
          <cell r="J1474"/>
          <cell r="K1474"/>
          <cell r="L1474"/>
          <cell r="M1474"/>
          <cell r="N1474"/>
          <cell r="O1474"/>
          <cell r="P1474"/>
          <cell r="Q1474"/>
          <cell r="R1474"/>
          <cell r="S1474"/>
          <cell r="T1474"/>
          <cell r="U1474"/>
          <cell r="V1474"/>
          <cell r="W1474"/>
          <cell r="X1474"/>
          <cell r="Y1474"/>
          <cell r="Z1474"/>
          <cell r="AA1474"/>
          <cell r="AB1474"/>
          <cell r="AC1474"/>
          <cell r="AD1474"/>
          <cell r="AE1474"/>
          <cell r="AF1474"/>
          <cell r="AG1474"/>
          <cell r="AH1474"/>
          <cell r="AI1474"/>
          <cell r="AJ1474"/>
          <cell r="AK1474"/>
          <cell r="AL1474"/>
          <cell r="AM1474"/>
          <cell r="AN1474"/>
          <cell r="AO1474"/>
          <cell r="AP1474"/>
          <cell r="AQ1474"/>
          <cell r="AR1474"/>
          <cell r="AS1474"/>
          <cell r="AT1474"/>
          <cell r="AU1474"/>
          <cell r="AV1474"/>
          <cell r="AW1474"/>
          <cell r="AX1474"/>
          <cell r="AY1474"/>
          <cell r="AZ1474"/>
        </row>
        <row r="1475">
          <cell r="A1475"/>
          <cell r="B1475"/>
          <cell r="C1475"/>
          <cell r="D1475"/>
          <cell r="E1475"/>
          <cell r="F1475"/>
          <cell r="G1475"/>
          <cell r="H1475"/>
          <cell r="I1475"/>
          <cell r="J1475"/>
          <cell r="K1475"/>
          <cell r="L1475"/>
          <cell r="M1475"/>
          <cell r="N1475"/>
          <cell r="O1475"/>
          <cell r="P1475"/>
          <cell r="Q1475"/>
          <cell r="R1475"/>
          <cell r="S1475"/>
          <cell r="T1475"/>
          <cell r="U1475"/>
          <cell r="V1475"/>
          <cell r="W1475"/>
          <cell r="X1475"/>
          <cell r="Y1475"/>
          <cell r="Z1475"/>
          <cell r="AA1475"/>
          <cell r="AB1475"/>
          <cell r="AC1475"/>
          <cell r="AD1475"/>
          <cell r="AE1475"/>
          <cell r="AF1475"/>
          <cell r="AG1475"/>
          <cell r="AH1475"/>
          <cell r="AI1475"/>
          <cell r="AJ1475"/>
          <cell r="AK1475"/>
          <cell r="AL1475"/>
          <cell r="AM1475"/>
          <cell r="AN1475"/>
          <cell r="AO1475"/>
          <cell r="AP1475"/>
          <cell r="AQ1475"/>
          <cell r="AR1475"/>
          <cell r="AS1475"/>
          <cell r="AT1475"/>
          <cell r="AU1475"/>
          <cell r="AV1475"/>
          <cell r="AW1475"/>
          <cell r="AX1475"/>
          <cell r="AY1475"/>
          <cell r="AZ1475"/>
        </row>
        <row r="1476">
          <cell r="A1476"/>
          <cell r="B1476"/>
          <cell r="C1476"/>
          <cell r="D1476"/>
          <cell r="E1476"/>
          <cell r="F1476"/>
          <cell r="G1476"/>
          <cell r="H1476"/>
          <cell r="I1476"/>
          <cell r="J1476"/>
          <cell r="K1476"/>
          <cell r="L1476"/>
          <cell r="M1476"/>
          <cell r="N1476"/>
          <cell r="O1476"/>
          <cell r="P1476"/>
          <cell r="Q1476"/>
          <cell r="R1476"/>
          <cell r="S1476"/>
          <cell r="T1476"/>
          <cell r="U1476"/>
          <cell r="V1476"/>
          <cell r="W1476"/>
          <cell r="X1476"/>
          <cell r="Y1476"/>
          <cell r="Z1476"/>
          <cell r="AA1476"/>
          <cell r="AB1476"/>
          <cell r="AC1476"/>
          <cell r="AD1476"/>
          <cell r="AE1476"/>
          <cell r="AF1476"/>
          <cell r="AG1476"/>
          <cell r="AH1476"/>
          <cell r="AI1476"/>
          <cell r="AJ1476"/>
          <cell r="AK1476"/>
          <cell r="AL1476"/>
          <cell r="AM1476"/>
          <cell r="AN1476"/>
          <cell r="AO1476"/>
          <cell r="AP1476"/>
          <cell r="AQ1476"/>
          <cell r="AR1476"/>
          <cell r="AS1476"/>
          <cell r="AT1476"/>
          <cell r="AU1476"/>
          <cell r="AV1476"/>
          <cell r="AW1476"/>
          <cell r="AX1476"/>
          <cell r="AY1476"/>
          <cell r="AZ1476"/>
        </row>
        <row r="1477">
          <cell r="A1477"/>
          <cell r="B1477"/>
          <cell r="C1477"/>
          <cell r="D1477"/>
          <cell r="E1477"/>
          <cell r="F1477"/>
          <cell r="G1477"/>
          <cell r="H1477"/>
          <cell r="I1477"/>
          <cell r="J1477"/>
          <cell r="K1477"/>
          <cell r="L1477"/>
          <cell r="M1477"/>
          <cell r="N1477"/>
          <cell r="O1477"/>
          <cell r="P1477"/>
          <cell r="Q1477"/>
          <cell r="R1477"/>
          <cell r="S1477"/>
          <cell r="T1477"/>
          <cell r="U1477"/>
          <cell r="V1477"/>
          <cell r="W1477"/>
          <cell r="X1477"/>
          <cell r="Y1477"/>
          <cell r="Z1477"/>
          <cell r="AA1477"/>
          <cell r="AB1477"/>
          <cell r="AC1477"/>
          <cell r="AD1477"/>
          <cell r="AE1477"/>
          <cell r="AF1477"/>
          <cell r="AG1477"/>
          <cell r="AH1477"/>
          <cell r="AI1477"/>
          <cell r="AJ1477"/>
          <cell r="AK1477"/>
          <cell r="AL1477"/>
          <cell r="AM1477"/>
          <cell r="AN1477"/>
          <cell r="AO1477"/>
          <cell r="AP1477"/>
          <cell r="AQ1477"/>
          <cell r="AR1477"/>
          <cell r="AS1477"/>
          <cell r="AT1477"/>
          <cell r="AU1477"/>
          <cell r="AV1477"/>
          <cell r="AW1477"/>
          <cell r="AX1477"/>
          <cell r="AY1477"/>
          <cell r="AZ1477"/>
        </row>
        <row r="1478">
          <cell r="A1478"/>
          <cell r="B1478"/>
          <cell r="C1478"/>
          <cell r="D1478"/>
          <cell r="E1478"/>
          <cell r="F1478"/>
          <cell r="G1478"/>
          <cell r="H1478"/>
          <cell r="I1478"/>
          <cell r="J1478"/>
          <cell r="K1478"/>
          <cell r="L1478"/>
          <cell r="M1478"/>
          <cell r="N1478"/>
          <cell r="O1478"/>
          <cell r="P1478"/>
          <cell r="Q1478"/>
          <cell r="R1478"/>
          <cell r="S1478"/>
          <cell r="T1478"/>
          <cell r="U1478"/>
          <cell r="V1478"/>
          <cell r="W1478"/>
          <cell r="X1478"/>
          <cell r="Y1478"/>
          <cell r="Z1478"/>
          <cell r="AA1478"/>
          <cell r="AB1478"/>
          <cell r="AC1478"/>
          <cell r="AD1478"/>
          <cell r="AE1478"/>
          <cell r="AF1478"/>
          <cell r="AG1478"/>
          <cell r="AH1478"/>
          <cell r="AI1478"/>
          <cell r="AJ1478"/>
          <cell r="AK1478"/>
          <cell r="AL1478"/>
          <cell r="AM1478"/>
          <cell r="AN1478"/>
          <cell r="AO1478"/>
          <cell r="AP1478"/>
          <cell r="AQ1478"/>
          <cell r="AR1478"/>
          <cell r="AS1478"/>
          <cell r="AT1478"/>
          <cell r="AU1478"/>
          <cell r="AV1478"/>
          <cell r="AW1478"/>
          <cell r="AX1478"/>
          <cell r="AY1478"/>
          <cell r="AZ1478"/>
        </row>
        <row r="1479">
          <cell r="A1479"/>
          <cell r="B1479"/>
          <cell r="C1479"/>
          <cell r="D1479"/>
          <cell r="E1479"/>
          <cell r="F1479"/>
          <cell r="G1479"/>
          <cell r="H1479"/>
          <cell r="I1479"/>
          <cell r="J1479"/>
          <cell r="K1479"/>
          <cell r="L1479"/>
          <cell r="M1479"/>
          <cell r="N1479"/>
          <cell r="O1479"/>
          <cell r="P1479"/>
          <cell r="Q1479"/>
          <cell r="R1479"/>
          <cell r="S1479"/>
          <cell r="T1479"/>
          <cell r="U1479"/>
          <cell r="V1479"/>
          <cell r="W1479"/>
          <cell r="X1479"/>
          <cell r="Y1479"/>
          <cell r="Z1479"/>
          <cell r="AA1479"/>
          <cell r="AB1479"/>
          <cell r="AC1479"/>
          <cell r="AD1479"/>
          <cell r="AE1479"/>
          <cell r="AF1479"/>
          <cell r="AG1479"/>
          <cell r="AH1479"/>
          <cell r="AI1479"/>
          <cell r="AJ1479"/>
          <cell r="AK1479"/>
          <cell r="AL1479"/>
          <cell r="AM1479"/>
          <cell r="AN1479"/>
          <cell r="AO1479"/>
          <cell r="AP1479"/>
          <cell r="AQ1479"/>
          <cell r="AR1479"/>
          <cell r="AS1479"/>
          <cell r="AT1479"/>
          <cell r="AU1479"/>
          <cell r="AV1479"/>
          <cell r="AW1479"/>
          <cell r="AX1479"/>
          <cell r="AY1479"/>
          <cell r="AZ1479"/>
        </row>
        <row r="1480">
          <cell r="A1480"/>
          <cell r="B1480"/>
          <cell r="C1480"/>
          <cell r="D1480"/>
          <cell r="E1480"/>
          <cell r="F1480"/>
          <cell r="G1480"/>
          <cell r="H1480"/>
          <cell r="I1480"/>
          <cell r="J1480"/>
          <cell r="K1480"/>
          <cell r="L1480"/>
          <cell r="M1480"/>
          <cell r="N1480"/>
          <cell r="O1480"/>
          <cell r="P1480"/>
          <cell r="Q1480"/>
          <cell r="R1480"/>
          <cell r="S1480"/>
          <cell r="T1480"/>
          <cell r="U1480"/>
          <cell r="V1480"/>
          <cell r="W1480"/>
          <cell r="X1480"/>
          <cell r="Y1480"/>
          <cell r="Z1480"/>
          <cell r="AA1480"/>
          <cell r="AB1480"/>
          <cell r="AC1480"/>
          <cell r="AD1480"/>
          <cell r="AE1480"/>
          <cell r="AF1480"/>
          <cell r="AG1480"/>
          <cell r="AH1480"/>
          <cell r="AI1480"/>
          <cell r="AJ1480"/>
          <cell r="AK1480"/>
          <cell r="AL1480"/>
          <cell r="AM1480"/>
          <cell r="AN1480"/>
          <cell r="AO1480"/>
          <cell r="AP1480"/>
          <cell r="AQ1480"/>
          <cell r="AR1480"/>
          <cell r="AS1480"/>
          <cell r="AT1480"/>
          <cell r="AU1480"/>
          <cell r="AV1480"/>
          <cell r="AW1480"/>
          <cell r="AX1480"/>
          <cell r="AY1480"/>
          <cell r="AZ1480"/>
        </row>
        <row r="1481">
          <cell r="A1481"/>
          <cell r="B1481"/>
          <cell r="C1481"/>
          <cell r="D1481"/>
          <cell r="E1481"/>
          <cell r="F1481"/>
          <cell r="G1481"/>
          <cell r="H1481"/>
          <cell r="I1481"/>
          <cell r="J1481"/>
          <cell r="K1481"/>
          <cell r="L1481"/>
          <cell r="M1481"/>
          <cell r="N1481"/>
          <cell r="O1481"/>
          <cell r="P1481"/>
          <cell r="Q1481"/>
          <cell r="R1481"/>
          <cell r="S1481"/>
          <cell r="T1481"/>
          <cell r="U1481"/>
          <cell r="V1481"/>
          <cell r="W1481"/>
          <cell r="X1481"/>
          <cell r="Y1481"/>
          <cell r="Z1481"/>
          <cell r="AA1481"/>
          <cell r="AB1481"/>
          <cell r="AC1481"/>
          <cell r="AD1481"/>
          <cell r="AE1481"/>
          <cell r="AF1481"/>
          <cell r="AG1481"/>
          <cell r="AH1481"/>
          <cell r="AI1481"/>
          <cell r="AJ1481"/>
          <cell r="AK1481"/>
          <cell r="AL1481"/>
          <cell r="AM1481"/>
          <cell r="AN1481"/>
          <cell r="AO1481"/>
          <cell r="AP1481"/>
          <cell r="AQ1481"/>
          <cell r="AR1481"/>
          <cell r="AS1481"/>
          <cell r="AT1481"/>
          <cell r="AU1481"/>
          <cell r="AV1481"/>
          <cell r="AW1481"/>
          <cell r="AX1481"/>
          <cell r="AY1481"/>
          <cell r="AZ1481"/>
        </row>
        <row r="1482">
          <cell r="A1482"/>
          <cell r="B1482"/>
          <cell r="C1482"/>
          <cell r="D1482"/>
          <cell r="E1482"/>
          <cell r="F1482"/>
          <cell r="G1482"/>
          <cell r="H1482"/>
          <cell r="I1482"/>
          <cell r="J1482"/>
          <cell r="K1482"/>
          <cell r="L1482"/>
          <cell r="M1482"/>
          <cell r="N1482"/>
          <cell r="O1482"/>
          <cell r="P1482"/>
          <cell r="Q1482"/>
          <cell r="R1482"/>
          <cell r="S1482"/>
          <cell r="T1482"/>
          <cell r="U1482"/>
          <cell r="V1482"/>
          <cell r="W1482"/>
          <cell r="X1482"/>
          <cell r="Y1482"/>
          <cell r="Z1482"/>
          <cell r="AA1482"/>
          <cell r="AB1482"/>
          <cell r="AC1482"/>
          <cell r="AD1482"/>
          <cell r="AE1482"/>
          <cell r="AF1482"/>
          <cell r="AG1482"/>
          <cell r="AH1482"/>
          <cell r="AI1482"/>
          <cell r="AJ1482"/>
          <cell r="AK1482"/>
          <cell r="AL1482"/>
          <cell r="AM1482"/>
          <cell r="AN1482"/>
          <cell r="AO1482"/>
          <cell r="AP1482"/>
          <cell r="AQ1482"/>
          <cell r="AR1482"/>
          <cell r="AS1482"/>
          <cell r="AT1482"/>
          <cell r="AU1482"/>
          <cell r="AV1482"/>
          <cell r="AW1482"/>
          <cell r="AX1482"/>
          <cell r="AY1482"/>
          <cell r="AZ1482"/>
        </row>
        <row r="1483">
          <cell r="A1483"/>
          <cell r="B1483"/>
          <cell r="C1483"/>
          <cell r="D1483"/>
          <cell r="E1483"/>
          <cell r="F1483"/>
          <cell r="G1483"/>
          <cell r="H1483"/>
          <cell r="I1483"/>
          <cell r="J1483"/>
          <cell r="K1483"/>
          <cell r="L1483"/>
          <cell r="M1483"/>
          <cell r="N1483"/>
          <cell r="O1483"/>
          <cell r="P1483"/>
          <cell r="Q1483"/>
          <cell r="R1483"/>
          <cell r="S1483"/>
          <cell r="T1483"/>
          <cell r="U1483"/>
          <cell r="V1483"/>
          <cell r="W1483"/>
          <cell r="X1483"/>
          <cell r="Y1483"/>
          <cell r="Z1483"/>
          <cell r="AA1483"/>
          <cell r="AB1483"/>
          <cell r="AC1483"/>
          <cell r="AD1483"/>
          <cell r="AE1483"/>
          <cell r="AF1483"/>
          <cell r="AG1483"/>
          <cell r="AH1483"/>
          <cell r="AI1483"/>
          <cell r="AJ1483"/>
          <cell r="AK1483"/>
          <cell r="AL1483"/>
          <cell r="AM1483"/>
          <cell r="AN1483"/>
          <cell r="AO1483"/>
          <cell r="AP1483"/>
          <cell r="AQ1483"/>
          <cell r="AR1483"/>
          <cell r="AS1483"/>
          <cell r="AT1483"/>
          <cell r="AU1483"/>
          <cell r="AV1483"/>
          <cell r="AW1483"/>
          <cell r="AX1483"/>
          <cell r="AY1483"/>
          <cell r="AZ1483"/>
        </row>
        <row r="1484">
          <cell r="A1484"/>
          <cell r="B1484"/>
          <cell r="C1484"/>
          <cell r="D1484"/>
          <cell r="E1484"/>
          <cell r="F1484"/>
          <cell r="G1484"/>
          <cell r="H1484"/>
          <cell r="I1484"/>
          <cell r="J1484"/>
          <cell r="K1484"/>
          <cell r="L1484"/>
          <cell r="M1484"/>
          <cell r="N1484"/>
          <cell r="O1484"/>
          <cell r="P1484"/>
          <cell r="Q1484"/>
          <cell r="R1484"/>
          <cell r="S1484"/>
          <cell r="T1484"/>
          <cell r="U1484"/>
          <cell r="V1484"/>
          <cell r="W1484"/>
          <cell r="X1484"/>
          <cell r="Y1484"/>
          <cell r="Z1484"/>
          <cell r="AA1484"/>
          <cell r="AB1484"/>
          <cell r="AC1484"/>
          <cell r="AD1484"/>
          <cell r="AE1484"/>
          <cell r="AF1484"/>
          <cell r="AG1484"/>
          <cell r="AH1484"/>
          <cell r="AI1484"/>
          <cell r="AJ1484"/>
          <cell r="AK1484"/>
          <cell r="AL1484"/>
          <cell r="AM1484"/>
          <cell r="AN1484"/>
          <cell r="AO1484"/>
          <cell r="AP1484"/>
          <cell r="AQ1484"/>
          <cell r="AR1484"/>
          <cell r="AS1484"/>
          <cell r="AT1484"/>
          <cell r="AU1484"/>
          <cell r="AV1484"/>
          <cell r="AW1484"/>
          <cell r="AX1484"/>
          <cell r="AY1484"/>
          <cell r="AZ1484"/>
        </row>
        <row r="1485">
          <cell r="A1485"/>
          <cell r="B1485"/>
          <cell r="C1485"/>
          <cell r="D1485"/>
          <cell r="E1485"/>
          <cell r="F1485"/>
          <cell r="G1485"/>
          <cell r="H1485"/>
          <cell r="I1485"/>
          <cell r="J1485"/>
          <cell r="K1485"/>
          <cell r="L1485"/>
          <cell r="M1485"/>
          <cell r="N1485"/>
          <cell r="O1485"/>
          <cell r="P1485"/>
          <cell r="Q1485"/>
          <cell r="R1485"/>
          <cell r="S1485"/>
          <cell r="T1485"/>
          <cell r="U1485"/>
          <cell r="V1485"/>
          <cell r="W1485"/>
          <cell r="X1485"/>
          <cell r="Y1485"/>
          <cell r="Z1485"/>
          <cell r="AA1485"/>
          <cell r="AB1485"/>
          <cell r="AC1485"/>
          <cell r="AD1485"/>
          <cell r="AE1485"/>
          <cell r="AF1485"/>
          <cell r="AG1485"/>
          <cell r="AH1485"/>
          <cell r="AI1485"/>
          <cell r="AJ1485"/>
          <cell r="AK1485"/>
          <cell r="AL1485"/>
          <cell r="AM1485"/>
          <cell r="AN1485"/>
          <cell r="AO1485"/>
          <cell r="AP1485"/>
          <cell r="AQ1485"/>
          <cell r="AR1485"/>
          <cell r="AS1485"/>
          <cell r="AT1485"/>
          <cell r="AU1485"/>
          <cell r="AV1485"/>
          <cell r="AW1485"/>
          <cell r="AX1485"/>
          <cell r="AY1485"/>
          <cell r="AZ1485"/>
        </row>
        <row r="1486">
          <cell r="A1486"/>
          <cell r="B1486"/>
          <cell r="C1486"/>
          <cell r="D1486"/>
          <cell r="E1486"/>
          <cell r="F1486"/>
          <cell r="G1486"/>
          <cell r="H1486"/>
          <cell r="I1486"/>
          <cell r="J1486"/>
          <cell r="K1486"/>
          <cell r="L1486"/>
          <cell r="M1486"/>
          <cell r="N1486"/>
          <cell r="O1486"/>
          <cell r="P1486"/>
          <cell r="Q1486"/>
          <cell r="R1486"/>
          <cell r="S1486"/>
          <cell r="T1486"/>
          <cell r="U1486"/>
          <cell r="V1486"/>
          <cell r="W1486"/>
          <cell r="X1486"/>
          <cell r="Y1486"/>
          <cell r="Z1486"/>
          <cell r="AA1486"/>
          <cell r="AB1486"/>
          <cell r="AC1486"/>
          <cell r="AD1486"/>
          <cell r="AE1486"/>
          <cell r="AF1486"/>
          <cell r="AG1486"/>
          <cell r="AH1486"/>
          <cell r="AI1486"/>
          <cell r="AJ1486"/>
          <cell r="AK1486"/>
          <cell r="AL1486"/>
          <cell r="AM1486"/>
          <cell r="AN1486"/>
          <cell r="AO1486"/>
          <cell r="AP1486"/>
          <cell r="AQ1486"/>
          <cell r="AR1486"/>
          <cell r="AS1486"/>
          <cell r="AT1486"/>
          <cell r="AU1486"/>
          <cell r="AV1486"/>
          <cell r="AW1486"/>
          <cell r="AX1486"/>
          <cell r="AY1486"/>
          <cell r="AZ1486"/>
        </row>
        <row r="1487">
          <cell r="A1487"/>
          <cell r="B1487"/>
          <cell r="C1487"/>
          <cell r="D1487"/>
          <cell r="E1487"/>
          <cell r="F1487"/>
          <cell r="G1487"/>
          <cell r="H1487"/>
          <cell r="I1487"/>
          <cell r="J1487"/>
          <cell r="K1487"/>
          <cell r="L1487"/>
          <cell r="M1487"/>
          <cell r="N1487"/>
          <cell r="O1487"/>
          <cell r="P1487"/>
          <cell r="Q1487"/>
          <cell r="R1487"/>
          <cell r="S1487"/>
          <cell r="T1487"/>
          <cell r="U1487"/>
          <cell r="V1487"/>
          <cell r="W1487"/>
          <cell r="X1487"/>
          <cell r="Y1487"/>
          <cell r="Z1487"/>
          <cell r="AA1487"/>
          <cell r="AB1487"/>
          <cell r="AC1487"/>
          <cell r="AD1487"/>
          <cell r="AE1487"/>
          <cell r="AF1487"/>
          <cell r="AG1487"/>
          <cell r="AH1487"/>
          <cell r="AI1487"/>
          <cell r="AJ1487"/>
          <cell r="AK1487"/>
          <cell r="AL1487"/>
          <cell r="AM1487"/>
          <cell r="AN1487"/>
          <cell r="AO1487"/>
          <cell r="AP1487"/>
          <cell r="AQ1487"/>
          <cell r="AR1487"/>
          <cell r="AS1487"/>
          <cell r="AT1487"/>
          <cell r="AU1487"/>
          <cell r="AV1487"/>
          <cell r="AW1487"/>
          <cell r="AX1487"/>
          <cell r="AY1487"/>
          <cell r="AZ1487"/>
        </row>
        <row r="1488">
          <cell r="A1488"/>
          <cell r="B1488"/>
          <cell r="C1488"/>
          <cell r="D1488"/>
          <cell r="E1488"/>
          <cell r="F1488"/>
          <cell r="G1488"/>
          <cell r="H1488"/>
          <cell r="I1488"/>
          <cell r="J1488"/>
          <cell r="K1488"/>
          <cell r="L1488"/>
          <cell r="M1488"/>
          <cell r="N1488"/>
          <cell r="O1488"/>
          <cell r="P1488"/>
          <cell r="Q1488"/>
          <cell r="R1488"/>
          <cell r="S1488"/>
          <cell r="T1488"/>
          <cell r="U1488"/>
          <cell r="V1488"/>
          <cell r="W1488"/>
          <cell r="X1488"/>
          <cell r="Y1488"/>
          <cell r="Z1488"/>
          <cell r="AA1488"/>
          <cell r="AB1488"/>
          <cell r="AC1488"/>
          <cell r="AD1488"/>
          <cell r="AE1488"/>
          <cell r="AF1488"/>
          <cell r="AG1488"/>
          <cell r="AH1488"/>
          <cell r="AI1488"/>
          <cell r="AJ1488"/>
          <cell r="AK1488"/>
          <cell r="AL1488"/>
          <cell r="AM1488"/>
          <cell r="AN1488"/>
          <cell r="AO1488"/>
          <cell r="AP1488"/>
          <cell r="AQ1488"/>
          <cell r="AR1488"/>
          <cell r="AS1488"/>
          <cell r="AT1488"/>
          <cell r="AU1488"/>
          <cell r="AV1488"/>
          <cell r="AW1488"/>
          <cell r="AX1488"/>
          <cell r="AY1488"/>
          <cell r="AZ1488"/>
        </row>
        <row r="1489">
          <cell r="A1489"/>
          <cell r="B1489"/>
          <cell r="C1489"/>
          <cell r="D1489"/>
          <cell r="E1489"/>
          <cell r="F1489"/>
          <cell r="G1489"/>
          <cell r="H1489"/>
          <cell r="I1489"/>
          <cell r="J1489"/>
          <cell r="K1489"/>
          <cell r="L1489"/>
          <cell r="M1489"/>
          <cell r="N1489"/>
          <cell r="O1489"/>
          <cell r="P1489"/>
          <cell r="Q1489"/>
          <cell r="R1489"/>
          <cell r="S1489"/>
          <cell r="T1489"/>
          <cell r="U1489"/>
          <cell r="V1489"/>
          <cell r="W1489"/>
          <cell r="X1489"/>
          <cell r="Y1489"/>
          <cell r="Z1489"/>
          <cell r="AA1489"/>
          <cell r="AB1489"/>
          <cell r="AC1489"/>
          <cell r="AD1489"/>
          <cell r="AE1489"/>
          <cell r="AF1489"/>
          <cell r="AG1489"/>
          <cell r="AH1489"/>
          <cell r="AI1489"/>
          <cell r="AJ1489"/>
          <cell r="AK1489"/>
          <cell r="AL1489"/>
          <cell r="AM1489"/>
          <cell r="AN1489"/>
          <cell r="AO1489"/>
          <cell r="AP1489"/>
          <cell r="AQ1489"/>
          <cell r="AR1489"/>
          <cell r="AS1489"/>
          <cell r="AT1489"/>
          <cell r="AU1489"/>
          <cell r="AV1489"/>
          <cell r="AW1489"/>
          <cell r="AX1489"/>
          <cell r="AY1489"/>
          <cell r="AZ1489"/>
        </row>
        <row r="1490">
          <cell r="A1490"/>
          <cell r="B1490"/>
          <cell r="C1490"/>
          <cell r="D1490"/>
          <cell r="E1490"/>
          <cell r="F1490"/>
          <cell r="G1490"/>
          <cell r="H1490"/>
          <cell r="I1490"/>
          <cell r="J1490"/>
          <cell r="K1490"/>
          <cell r="L1490"/>
          <cell r="M1490"/>
          <cell r="N1490"/>
          <cell r="O1490"/>
          <cell r="P1490"/>
          <cell r="Q1490"/>
          <cell r="R1490"/>
          <cell r="S1490"/>
          <cell r="T1490"/>
          <cell r="U1490"/>
          <cell r="V1490"/>
          <cell r="W1490"/>
          <cell r="X1490"/>
          <cell r="Y1490"/>
          <cell r="Z1490"/>
          <cell r="AA1490"/>
          <cell r="AB1490"/>
          <cell r="AC1490"/>
          <cell r="AD1490"/>
          <cell r="AE1490"/>
          <cell r="AF1490"/>
          <cell r="AG1490"/>
          <cell r="AH1490"/>
          <cell r="AI1490"/>
          <cell r="AJ1490"/>
          <cell r="AK1490"/>
          <cell r="AL1490"/>
          <cell r="AM1490"/>
          <cell r="AN1490"/>
          <cell r="AO1490"/>
          <cell r="AP1490"/>
          <cell r="AQ1490"/>
          <cell r="AR1490"/>
          <cell r="AS1490"/>
          <cell r="AT1490"/>
          <cell r="AU1490"/>
          <cell r="AV1490"/>
          <cell r="AW1490"/>
          <cell r="AX1490"/>
          <cell r="AY1490"/>
          <cell r="AZ1490"/>
        </row>
        <row r="1491">
          <cell r="A1491"/>
          <cell r="B1491"/>
          <cell r="C1491"/>
          <cell r="D1491"/>
          <cell r="E1491"/>
          <cell r="F1491"/>
          <cell r="G1491"/>
          <cell r="H1491"/>
          <cell r="I1491"/>
          <cell r="J1491"/>
          <cell r="K1491"/>
          <cell r="L1491"/>
          <cell r="M1491"/>
          <cell r="N1491"/>
          <cell r="O1491"/>
          <cell r="P1491"/>
          <cell r="Q1491"/>
          <cell r="R1491"/>
          <cell r="S1491"/>
          <cell r="T1491"/>
          <cell r="U1491"/>
          <cell r="V1491"/>
          <cell r="W1491"/>
          <cell r="X1491"/>
          <cell r="Y1491"/>
          <cell r="Z1491"/>
          <cell r="AA1491"/>
          <cell r="AB1491"/>
          <cell r="AC1491"/>
          <cell r="AD1491"/>
          <cell r="AE1491"/>
          <cell r="AF1491"/>
          <cell r="AG1491"/>
          <cell r="AH1491"/>
          <cell r="AI1491"/>
          <cell r="AJ1491"/>
          <cell r="AK1491"/>
          <cell r="AL1491"/>
          <cell r="AM1491"/>
          <cell r="AN1491"/>
          <cell r="AO1491"/>
          <cell r="AP1491"/>
          <cell r="AQ1491"/>
          <cell r="AR1491"/>
          <cell r="AS1491"/>
          <cell r="AT1491"/>
          <cell r="AU1491"/>
          <cell r="AV1491"/>
          <cell r="AW1491"/>
          <cell r="AX1491"/>
          <cell r="AY1491"/>
          <cell r="AZ1491"/>
        </row>
        <row r="1492">
          <cell r="A1492"/>
          <cell r="B1492"/>
          <cell r="C1492"/>
          <cell r="D1492"/>
          <cell r="E1492"/>
          <cell r="F1492"/>
          <cell r="G1492"/>
          <cell r="H1492"/>
          <cell r="I1492"/>
          <cell r="J1492"/>
          <cell r="K1492"/>
          <cell r="L1492"/>
          <cell r="M1492"/>
          <cell r="N1492"/>
          <cell r="O1492"/>
          <cell r="P1492"/>
          <cell r="Q1492"/>
          <cell r="R1492"/>
          <cell r="S1492"/>
          <cell r="T1492"/>
          <cell r="U1492"/>
          <cell r="V1492"/>
          <cell r="W1492"/>
          <cell r="X1492"/>
          <cell r="Y1492"/>
          <cell r="Z1492"/>
          <cell r="AA1492"/>
          <cell r="AB1492"/>
          <cell r="AC1492"/>
          <cell r="AD1492"/>
          <cell r="AE1492"/>
          <cell r="AF1492"/>
          <cell r="AG1492"/>
          <cell r="AH1492"/>
          <cell r="AI1492"/>
          <cell r="AJ1492"/>
          <cell r="AK1492"/>
          <cell r="AL1492"/>
          <cell r="AM1492"/>
          <cell r="AN1492"/>
          <cell r="AO1492"/>
          <cell r="AP1492"/>
          <cell r="AQ1492"/>
          <cell r="AR1492"/>
          <cell r="AS1492"/>
          <cell r="AT1492"/>
          <cell r="AU1492"/>
          <cell r="AV1492"/>
          <cell r="AW1492"/>
          <cell r="AX1492"/>
          <cell r="AY1492"/>
          <cell r="AZ1492"/>
        </row>
        <row r="1493">
          <cell r="A1493"/>
          <cell r="B1493"/>
          <cell r="C1493"/>
          <cell r="D1493"/>
          <cell r="E1493"/>
          <cell r="F1493"/>
          <cell r="G1493"/>
          <cell r="H1493"/>
          <cell r="I1493"/>
          <cell r="J1493"/>
          <cell r="K1493"/>
          <cell r="L1493"/>
          <cell r="M1493"/>
          <cell r="N1493"/>
          <cell r="O1493"/>
          <cell r="P1493"/>
          <cell r="Q1493"/>
          <cell r="R1493"/>
          <cell r="S1493"/>
          <cell r="T1493"/>
          <cell r="U1493"/>
          <cell r="V1493"/>
          <cell r="W1493"/>
          <cell r="X1493"/>
          <cell r="Y1493"/>
          <cell r="Z1493"/>
          <cell r="AA1493"/>
          <cell r="AB1493"/>
          <cell r="AC1493"/>
          <cell r="AD1493"/>
          <cell r="AE1493"/>
          <cell r="AF1493"/>
          <cell r="AG1493"/>
          <cell r="AH1493"/>
          <cell r="AI1493"/>
          <cell r="AJ1493"/>
          <cell r="AK1493"/>
          <cell r="AL1493"/>
          <cell r="AM1493"/>
          <cell r="AN1493"/>
          <cell r="AO1493"/>
          <cell r="AP1493"/>
          <cell r="AQ1493"/>
          <cell r="AR1493"/>
          <cell r="AS1493"/>
          <cell r="AT1493"/>
          <cell r="AU1493"/>
          <cell r="AV1493"/>
          <cell r="AW1493"/>
          <cell r="AX1493"/>
          <cell r="AY1493"/>
          <cell r="AZ1493"/>
        </row>
        <row r="1494">
          <cell r="A1494"/>
          <cell r="B1494"/>
          <cell r="C1494"/>
          <cell r="D1494"/>
          <cell r="E1494"/>
          <cell r="F1494"/>
          <cell r="G1494"/>
          <cell r="H1494"/>
          <cell r="I1494"/>
          <cell r="J1494"/>
          <cell r="K1494"/>
          <cell r="L1494"/>
          <cell r="M1494"/>
          <cell r="N1494"/>
          <cell r="O1494"/>
          <cell r="P1494"/>
          <cell r="Q1494"/>
          <cell r="R1494"/>
          <cell r="S1494"/>
          <cell r="T1494"/>
          <cell r="U1494"/>
          <cell r="V1494"/>
          <cell r="W1494"/>
          <cell r="X1494"/>
          <cell r="Y1494"/>
          <cell r="Z1494"/>
          <cell r="AA1494"/>
          <cell r="AB1494"/>
          <cell r="AC1494"/>
          <cell r="AD1494"/>
          <cell r="AE1494"/>
          <cell r="AF1494"/>
          <cell r="AG1494"/>
          <cell r="AH1494"/>
          <cell r="AI1494"/>
          <cell r="AJ1494"/>
          <cell r="AK1494"/>
          <cell r="AL1494"/>
          <cell r="AM1494"/>
          <cell r="AN1494"/>
          <cell r="AO1494"/>
          <cell r="AP1494"/>
          <cell r="AQ1494"/>
          <cell r="AR1494"/>
          <cell r="AS1494"/>
          <cell r="AT1494"/>
          <cell r="AU1494"/>
          <cell r="AV1494"/>
          <cell r="AW1494"/>
          <cell r="AX1494"/>
          <cell r="AY1494"/>
          <cell r="AZ1494"/>
        </row>
        <row r="1495">
          <cell r="A1495"/>
          <cell r="B1495"/>
          <cell r="C1495"/>
          <cell r="D1495"/>
          <cell r="E1495"/>
          <cell r="F1495"/>
          <cell r="G1495"/>
          <cell r="H1495"/>
          <cell r="I1495"/>
          <cell r="J1495"/>
          <cell r="K1495"/>
          <cell r="L1495"/>
          <cell r="M1495"/>
          <cell r="N1495"/>
          <cell r="O1495"/>
          <cell r="P1495"/>
          <cell r="Q1495"/>
          <cell r="R1495"/>
          <cell r="S1495"/>
          <cell r="T1495"/>
          <cell r="U1495"/>
          <cell r="V1495"/>
          <cell r="W1495"/>
          <cell r="X1495"/>
          <cell r="Y1495"/>
          <cell r="Z1495"/>
          <cell r="AA1495"/>
          <cell r="AB1495"/>
          <cell r="AC1495"/>
          <cell r="AD1495"/>
          <cell r="AE1495"/>
          <cell r="AF1495"/>
          <cell r="AG1495"/>
          <cell r="AH1495"/>
          <cell r="AI1495"/>
          <cell r="AJ1495"/>
          <cell r="AK1495"/>
          <cell r="AL1495"/>
          <cell r="AM1495"/>
          <cell r="AN1495"/>
          <cell r="AO1495"/>
          <cell r="AP1495"/>
          <cell r="AQ1495"/>
          <cell r="AR1495"/>
          <cell r="AS1495"/>
          <cell r="AT1495"/>
          <cell r="AU1495"/>
          <cell r="AV1495"/>
          <cell r="AW1495"/>
          <cell r="AX1495"/>
          <cell r="AY1495"/>
          <cell r="AZ1495"/>
        </row>
        <row r="1496">
          <cell r="A1496"/>
          <cell r="B1496"/>
          <cell r="C1496"/>
          <cell r="D1496"/>
          <cell r="E1496"/>
          <cell r="F1496"/>
          <cell r="G1496"/>
          <cell r="H1496"/>
          <cell r="I1496"/>
          <cell r="J1496"/>
          <cell r="K1496"/>
          <cell r="L1496"/>
          <cell r="M1496"/>
          <cell r="N1496"/>
          <cell r="O1496"/>
          <cell r="P1496"/>
          <cell r="Q1496"/>
          <cell r="R1496"/>
          <cell r="S1496"/>
          <cell r="T1496"/>
          <cell r="U1496"/>
          <cell r="V1496"/>
          <cell r="W1496"/>
          <cell r="X1496"/>
          <cell r="Y1496"/>
          <cell r="Z1496"/>
          <cell r="AA1496"/>
          <cell r="AB1496"/>
          <cell r="AC1496"/>
          <cell r="AD1496"/>
          <cell r="AE1496"/>
          <cell r="AF1496"/>
          <cell r="AG1496"/>
          <cell r="AH1496"/>
          <cell r="AI1496"/>
          <cell r="AJ1496"/>
          <cell r="AK1496"/>
          <cell r="AL1496"/>
          <cell r="AM1496"/>
          <cell r="AN1496"/>
          <cell r="AO1496"/>
          <cell r="AP1496"/>
          <cell r="AQ1496"/>
          <cell r="AR1496"/>
          <cell r="AS1496"/>
          <cell r="AT1496"/>
          <cell r="AU1496"/>
          <cell r="AV1496"/>
          <cell r="AW1496"/>
          <cell r="AX1496"/>
          <cell r="AY1496"/>
          <cell r="AZ1496"/>
        </row>
        <row r="1497">
          <cell r="A1497"/>
          <cell r="B1497"/>
          <cell r="C1497"/>
          <cell r="D1497"/>
          <cell r="E1497"/>
          <cell r="F1497"/>
          <cell r="G1497"/>
          <cell r="H1497"/>
          <cell r="I1497"/>
          <cell r="J1497"/>
          <cell r="K1497"/>
          <cell r="L1497"/>
          <cell r="M1497"/>
          <cell r="N1497"/>
          <cell r="O1497"/>
          <cell r="P1497"/>
          <cell r="Q1497"/>
          <cell r="R1497"/>
          <cell r="S1497"/>
          <cell r="T1497"/>
          <cell r="U1497"/>
          <cell r="V1497"/>
          <cell r="W1497"/>
          <cell r="X1497"/>
          <cell r="Y1497"/>
          <cell r="Z1497"/>
          <cell r="AA1497"/>
          <cell r="AB1497"/>
          <cell r="AC1497"/>
          <cell r="AD1497"/>
          <cell r="AE1497"/>
          <cell r="AF1497"/>
          <cell r="AG1497"/>
          <cell r="AH1497"/>
          <cell r="AI1497"/>
          <cell r="AJ1497"/>
          <cell r="AK1497"/>
          <cell r="AL1497"/>
          <cell r="AM1497"/>
          <cell r="AN1497"/>
          <cell r="AO1497"/>
          <cell r="AP1497"/>
          <cell r="AQ1497"/>
          <cell r="AR1497"/>
          <cell r="AS1497"/>
          <cell r="AT1497"/>
          <cell r="AU1497"/>
          <cell r="AV1497"/>
          <cell r="AW1497"/>
          <cell r="AX1497"/>
          <cell r="AY1497"/>
          <cell r="AZ1497"/>
        </row>
        <row r="1498">
          <cell r="A1498"/>
          <cell r="B1498"/>
          <cell r="C1498"/>
          <cell r="D1498"/>
          <cell r="E1498"/>
          <cell r="F1498"/>
          <cell r="G1498"/>
          <cell r="H1498"/>
          <cell r="I1498"/>
          <cell r="J1498"/>
          <cell r="K1498"/>
          <cell r="L1498"/>
          <cell r="M1498"/>
          <cell r="N1498"/>
          <cell r="O1498"/>
          <cell r="P1498"/>
          <cell r="Q1498"/>
          <cell r="R1498"/>
          <cell r="S1498"/>
          <cell r="T1498"/>
          <cell r="U1498"/>
          <cell r="V1498"/>
          <cell r="W1498"/>
          <cell r="X1498"/>
          <cell r="Y1498"/>
          <cell r="Z1498"/>
          <cell r="AA1498"/>
          <cell r="AB1498"/>
          <cell r="AC1498"/>
          <cell r="AD1498"/>
          <cell r="AE1498"/>
          <cell r="AF1498"/>
          <cell r="AG1498"/>
          <cell r="AH1498"/>
          <cell r="AI1498"/>
          <cell r="AJ1498"/>
          <cell r="AK1498"/>
          <cell r="AL1498"/>
          <cell r="AM1498"/>
          <cell r="AN1498"/>
          <cell r="AO1498"/>
          <cell r="AP1498"/>
          <cell r="AQ1498"/>
          <cell r="AR1498"/>
          <cell r="AS1498"/>
          <cell r="AT1498"/>
          <cell r="AU1498"/>
          <cell r="AV1498"/>
          <cell r="AW1498"/>
          <cell r="AX1498"/>
          <cell r="AY1498"/>
          <cell r="AZ1498"/>
        </row>
        <row r="1499">
          <cell r="A1499"/>
          <cell r="B1499"/>
          <cell r="C1499"/>
          <cell r="D1499"/>
          <cell r="E1499"/>
          <cell r="F1499"/>
          <cell r="G1499"/>
          <cell r="H1499"/>
          <cell r="I1499"/>
          <cell r="J1499"/>
          <cell r="K1499"/>
          <cell r="L1499"/>
          <cell r="M1499"/>
          <cell r="N1499"/>
          <cell r="O1499"/>
          <cell r="P1499"/>
          <cell r="Q1499"/>
          <cell r="R1499"/>
          <cell r="S1499"/>
          <cell r="T1499"/>
          <cell r="U1499"/>
          <cell r="V1499"/>
          <cell r="W1499"/>
          <cell r="X1499"/>
          <cell r="Y1499"/>
          <cell r="Z1499"/>
          <cell r="AA1499"/>
          <cell r="AB1499"/>
          <cell r="AC1499"/>
          <cell r="AD1499"/>
          <cell r="AE1499"/>
          <cell r="AF1499"/>
          <cell r="AG1499"/>
          <cell r="AH1499"/>
          <cell r="AI1499"/>
          <cell r="AJ1499"/>
          <cell r="AK1499"/>
          <cell r="AL1499"/>
          <cell r="AM1499"/>
          <cell r="AN1499"/>
          <cell r="AO1499"/>
          <cell r="AP1499"/>
          <cell r="AQ1499"/>
          <cell r="AR1499"/>
          <cell r="AS1499"/>
          <cell r="AT1499"/>
          <cell r="AU1499"/>
          <cell r="AV1499"/>
          <cell r="AW1499"/>
          <cell r="AX1499"/>
          <cell r="AY1499"/>
          <cell r="AZ1499"/>
        </row>
        <row r="1500">
          <cell r="A1500"/>
          <cell r="B1500"/>
          <cell r="C1500"/>
          <cell r="D1500"/>
          <cell r="E1500"/>
          <cell r="F1500"/>
          <cell r="G1500"/>
          <cell r="H1500"/>
          <cell r="I1500"/>
          <cell r="J1500"/>
          <cell r="K1500"/>
          <cell r="L1500"/>
          <cell r="M1500"/>
          <cell r="N1500"/>
          <cell r="O1500"/>
          <cell r="P1500"/>
          <cell r="Q1500"/>
          <cell r="R1500"/>
          <cell r="S1500"/>
          <cell r="T1500"/>
          <cell r="U1500"/>
          <cell r="V1500"/>
          <cell r="W1500"/>
          <cell r="X1500"/>
          <cell r="Y1500"/>
          <cell r="Z1500"/>
          <cell r="AA1500"/>
          <cell r="AB1500"/>
          <cell r="AC1500"/>
          <cell r="AD1500"/>
          <cell r="AE1500"/>
          <cell r="AF1500"/>
          <cell r="AG1500"/>
          <cell r="AH1500"/>
          <cell r="AI1500"/>
          <cell r="AJ1500"/>
          <cell r="AK1500"/>
          <cell r="AL1500"/>
          <cell r="AM1500"/>
          <cell r="AN1500"/>
          <cell r="AO1500"/>
          <cell r="AP1500"/>
          <cell r="AQ1500"/>
          <cell r="AR1500"/>
          <cell r="AS1500"/>
          <cell r="AT1500"/>
          <cell r="AU1500"/>
          <cell r="AV1500"/>
          <cell r="AW1500"/>
          <cell r="AX1500"/>
          <cell r="AY1500"/>
          <cell r="AZ1500"/>
        </row>
        <row r="1501">
          <cell r="A1501"/>
          <cell r="B1501"/>
          <cell r="C1501"/>
          <cell r="D1501"/>
          <cell r="E1501"/>
          <cell r="F1501"/>
          <cell r="G1501"/>
          <cell r="H1501"/>
          <cell r="I1501"/>
          <cell r="J1501"/>
          <cell r="K1501"/>
          <cell r="L1501"/>
          <cell r="M1501"/>
          <cell r="N1501"/>
          <cell r="O1501"/>
          <cell r="P1501"/>
          <cell r="Q1501"/>
          <cell r="R1501"/>
          <cell r="S1501"/>
          <cell r="T1501"/>
          <cell r="U1501"/>
          <cell r="V1501"/>
          <cell r="W1501"/>
          <cell r="X1501"/>
          <cell r="Y1501"/>
          <cell r="Z1501"/>
          <cell r="AA1501"/>
          <cell r="AB1501"/>
          <cell r="AC1501"/>
          <cell r="AD1501"/>
          <cell r="AE1501"/>
          <cell r="AF1501"/>
          <cell r="AG1501"/>
          <cell r="AH1501"/>
          <cell r="AI1501"/>
          <cell r="AJ1501"/>
          <cell r="AK1501"/>
          <cell r="AL1501"/>
          <cell r="AM1501"/>
          <cell r="AN1501"/>
          <cell r="AO1501"/>
          <cell r="AP1501"/>
          <cell r="AQ1501"/>
          <cell r="AR1501"/>
          <cell r="AS1501"/>
          <cell r="AT1501"/>
          <cell r="AU1501"/>
          <cell r="AV1501"/>
          <cell r="AW1501"/>
          <cell r="AX1501"/>
          <cell r="AY1501"/>
          <cell r="AZ1501"/>
        </row>
        <row r="1502">
          <cell r="A1502"/>
          <cell r="B1502"/>
          <cell r="C1502"/>
          <cell r="D1502"/>
          <cell r="E1502"/>
          <cell r="F1502"/>
          <cell r="G1502"/>
          <cell r="H1502"/>
          <cell r="I1502"/>
          <cell r="J1502"/>
          <cell r="K1502"/>
          <cell r="L1502"/>
          <cell r="M1502"/>
          <cell r="N1502"/>
          <cell r="O1502"/>
          <cell r="P1502"/>
          <cell r="Q1502"/>
          <cell r="R1502"/>
          <cell r="S1502"/>
          <cell r="T1502"/>
          <cell r="U1502"/>
          <cell r="V1502"/>
          <cell r="W1502"/>
          <cell r="X1502"/>
          <cell r="Y1502"/>
          <cell r="Z1502"/>
          <cell r="AA1502"/>
          <cell r="AB1502"/>
          <cell r="AC1502"/>
          <cell r="AD1502"/>
          <cell r="AE1502"/>
          <cell r="AF1502"/>
          <cell r="AG1502"/>
          <cell r="AH1502"/>
          <cell r="AI1502"/>
          <cell r="AJ1502"/>
          <cell r="AK1502"/>
          <cell r="AL1502"/>
          <cell r="AM1502"/>
          <cell r="AN1502"/>
          <cell r="AO1502"/>
          <cell r="AP1502"/>
          <cell r="AQ1502"/>
          <cell r="AR1502"/>
          <cell r="AS1502"/>
          <cell r="AT1502"/>
          <cell r="AU1502"/>
          <cell r="AV1502"/>
          <cell r="AW1502"/>
          <cell r="AX1502"/>
          <cell r="AY1502"/>
          <cell r="AZ1502"/>
        </row>
        <row r="1503">
          <cell r="A1503"/>
          <cell r="B1503"/>
          <cell r="C1503"/>
          <cell r="D1503"/>
          <cell r="E1503"/>
          <cell r="F1503"/>
          <cell r="G1503"/>
          <cell r="H1503"/>
          <cell r="I1503"/>
          <cell r="J1503"/>
          <cell r="K1503"/>
          <cell r="L1503"/>
          <cell r="M1503"/>
          <cell r="N1503"/>
          <cell r="O1503"/>
          <cell r="P1503"/>
          <cell r="Q1503"/>
          <cell r="R1503"/>
          <cell r="S1503"/>
          <cell r="T1503"/>
          <cell r="U1503"/>
          <cell r="V1503"/>
          <cell r="W1503"/>
          <cell r="X1503"/>
          <cell r="Y1503"/>
          <cell r="Z1503"/>
          <cell r="AA1503"/>
          <cell r="AB1503"/>
          <cell r="AC1503"/>
          <cell r="AD1503"/>
          <cell r="AE1503"/>
          <cell r="AF1503"/>
          <cell r="AG1503"/>
          <cell r="AH1503"/>
          <cell r="AI1503"/>
          <cell r="AJ1503"/>
          <cell r="AK1503"/>
          <cell r="AL1503"/>
          <cell r="AM1503"/>
          <cell r="AN1503"/>
          <cell r="AO1503"/>
          <cell r="AP1503"/>
          <cell r="AQ1503"/>
          <cell r="AR1503"/>
          <cell r="AS1503"/>
          <cell r="AT1503"/>
          <cell r="AU1503"/>
          <cell r="AV1503"/>
          <cell r="AW1503"/>
          <cell r="AX1503"/>
          <cell r="AY1503"/>
          <cell r="AZ1503"/>
        </row>
        <row r="1504">
          <cell r="A1504"/>
          <cell r="B1504"/>
          <cell r="C1504"/>
          <cell r="D1504"/>
          <cell r="E1504"/>
          <cell r="F1504"/>
          <cell r="G1504"/>
          <cell r="H1504"/>
          <cell r="I1504"/>
          <cell r="J1504"/>
          <cell r="K1504"/>
          <cell r="L1504"/>
          <cell r="M1504"/>
          <cell r="N1504"/>
          <cell r="O1504"/>
          <cell r="P1504"/>
          <cell r="Q1504"/>
          <cell r="R1504"/>
          <cell r="S1504"/>
          <cell r="T1504"/>
          <cell r="U1504"/>
          <cell r="V1504"/>
          <cell r="W1504"/>
          <cell r="X1504"/>
          <cell r="Y1504"/>
          <cell r="Z1504"/>
          <cell r="AA1504"/>
          <cell r="AB1504"/>
          <cell r="AC1504"/>
          <cell r="AD1504"/>
          <cell r="AE1504"/>
          <cell r="AF1504"/>
          <cell r="AG1504"/>
          <cell r="AH1504"/>
          <cell r="AI1504"/>
          <cell r="AJ1504"/>
          <cell r="AK1504"/>
          <cell r="AL1504"/>
          <cell r="AM1504"/>
          <cell r="AN1504"/>
          <cell r="AO1504"/>
          <cell r="AP1504"/>
          <cell r="AQ1504"/>
          <cell r="AR1504"/>
          <cell r="AS1504"/>
          <cell r="AT1504"/>
          <cell r="AU1504"/>
          <cell r="AV1504"/>
          <cell r="AW1504"/>
          <cell r="AX1504"/>
          <cell r="AY1504"/>
          <cell r="AZ1504"/>
        </row>
        <row r="1505">
          <cell r="A1505"/>
          <cell r="B1505"/>
          <cell r="C1505"/>
          <cell r="D1505"/>
          <cell r="E1505"/>
          <cell r="F1505"/>
          <cell r="G1505"/>
          <cell r="H1505"/>
          <cell r="I1505"/>
          <cell r="J1505"/>
          <cell r="K1505"/>
          <cell r="L1505"/>
          <cell r="M1505"/>
          <cell r="N1505"/>
          <cell r="O1505"/>
          <cell r="P1505"/>
          <cell r="Q1505"/>
          <cell r="R1505"/>
          <cell r="S1505"/>
          <cell r="T1505"/>
          <cell r="U1505"/>
          <cell r="V1505"/>
          <cell r="W1505"/>
          <cell r="X1505"/>
          <cell r="Y1505"/>
          <cell r="Z1505"/>
          <cell r="AA1505"/>
          <cell r="AB1505"/>
          <cell r="AC1505"/>
          <cell r="AD1505"/>
          <cell r="AE1505"/>
          <cell r="AF1505"/>
          <cell r="AG1505"/>
          <cell r="AH1505"/>
          <cell r="AI1505"/>
          <cell r="AJ1505"/>
          <cell r="AK1505"/>
          <cell r="AL1505"/>
          <cell r="AM1505"/>
          <cell r="AN1505"/>
          <cell r="AO1505"/>
          <cell r="AP1505"/>
          <cell r="AQ1505"/>
          <cell r="AR1505"/>
          <cell r="AS1505"/>
          <cell r="AT1505"/>
          <cell r="AU1505"/>
          <cell r="AV1505"/>
          <cell r="AW1505"/>
          <cell r="AX1505"/>
          <cell r="AY1505"/>
          <cell r="AZ1505"/>
        </row>
        <row r="1506">
          <cell r="A1506"/>
          <cell r="B1506"/>
          <cell r="C1506"/>
          <cell r="D1506"/>
          <cell r="E1506"/>
          <cell r="F1506"/>
          <cell r="G1506"/>
          <cell r="H1506"/>
          <cell r="I1506"/>
          <cell r="J1506"/>
          <cell r="K1506"/>
          <cell r="L1506"/>
          <cell r="M1506"/>
          <cell r="N1506"/>
          <cell r="O1506"/>
          <cell r="P1506"/>
          <cell r="Q1506"/>
          <cell r="R1506"/>
          <cell r="S1506"/>
          <cell r="T1506"/>
          <cell r="U1506"/>
          <cell r="V1506"/>
          <cell r="W1506"/>
          <cell r="X1506"/>
          <cell r="Y1506"/>
          <cell r="Z1506"/>
          <cell r="AA1506"/>
          <cell r="AB1506"/>
          <cell r="AC1506"/>
          <cell r="AD1506"/>
          <cell r="AE1506"/>
          <cell r="AF1506"/>
          <cell r="AG1506"/>
          <cell r="AH1506"/>
          <cell r="AI1506"/>
          <cell r="AJ1506"/>
          <cell r="AK1506"/>
          <cell r="AL1506"/>
          <cell r="AM1506"/>
          <cell r="AN1506"/>
          <cell r="AO1506"/>
          <cell r="AP1506"/>
          <cell r="AQ1506"/>
          <cell r="AR1506"/>
          <cell r="AS1506"/>
          <cell r="AT1506"/>
          <cell r="AU1506"/>
          <cell r="AV1506"/>
          <cell r="AW1506"/>
          <cell r="AX1506"/>
          <cell r="AY1506"/>
          <cell r="AZ1506"/>
        </row>
        <row r="1507">
          <cell r="A1507"/>
          <cell r="B1507"/>
          <cell r="C1507"/>
          <cell r="D1507"/>
          <cell r="E1507"/>
          <cell r="F1507"/>
          <cell r="G1507"/>
          <cell r="H1507"/>
          <cell r="I1507"/>
          <cell r="J1507"/>
          <cell r="K1507"/>
          <cell r="L1507"/>
          <cell r="M1507"/>
          <cell r="N1507"/>
          <cell r="O1507"/>
          <cell r="P1507"/>
          <cell r="Q1507"/>
          <cell r="R1507"/>
          <cell r="S1507"/>
          <cell r="T1507"/>
          <cell r="U1507"/>
          <cell r="V1507"/>
          <cell r="W1507"/>
          <cell r="X1507"/>
          <cell r="Y1507"/>
          <cell r="Z1507"/>
          <cell r="AA1507"/>
          <cell r="AB1507"/>
          <cell r="AC1507"/>
          <cell r="AD1507"/>
          <cell r="AE1507"/>
          <cell r="AF1507"/>
          <cell r="AG1507"/>
          <cell r="AH1507"/>
          <cell r="AI1507"/>
          <cell r="AJ1507"/>
          <cell r="AK1507"/>
          <cell r="AL1507"/>
          <cell r="AM1507"/>
          <cell r="AN1507"/>
          <cell r="AO1507"/>
          <cell r="AP1507"/>
          <cell r="AQ1507"/>
          <cell r="AR1507"/>
          <cell r="AS1507"/>
          <cell r="AT1507"/>
          <cell r="AU1507"/>
          <cell r="AV1507"/>
          <cell r="AW1507"/>
          <cell r="AX1507"/>
          <cell r="AY1507"/>
          <cell r="AZ1507"/>
        </row>
        <row r="1508">
          <cell r="A1508"/>
          <cell r="B1508"/>
          <cell r="C1508"/>
          <cell r="D1508"/>
          <cell r="E1508"/>
          <cell r="F1508"/>
          <cell r="G1508"/>
          <cell r="H1508"/>
          <cell r="I1508"/>
          <cell r="J1508"/>
          <cell r="K1508"/>
          <cell r="L1508"/>
          <cell r="M1508"/>
          <cell r="N1508"/>
          <cell r="O1508"/>
          <cell r="P1508"/>
          <cell r="Q1508"/>
          <cell r="R1508"/>
          <cell r="S1508"/>
          <cell r="T1508"/>
          <cell r="U1508"/>
          <cell r="V1508"/>
          <cell r="W1508"/>
          <cell r="X1508"/>
          <cell r="Y1508"/>
          <cell r="Z1508"/>
          <cell r="AA1508"/>
          <cell r="AB1508"/>
          <cell r="AC1508"/>
          <cell r="AD1508"/>
          <cell r="AE1508"/>
          <cell r="AF1508"/>
          <cell r="AG1508"/>
          <cell r="AH1508"/>
          <cell r="AI1508"/>
          <cell r="AJ1508"/>
          <cell r="AK1508"/>
          <cell r="AL1508"/>
          <cell r="AM1508"/>
          <cell r="AN1508"/>
          <cell r="AO1508"/>
          <cell r="AP1508"/>
          <cell r="AQ1508"/>
          <cell r="AR1508"/>
          <cell r="AS1508"/>
          <cell r="AT1508"/>
          <cell r="AU1508"/>
          <cell r="AV1508"/>
          <cell r="AW1508"/>
          <cell r="AX1508"/>
          <cell r="AY1508"/>
          <cell r="AZ1508"/>
        </row>
        <row r="1509">
          <cell r="A1509"/>
          <cell r="B1509"/>
          <cell r="C1509"/>
          <cell r="D1509"/>
          <cell r="E1509"/>
          <cell r="F1509"/>
          <cell r="G1509"/>
          <cell r="H1509"/>
          <cell r="I1509"/>
          <cell r="J1509"/>
          <cell r="K1509"/>
          <cell r="L1509"/>
          <cell r="M1509"/>
          <cell r="N1509"/>
          <cell r="O1509"/>
          <cell r="P1509"/>
          <cell r="Q1509"/>
          <cell r="R1509"/>
          <cell r="S1509"/>
          <cell r="T1509"/>
          <cell r="U1509"/>
          <cell r="V1509"/>
          <cell r="W1509"/>
          <cell r="X1509"/>
          <cell r="Y1509"/>
          <cell r="Z1509"/>
          <cell r="AA1509"/>
          <cell r="AB1509"/>
          <cell r="AC1509"/>
          <cell r="AD1509"/>
          <cell r="AE1509"/>
          <cell r="AF1509"/>
          <cell r="AG1509"/>
          <cell r="AH1509"/>
          <cell r="AI1509"/>
          <cell r="AJ1509"/>
          <cell r="AK1509"/>
          <cell r="AL1509"/>
          <cell r="AM1509"/>
          <cell r="AN1509"/>
          <cell r="AO1509"/>
          <cell r="AP1509"/>
          <cell r="AQ1509"/>
          <cell r="AR1509"/>
          <cell r="AS1509"/>
          <cell r="AT1509"/>
          <cell r="AU1509"/>
          <cell r="AV1509"/>
          <cell r="AW1509"/>
          <cell r="AX1509"/>
          <cell r="AY1509"/>
          <cell r="AZ1509"/>
        </row>
        <row r="1510">
          <cell r="A1510"/>
          <cell r="B1510"/>
          <cell r="C1510"/>
          <cell r="D1510"/>
          <cell r="E1510"/>
          <cell r="F1510"/>
          <cell r="G1510"/>
          <cell r="H1510"/>
          <cell r="I1510"/>
          <cell r="J1510"/>
          <cell r="K1510"/>
          <cell r="L1510"/>
          <cell r="M1510"/>
          <cell r="N1510"/>
          <cell r="O1510"/>
          <cell r="P1510"/>
          <cell r="Q1510"/>
          <cell r="R1510"/>
          <cell r="S1510"/>
          <cell r="T1510"/>
          <cell r="U1510"/>
          <cell r="V1510"/>
          <cell r="W1510"/>
          <cell r="X1510"/>
          <cell r="Y1510"/>
          <cell r="Z1510"/>
          <cell r="AA1510"/>
          <cell r="AB1510"/>
          <cell r="AC1510"/>
          <cell r="AD1510"/>
          <cell r="AE1510"/>
          <cell r="AF1510"/>
          <cell r="AG1510"/>
          <cell r="AH1510"/>
          <cell r="AI1510"/>
          <cell r="AJ1510"/>
          <cell r="AK1510"/>
          <cell r="AL1510"/>
          <cell r="AM1510"/>
          <cell r="AN1510"/>
          <cell r="AO1510"/>
          <cell r="AP1510"/>
          <cell r="AQ1510"/>
          <cell r="AR1510"/>
          <cell r="AS1510"/>
          <cell r="AT1510"/>
          <cell r="AU1510"/>
          <cell r="AV1510"/>
          <cell r="AW1510"/>
          <cell r="AX1510"/>
          <cell r="AY1510"/>
          <cell r="AZ1510"/>
        </row>
        <row r="1511">
          <cell r="A1511"/>
          <cell r="B1511"/>
          <cell r="C1511"/>
          <cell r="D1511"/>
          <cell r="E1511"/>
          <cell r="F1511"/>
          <cell r="G1511"/>
          <cell r="H1511"/>
          <cell r="I1511"/>
          <cell r="J1511"/>
          <cell r="K1511"/>
          <cell r="L1511"/>
          <cell r="M1511"/>
          <cell r="N1511"/>
          <cell r="O1511"/>
          <cell r="P1511"/>
          <cell r="Q1511"/>
          <cell r="R1511"/>
          <cell r="S1511"/>
          <cell r="T1511"/>
          <cell r="U1511"/>
          <cell r="V1511"/>
          <cell r="W1511"/>
          <cell r="X1511"/>
          <cell r="Y1511"/>
          <cell r="Z1511"/>
          <cell r="AA1511"/>
          <cell r="AB1511"/>
          <cell r="AC1511"/>
          <cell r="AD1511"/>
          <cell r="AE1511"/>
          <cell r="AF1511"/>
          <cell r="AG1511"/>
          <cell r="AH1511"/>
          <cell r="AI1511"/>
          <cell r="AJ1511"/>
          <cell r="AK1511"/>
          <cell r="AL1511"/>
          <cell r="AM1511"/>
          <cell r="AN1511"/>
          <cell r="AO1511"/>
          <cell r="AP1511"/>
          <cell r="AQ1511"/>
          <cell r="AR1511"/>
          <cell r="AS1511"/>
          <cell r="AT1511"/>
          <cell r="AU1511"/>
          <cell r="AV1511"/>
          <cell r="AW1511"/>
          <cell r="AX1511"/>
          <cell r="AY1511"/>
          <cell r="AZ1511"/>
        </row>
        <row r="1512">
          <cell r="A1512"/>
          <cell r="B1512"/>
          <cell r="C1512"/>
          <cell r="D1512"/>
          <cell r="E1512"/>
          <cell r="F1512"/>
          <cell r="G1512"/>
          <cell r="H1512"/>
          <cell r="I1512"/>
          <cell r="J1512"/>
          <cell r="K1512"/>
          <cell r="L1512"/>
          <cell r="M1512"/>
          <cell r="N1512"/>
          <cell r="O1512"/>
          <cell r="P1512"/>
          <cell r="Q1512"/>
          <cell r="R1512"/>
          <cell r="S1512"/>
          <cell r="T1512"/>
          <cell r="U1512"/>
          <cell r="V1512"/>
          <cell r="W1512"/>
          <cell r="X1512"/>
          <cell r="Y1512"/>
          <cell r="Z1512"/>
          <cell r="AA1512"/>
          <cell r="AB1512"/>
          <cell r="AC1512"/>
          <cell r="AD1512"/>
          <cell r="AE1512"/>
          <cell r="AF1512"/>
          <cell r="AG1512"/>
          <cell r="AH1512"/>
          <cell r="AI1512"/>
          <cell r="AJ1512"/>
          <cell r="AK1512"/>
          <cell r="AL1512"/>
          <cell r="AM1512"/>
          <cell r="AN1512"/>
          <cell r="AO1512"/>
          <cell r="AP1512"/>
          <cell r="AQ1512"/>
          <cell r="AR1512"/>
          <cell r="AS1512"/>
          <cell r="AT1512"/>
          <cell r="AU1512"/>
          <cell r="AV1512"/>
          <cell r="AW1512"/>
          <cell r="AX1512"/>
          <cell r="AY1512"/>
          <cell r="AZ1512"/>
        </row>
        <row r="1513">
          <cell r="A1513"/>
          <cell r="B1513"/>
          <cell r="C1513"/>
          <cell r="D1513"/>
          <cell r="E1513"/>
          <cell r="F1513"/>
          <cell r="G1513"/>
          <cell r="H1513"/>
          <cell r="I1513"/>
          <cell r="J1513"/>
          <cell r="K1513"/>
          <cell r="L1513"/>
          <cell r="M1513"/>
          <cell r="N1513"/>
          <cell r="O1513"/>
          <cell r="P1513"/>
          <cell r="Q1513"/>
          <cell r="R1513"/>
          <cell r="S1513"/>
          <cell r="T1513"/>
          <cell r="U1513"/>
          <cell r="V1513"/>
          <cell r="W1513"/>
          <cell r="X1513"/>
          <cell r="Y1513"/>
          <cell r="Z1513"/>
          <cell r="AA1513"/>
          <cell r="AB1513"/>
          <cell r="AC1513"/>
          <cell r="AD1513"/>
          <cell r="AE1513"/>
          <cell r="AF1513"/>
          <cell r="AG1513"/>
          <cell r="AH1513"/>
          <cell r="AI1513"/>
          <cell r="AJ1513"/>
          <cell r="AK1513"/>
          <cell r="AL1513"/>
          <cell r="AM1513"/>
          <cell r="AN1513"/>
          <cell r="AO1513"/>
          <cell r="AP1513"/>
          <cell r="AQ1513"/>
          <cell r="AR1513"/>
          <cell r="AS1513"/>
          <cell r="AT1513"/>
          <cell r="AU1513"/>
          <cell r="AV1513"/>
          <cell r="AW1513"/>
          <cell r="AX1513"/>
          <cell r="AY1513"/>
          <cell r="AZ1513"/>
        </row>
        <row r="1514">
          <cell r="A1514"/>
          <cell r="B1514"/>
          <cell r="C1514"/>
          <cell r="D1514"/>
          <cell r="E1514"/>
          <cell r="F1514"/>
          <cell r="G1514"/>
          <cell r="H1514"/>
          <cell r="I1514"/>
          <cell r="J1514"/>
          <cell r="K1514"/>
          <cell r="L1514"/>
          <cell r="M1514"/>
          <cell r="N1514"/>
          <cell r="O1514"/>
          <cell r="P1514"/>
          <cell r="Q1514"/>
          <cell r="R1514"/>
          <cell r="S1514"/>
          <cell r="T1514"/>
          <cell r="U1514"/>
          <cell r="V1514"/>
          <cell r="W1514"/>
          <cell r="X1514"/>
          <cell r="Y1514"/>
          <cell r="Z1514"/>
          <cell r="AA1514"/>
          <cell r="AB1514"/>
          <cell r="AC1514"/>
          <cell r="AD1514"/>
          <cell r="AE1514"/>
          <cell r="AF1514"/>
          <cell r="AG1514"/>
          <cell r="AH1514"/>
          <cell r="AI1514"/>
          <cell r="AJ1514"/>
          <cell r="AK1514"/>
          <cell r="AL1514"/>
          <cell r="AM1514"/>
          <cell r="AN1514"/>
          <cell r="AO1514"/>
          <cell r="AP1514"/>
          <cell r="AQ1514"/>
          <cell r="AR1514"/>
          <cell r="AS1514"/>
          <cell r="AT1514"/>
          <cell r="AU1514"/>
          <cell r="AV1514"/>
          <cell r="AW1514"/>
          <cell r="AX1514"/>
          <cell r="AY1514"/>
          <cell r="AZ1514"/>
        </row>
        <row r="1515">
          <cell r="A1515"/>
          <cell r="B1515"/>
          <cell r="C1515"/>
          <cell r="D1515"/>
          <cell r="E1515"/>
          <cell r="F1515"/>
          <cell r="G1515"/>
          <cell r="H1515"/>
          <cell r="I1515"/>
          <cell r="J1515"/>
          <cell r="K1515"/>
          <cell r="L1515"/>
          <cell r="M1515"/>
          <cell r="N1515"/>
          <cell r="O1515"/>
          <cell r="P1515"/>
          <cell r="Q1515"/>
          <cell r="R1515"/>
          <cell r="S1515"/>
          <cell r="T1515"/>
          <cell r="U1515"/>
          <cell r="V1515"/>
          <cell r="W1515"/>
          <cell r="X1515"/>
          <cell r="Y1515"/>
          <cell r="Z1515"/>
          <cell r="AA1515"/>
          <cell r="AB1515"/>
          <cell r="AC1515"/>
          <cell r="AD1515"/>
          <cell r="AE1515"/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/>
          <cell r="AS1515"/>
          <cell r="AT1515"/>
          <cell r="AU1515"/>
          <cell r="AV1515"/>
          <cell r="AW1515"/>
          <cell r="AX1515"/>
          <cell r="AY1515"/>
          <cell r="AZ1515"/>
        </row>
        <row r="1516">
          <cell r="A1516"/>
          <cell r="B1516"/>
          <cell r="C1516"/>
          <cell r="D1516"/>
          <cell r="E1516"/>
          <cell r="F1516"/>
          <cell r="G1516"/>
          <cell r="H1516"/>
          <cell r="I1516"/>
          <cell r="J1516"/>
          <cell r="K1516"/>
          <cell r="L1516"/>
          <cell r="M1516"/>
          <cell r="N1516"/>
          <cell r="O1516"/>
          <cell r="P1516"/>
          <cell r="Q1516"/>
          <cell r="R1516"/>
          <cell r="S1516"/>
          <cell r="T1516"/>
          <cell r="U1516"/>
          <cell r="V1516"/>
          <cell r="W1516"/>
          <cell r="X1516"/>
          <cell r="Y1516"/>
          <cell r="Z1516"/>
          <cell r="AA1516"/>
          <cell r="AB1516"/>
          <cell r="AC1516"/>
          <cell r="AD1516"/>
          <cell r="AE1516"/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/>
          <cell r="AS1516"/>
          <cell r="AT1516"/>
          <cell r="AU1516"/>
          <cell r="AV1516"/>
          <cell r="AW1516"/>
          <cell r="AX1516"/>
          <cell r="AY1516"/>
          <cell r="AZ1516"/>
        </row>
        <row r="1517">
          <cell r="A1517"/>
          <cell r="B1517"/>
          <cell r="C1517"/>
          <cell r="D1517"/>
          <cell r="E1517"/>
          <cell r="F1517"/>
          <cell r="G1517"/>
          <cell r="H1517"/>
          <cell r="I1517"/>
          <cell r="J1517"/>
          <cell r="K1517"/>
          <cell r="L1517"/>
          <cell r="M1517"/>
          <cell r="N1517"/>
          <cell r="O1517"/>
          <cell r="P1517"/>
          <cell r="Q1517"/>
          <cell r="R1517"/>
          <cell r="S1517"/>
          <cell r="T1517"/>
          <cell r="U1517"/>
          <cell r="V1517"/>
          <cell r="W1517"/>
          <cell r="X1517"/>
          <cell r="Y1517"/>
          <cell r="Z1517"/>
          <cell r="AA1517"/>
          <cell r="AB1517"/>
          <cell r="AC1517"/>
          <cell r="AD1517"/>
          <cell r="AE1517"/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/>
          <cell r="AS1517"/>
          <cell r="AT1517"/>
          <cell r="AU1517"/>
          <cell r="AV1517"/>
          <cell r="AW1517"/>
          <cell r="AX1517"/>
          <cell r="AY1517"/>
          <cell r="AZ1517"/>
        </row>
        <row r="1518">
          <cell r="A1518"/>
          <cell r="B1518"/>
          <cell r="C1518"/>
          <cell r="D1518"/>
          <cell r="E1518"/>
          <cell r="F1518"/>
          <cell r="G1518"/>
          <cell r="H1518"/>
          <cell r="I1518"/>
          <cell r="J1518"/>
          <cell r="K1518"/>
          <cell r="L1518"/>
          <cell r="M1518"/>
          <cell r="N1518"/>
          <cell r="O1518"/>
          <cell r="P1518"/>
          <cell r="Q1518"/>
          <cell r="R1518"/>
          <cell r="S1518"/>
          <cell r="T1518"/>
          <cell r="U1518"/>
          <cell r="V1518"/>
          <cell r="W1518"/>
          <cell r="X1518"/>
          <cell r="Y1518"/>
          <cell r="Z1518"/>
          <cell r="AA1518"/>
          <cell r="AB1518"/>
          <cell r="AC1518"/>
          <cell r="AD1518"/>
          <cell r="AE1518"/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/>
          <cell r="AS1518"/>
          <cell r="AT1518"/>
          <cell r="AU1518"/>
          <cell r="AV1518"/>
          <cell r="AW1518"/>
          <cell r="AX1518"/>
          <cell r="AY1518"/>
          <cell r="AZ1518"/>
        </row>
        <row r="1519">
          <cell r="A1519"/>
          <cell r="B1519"/>
          <cell r="C1519"/>
          <cell r="D1519"/>
          <cell r="E1519"/>
          <cell r="F1519"/>
          <cell r="G1519"/>
          <cell r="H1519"/>
          <cell r="I1519"/>
          <cell r="J1519"/>
          <cell r="K1519"/>
          <cell r="L1519"/>
          <cell r="M1519"/>
          <cell r="N1519"/>
          <cell r="O1519"/>
          <cell r="P1519"/>
          <cell r="Q1519"/>
          <cell r="R1519"/>
          <cell r="S1519"/>
          <cell r="T1519"/>
          <cell r="U1519"/>
          <cell r="V1519"/>
          <cell r="W1519"/>
          <cell r="X1519"/>
          <cell r="Y1519"/>
          <cell r="Z1519"/>
          <cell r="AA1519"/>
          <cell r="AB1519"/>
          <cell r="AC1519"/>
          <cell r="AD1519"/>
          <cell r="AE1519"/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/>
          <cell r="AS1519"/>
          <cell r="AT1519"/>
          <cell r="AU1519"/>
          <cell r="AV1519"/>
          <cell r="AW1519"/>
          <cell r="AX1519"/>
          <cell r="AY1519"/>
          <cell r="AZ1519"/>
        </row>
        <row r="1520">
          <cell r="A1520"/>
          <cell r="B1520"/>
          <cell r="C1520"/>
          <cell r="D1520"/>
          <cell r="E1520"/>
          <cell r="F1520"/>
          <cell r="G1520"/>
          <cell r="H1520"/>
          <cell r="I1520"/>
          <cell r="J1520"/>
          <cell r="K1520"/>
          <cell r="L1520"/>
          <cell r="M1520"/>
          <cell r="N1520"/>
          <cell r="O1520"/>
          <cell r="P1520"/>
          <cell r="Q1520"/>
          <cell r="R1520"/>
          <cell r="S1520"/>
          <cell r="T1520"/>
          <cell r="U1520"/>
          <cell r="V1520"/>
          <cell r="W1520"/>
          <cell r="X1520"/>
          <cell r="Y1520"/>
          <cell r="Z1520"/>
          <cell r="AA1520"/>
          <cell r="AB1520"/>
          <cell r="AC1520"/>
          <cell r="AD1520"/>
          <cell r="AE1520"/>
          <cell r="AF1520"/>
          <cell r="AG1520"/>
          <cell r="AH1520"/>
          <cell r="AI1520"/>
          <cell r="AJ1520"/>
          <cell r="AK1520"/>
          <cell r="AL1520"/>
          <cell r="AM1520"/>
          <cell r="AN1520"/>
          <cell r="AO1520"/>
          <cell r="AP1520"/>
          <cell r="AQ1520"/>
          <cell r="AR1520"/>
          <cell r="AS1520"/>
          <cell r="AT1520"/>
          <cell r="AU1520"/>
          <cell r="AV1520"/>
          <cell r="AW1520"/>
          <cell r="AX1520"/>
          <cell r="AY1520"/>
          <cell r="AZ1520"/>
        </row>
        <row r="1521">
          <cell r="A1521"/>
          <cell r="B1521"/>
          <cell r="C1521"/>
          <cell r="D1521"/>
          <cell r="E1521"/>
          <cell r="F1521"/>
          <cell r="G1521"/>
          <cell r="H1521"/>
          <cell r="I1521"/>
          <cell r="J1521"/>
          <cell r="K1521"/>
          <cell r="L1521"/>
          <cell r="M1521"/>
          <cell r="N1521"/>
          <cell r="O1521"/>
          <cell r="P1521"/>
          <cell r="Q1521"/>
          <cell r="R1521"/>
          <cell r="S1521"/>
          <cell r="T1521"/>
          <cell r="U1521"/>
          <cell r="V1521"/>
          <cell r="W1521"/>
          <cell r="X1521"/>
          <cell r="Y1521"/>
          <cell r="Z1521"/>
          <cell r="AA1521"/>
          <cell r="AB1521"/>
          <cell r="AC1521"/>
          <cell r="AD1521"/>
          <cell r="AE1521"/>
          <cell r="AF1521"/>
          <cell r="AG1521"/>
          <cell r="AH1521"/>
          <cell r="AI1521"/>
          <cell r="AJ1521"/>
          <cell r="AK1521"/>
          <cell r="AL1521"/>
          <cell r="AM1521"/>
          <cell r="AN1521"/>
          <cell r="AO1521"/>
          <cell r="AP1521"/>
          <cell r="AQ1521"/>
          <cell r="AR1521"/>
          <cell r="AS1521"/>
          <cell r="AT1521"/>
          <cell r="AU1521"/>
          <cell r="AV1521"/>
          <cell r="AW1521"/>
          <cell r="AX1521"/>
          <cell r="AY1521"/>
          <cell r="AZ1521"/>
        </row>
        <row r="1522">
          <cell r="A1522"/>
          <cell r="B1522"/>
          <cell r="C1522"/>
          <cell r="D1522"/>
          <cell r="E1522"/>
          <cell r="F1522"/>
          <cell r="G1522"/>
          <cell r="H1522"/>
          <cell r="I1522"/>
          <cell r="J1522"/>
          <cell r="K1522"/>
          <cell r="L1522"/>
          <cell r="M1522"/>
          <cell r="N1522"/>
          <cell r="O1522"/>
          <cell r="P1522"/>
          <cell r="Q1522"/>
          <cell r="R1522"/>
          <cell r="S1522"/>
          <cell r="T1522"/>
          <cell r="U1522"/>
          <cell r="V1522"/>
          <cell r="W1522"/>
          <cell r="X1522"/>
          <cell r="Y1522"/>
          <cell r="Z1522"/>
          <cell r="AA1522"/>
          <cell r="AB1522"/>
          <cell r="AC1522"/>
          <cell r="AD1522"/>
          <cell r="AE1522"/>
          <cell r="AF1522"/>
          <cell r="AG1522"/>
          <cell r="AH1522"/>
          <cell r="AI1522"/>
          <cell r="AJ1522"/>
          <cell r="AK1522"/>
          <cell r="AL1522"/>
          <cell r="AM1522"/>
          <cell r="AN1522"/>
          <cell r="AO1522"/>
          <cell r="AP1522"/>
          <cell r="AQ1522"/>
          <cell r="AR1522"/>
          <cell r="AS1522"/>
          <cell r="AT1522"/>
          <cell r="AU1522"/>
          <cell r="AV1522"/>
          <cell r="AW1522"/>
          <cell r="AX1522"/>
          <cell r="AY1522"/>
          <cell r="AZ1522"/>
        </row>
        <row r="1523">
          <cell r="A1523"/>
          <cell r="B1523"/>
          <cell r="C1523"/>
          <cell r="D1523"/>
          <cell r="E1523"/>
          <cell r="F1523"/>
          <cell r="G1523"/>
          <cell r="H1523"/>
          <cell r="I1523"/>
          <cell r="J1523"/>
          <cell r="K1523"/>
          <cell r="L1523"/>
          <cell r="M1523"/>
          <cell r="N1523"/>
          <cell r="O1523"/>
          <cell r="P1523"/>
          <cell r="Q1523"/>
          <cell r="R1523"/>
          <cell r="S1523"/>
          <cell r="T1523"/>
          <cell r="U1523"/>
          <cell r="V1523"/>
          <cell r="W1523"/>
          <cell r="X1523"/>
          <cell r="Y1523"/>
          <cell r="Z1523"/>
          <cell r="AA1523"/>
          <cell r="AB1523"/>
          <cell r="AC1523"/>
          <cell r="AD1523"/>
          <cell r="AE1523"/>
          <cell r="AF1523"/>
          <cell r="AG1523"/>
          <cell r="AH1523"/>
          <cell r="AI1523"/>
          <cell r="AJ1523"/>
          <cell r="AK1523"/>
          <cell r="AL1523"/>
          <cell r="AM1523"/>
          <cell r="AN1523"/>
          <cell r="AO1523"/>
          <cell r="AP1523"/>
          <cell r="AQ1523"/>
          <cell r="AR1523"/>
          <cell r="AS1523"/>
          <cell r="AT1523"/>
          <cell r="AU1523"/>
          <cell r="AV1523"/>
          <cell r="AW1523"/>
          <cell r="AX1523"/>
          <cell r="AY1523"/>
          <cell r="AZ1523"/>
        </row>
        <row r="1524">
          <cell r="A1524"/>
          <cell r="B1524"/>
          <cell r="C1524"/>
          <cell r="D1524"/>
          <cell r="E1524"/>
          <cell r="F1524"/>
          <cell r="G1524"/>
          <cell r="H1524"/>
          <cell r="I1524"/>
          <cell r="J1524"/>
          <cell r="K1524"/>
          <cell r="L1524"/>
          <cell r="M1524"/>
          <cell r="N1524"/>
          <cell r="O1524"/>
          <cell r="P1524"/>
          <cell r="Q1524"/>
          <cell r="R1524"/>
          <cell r="S1524"/>
          <cell r="T1524"/>
          <cell r="U1524"/>
          <cell r="V1524"/>
          <cell r="W1524"/>
          <cell r="X1524"/>
          <cell r="Y1524"/>
          <cell r="Z1524"/>
          <cell r="AA1524"/>
          <cell r="AB1524"/>
          <cell r="AC1524"/>
          <cell r="AD1524"/>
          <cell r="AE1524"/>
          <cell r="AF1524"/>
          <cell r="AG1524"/>
          <cell r="AH1524"/>
          <cell r="AI1524"/>
          <cell r="AJ1524"/>
          <cell r="AK1524"/>
          <cell r="AL1524"/>
          <cell r="AM1524"/>
          <cell r="AN1524"/>
          <cell r="AO1524"/>
          <cell r="AP1524"/>
          <cell r="AQ1524"/>
          <cell r="AR1524"/>
          <cell r="AS1524"/>
          <cell r="AT1524"/>
          <cell r="AU1524"/>
          <cell r="AV1524"/>
          <cell r="AW1524"/>
          <cell r="AX1524"/>
          <cell r="AY1524"/>
          <cell r="AZ1524"/>
        </row>
        <row r="1525">
          <cell r="A1525"/>
          <cell r="B1525"/>
          <cell r="C1525"/>
          <cell r="D1525"/>
          <cell r="E1525"/>
          <cell r="F1525"/>
          <cell r="G1525"/>
          <cell r="H1525"/>
          <cell r="I1525"/>
          <cell r="J1525"/>
          <cell r="K1525"/>
          <cell r="L1525"/>
          <cell r="M1525"/>
          <cell r="N1525"/>
          <cell r="O1525"/>
          <cell r="P1525"/>
          <cell r="Q1525"/>
          <cell r="R1525"/>
          <cell r="S1525"/>
          <cell r="T1525"/>
          <cell r="U1525"/>
          <cell r="V1525"/>
          <cell r="W1525"/>
          <cell r="X1525"/>
          <cell r="Y1525"/>
          <cell r="Z1525"/>
          <cell r="AA1525"/>
          <cell r="AB1525"/>
          <cell r="AC1525"/>
          <cell r="AD1525"/>
          <cell r="AE1525"/>
          <cell r="AF1525"/>
          <cell r="AG1525"/>
          <cell r="AH1525"/>
          <cell r="AI1525"/>
          <cell r="AJ1525"/>
          <cell r="AK1525"/>
          <cell r="AL1525"/>
          <cell r="AM1525"/>
          <cell r="AN1525"/>
          <cell r="AO1525"/>
          <cell r="AP1525"/>
          <cell r="AQ1525"/>
          <cell r="AR1525"/>
          <cell r="AS1525"/>
          <cell r="AT1525"/>
          <cell r="AU1525"/>
          <cell r="AV1525"/>
          <cell r="AW1525"/>
          <cell r="AX1525"/>
          <cell r="AY1525"/>
          <cell r="AZ1525"/>
        </row>
        <row r="1526">
          <cell r="A1526"/>
          <cell r="B1526"/>
          <cell r="C1526"/>
          <cell r="D1526"/>
          <cell r="E1526"/>
          <cell r="F1526"/>
          <cell r="G1526"/>
          <cell r="H1526"/>
          <cell r="I1526"/>
          <cell r="J1526"/>
          <cell r="K1526"/>
          <cell r="L1526"/>
          <cell r="M1526"/>
          <cell r="N1526"/>
          <cell r="O1526"/>
          <cell r="P1526"/>
          <cell r="Q1526"/>
          <cell r="R1526"/>
          <cell r="S1526"/>
          <cell r="T1526"/>
          <cell r="U1526"/>
          <cell r="V1526"/>
          <cell r="W1526"/>
          <cell r="X1526"/>
          <cell r="Y1526"/>
          <cell r="Z1526"/>
          <cell r="AA1526"/>
          <cell r="AB1526"/>
          <cell r="AC1526"/>
          <cell r="AD1526"/>
          <cell r="AE1526"/>
          <cell r="AF1526"/>
          <cell r="AG1526"/>
          <cell r="AH1526"/>
          <cell r="AI1526"/>
          <cell r="AJ1526"/>
          <cell r="AK1526"/>
          <cell r="AL1526"/>
          <cell r="AM1526"/>
          <cell r="AN1526"/>
          <cell r="AO1526"/>
          <cell r="AP1526"/>
          <cell r="AQ1526"/>
          <cell r="AR1526"/>
          <cell r="AS1526"/>
          <cell r="AT1526"/>
          <cell r="AU1526"/>
          <cell r="AV1526"/>
          <cell r="AW1526"/>
          <cell r="AX1526"/>
          <cell r="AY1526"/>
          <cell r="AZ1526"/>
        </row>
        <row r="1527">
          <cell r="A1527"/>
          <cell r="B1527"/>
          <cell r="C1527"/>
          <cell r="D1527"/>
          <cell r="E1527"/>
          <cell r="F1527"/>
          <cell r="G1527"/>
          <cell r="H1527"/>
          <cell r="I1527"/>
          <cell r="J1527"/>
          <cell r="K1527"/>
          <cell r="L1527"/>
          <cell r="M1527"/>
          <cell r="N1527"/>
          <cell r="O1527"/>
          <cell r="P1527"/>
          <cell r="Q1527"/>
          <cell r="R1527"/>
          <cell r="S1527"/>
          <cell r="T1527"/>
          <cell r="U1527"/>
          <cell r="V1527"/>
          <cell r="W1527"/>
          <cell r="X1527"/>
          <cell r="Y1527"/>
          <cell r="Z1527"/>
          <cell r="AA1527"/>
          <cell r="AB1527"/>
          <cell r="AC1527"/>
          <cell r="AD1527"/>
          <cell r="AE1527"/>
          <cell r="AF1527"/>
          <cell r="AG1527"/>
          <cell r="AH1527"/>
          <cell r="AI1527"/>
          <cell r="AJ1527"/>
          <cell r="AK1527"/>
          <cell r="AL1527"/>
          <cell r="AM1527"/>
          <cell r="AN1527"/>
          <cell r="AO1527"/>
          <cell r="AP1527"/>
          <cell r="AQ1527"/>
          <cell r="AR1527"/>
          <cell r="AS1527"/>
          <cell r="AT1527"/>
          <cell r="AU1527"/>
          <cell r="AV1527"/>
          <cell r="AW1527"/>
          <cell r="AX1527"/>
          <cell r="AY1527"/>
          <cell r="AZ1527"/>
        </row>
        <row r="1528">
          <cell r="A1528"/>
          <cell r="B1528"/>
          <cell r="C1528"/>
          <cell r="D1528"/>
          <cell r="E1528"/>
          <cell r="F1528"/>
          <cell r="G1528"/>
          <cell r="H1528"/>
          <cell r="I1528"/>
          <cell r="J1528"/>
          <cell r="K1528"/>
          <cell r="L1528"/>
          <cell r="M1528"/>
          <cell r="N1528"/>
          <cell r="O1528"/>
          <cell r="P1528"/>
          <cell r="Q1528"/>
          <cell r="R1528"/>
          <cell r="S1528"/>
          <cell r="T1528"/>
          <cell r="U1528"/>
          <cell r="V1528"/>
          <cell r="W1528"/>
          <cell r="X1528"/>
          <cell r="Y1528"/>
          <cell r="Z1528"/>
          <cell r="AA1528"/>
          <cell r="AB1528"/>
          <cell r="AC1528"/>
          <cell r="AD1528"/>
          <cell r="AE1528"/>
          <cell r="AF1528"/>
          <cell r="AG1528"/>
          <cell r="AH1528"/>
          <cell r="AI1528"/>
          <cell r="AJ1528"/>
          <cell r="AK1528"/>
          <cell r="AL1528"/>
          <cell r="AM1528"/>
          <cell r="AN1528"/>
          <cell r="AO1528"/>
          <cell r="AP1528"/>
          <cell r="AQ1528"/>
          <cell r="AR1528"/>
          <cell r="AS1528"/>
          <cell r="AT1528"/>
          <cell r="AU1528"/>
          <cell r="AV1528"/>
          <cell r="AW1528"/>
          <cell r="AX1528"/>
          <cell r="AY1528"/>
          <cell r="AZ1528"/>
        </row>
        <row r="1529">
          <cell r="A1529"/>
          <cell r="B1529"/>
          <cell r="C1529"/>
          <cell r="D1529"/>
          <cell r="E1529"/>
          <cell r="F1529"/>
          <cell r="G1529"/>
          <cell r="H1529"/>
          <cell r="I1529"/>
          <cell r="J1529"/>
          <cell r="K1529"/>
          <cell r="L1529"/>
          <cell r="M1529"/>
          <cell r="N1529"/>
          <cell r="O1529"/>
          <cell r="P1529"/>
          <cell r="Q1529"/>
          <cell r="R1529"/>
          <cell r="S1529"/>
          <cell r="T1529"/>
          <cell r="U1529"/>
          <cell r="V1529"/>
          <cell r="W1529"/>
          <cell r="X1529"/>
          <cell r="Y1529"/>
          <cell r="Z1529"/>
          <cell r="AA1529"/>
          <cell r="AB1529"/>
          <cell r="AC1529"/>
          <cell r="AD1529"/>
          <cell r="AE1529"/>
          <cell r="AF1529"/>
          <cell r="AG1529"/>
          <cell r="AH1529"/>
          <cell r="AI1529"/>
          <cell r="AJ1529"/>
          <cell r="AK1529"/>
          <cell r="AL1529"/>
          <cell r="AM1529"/>
          <cell r="AN1529"/>
          <cell r="AO1529"/>
          <cell r="AP1529"/>
          <cell r="AQ1529"/>
          <cell r="AR1529"/>
          <cell r="AS1529"/>
          <cell r="AT1529"/>
          <cell r="AU1529"/>
          <cell r="AV1529"/>
          <cell r="AW1529"/>
          <cell r="AX1529"/>
          <cell r="AY1529"/>
          <cell r="AZ1529"/>
        </row>
        <row r="1530">
          <cell r="A1530"/>
          <cell r="B1530"/>
          <cell r="C1530"/>
          <cell r="D1530"/>
          <cell r="E1530"/>
          <cell r="F1530"/>
          <cell r="G1530"/>
          <cell r="H1530"/>
          <cell r="I1530"/>
          <cell r="J1530"/>
          <cell r="K1530"/>
          <cell r="L1530"/>
          <cell r="M1530"/>
          <cell r="N1530"/>
          <cell r="O1530"/>
          <cell r="P1530"/>
          <cell r="Q1530"/>
          <cell r="R1530"/>
          <cell r="S1530"/>
          <cell r="T1530"/>
          <cell r="U1530"/>
          <cell r="V1530"/>
          <cell r="W1530"/>
          <cell r="X1530"/>
          <cell r="Y1530"/>
          <cell r="Z1530"/>
          <cell r="AA1530"/>
          <cell r="AB1530"/>
          <cell r="AC1530"/>
          <cell r="AD1530"/>
          <cell r="AE1530"/>
          <cell r="AF1530"/>
          <cell r="AG1530"/>
          <cell r="AH1530"/>
          <cell r="AI1530"/>
          <cell r="AJ1530"/>
          <cell r="AK1530"/>
          <cell r="AL1530"/>
          <cell r="AM1530"/>
          <cell r="AN1530"/>
          <cell r="AO1530"/>
          <cell r="AP1530"/>
          <cell r="AQ1530"/>
          <cell r="AR1530"/>
          <cell r="AS1530"/>
          <cell r="AT1530"/>
          <cell r="AU1530"/>
          <cell r="AV1530"/>
          <cell r="AW1530"/>
          <cell r="AX1530"/>
          <cell r="AY1530"/>
          <cell r="AZ1530"/>
        </row>
        <row r="1531">
          <cell r="A1531"/>
          <cell r="B1531"/>
          <cell r="C1531"/>
          <cell r="D1531"/>
          <cell r="E1531"/>
          <cell r="F1531"/>
          <cell r="G1531"/>
          <cell r="H1531"/>
          <cell r="I1531"/>
          <cell r="J1531"/>
          <cell r="K1531"/>
          <cell r="L1531"/>
          <cell r="M1531"/>
          <cell r="N1531"/>
          <cell r="O1531"/>
          <cell r="P1531"/>
          <cell r="Q1531"/>
          <cell r="R1531"/>
          <cell r="S1531"/>
          <cell r="T1531"/>
          <cell r="U1531"/>
          <cell r="V1531"/>
          <cell r="W1531"/>
          <cell r="X1531"/>
          <cell r="Y1531"/>
          <cell r="Z1531"/>
          <cell r="AA1531"/>
          <cell r="AB1531"/>
          <cell r="AC1531"/>
          <cell r="AD1531"/>
          <cell r="AE1531"/>
          <cell r="AF1531"/>
          <cell r="AG1531"/>
          <cell r="AH1531"/>
          <cell r="AI1531"/>
          <cell r="AJ1531"/>
          <cell r="AK1531"/>
          <cell r="AL1531"/>
          <cell r="AM1531"/>
          <cell r="AN1531"/>
          <cell r="AO1531"/>
          <cell r="AP1531"/>
          <cell r="AQ1531"/>
          <cell r="AR1531"/>
          <cell r="AS1531"/>
          <cell r="AT1531"/>
          <cell r="AU1531"/>
          <cell r="AV1531"/>
          <cell r="AW1531"/>
          <cell r="AX1531"/>
          <cell r="AY1531"/>
          <cell r="AZ1531"/>
        </row>
        <row r="1532">
          <cell r="A1532"/>
          <cell r="B1532"/>
          <cell r="C1532"/>
          <cell r="D1532"/>
          <cell r="E1532"/>
          <cell r="F1532"/>
          <cell r="G1532"/>
          <cell r="H1532"/>
          <cell r="I1532"/>
          <cell r="J1532"/>
          <cell r="K1532"/>
          <cell r="L1532"/>
          <cell r="M1532"/>
          <cell r="N1532"/>
          <cell r="O1532"/>
          <cell r="P1532"/>
          <cell r="Q1532"/>
          <cell r="R1532"/>
          <cell r="S1532"/>
          <cell r="T1532"/>
          <cell r="U1532"/>
          <cell r="V1532"/>
          <cell r="W1532"/>
          <cell r="X1532"/>
          <cell r="Y1532"/>
          <cell r="Z1532"/>
          <cell r="AA1532"/>
          <cell r="AB1532"/>
          <cell r="AC1532"/>
          <cell r="AD1532"/>
          <cell r="AE1532"/>
          <cell r="AF1532"/>
          <cell r="AG1532"/>
          <cell r="AH1532"/>
          <cell r="AI1532"/>
          <cell r="AJ1532"/>
          <cell r="AK1532"/>
          <cell r="AL1532"/>
          <cell r="AM1532"/>
          <cell r="AN1532"/>
          <cell r="AO1532"/>
          <cell r="AP1532"/>
          <cell r="AQ1532"/>
          <cell r="AR1532"/>
          <cell r="AS1532"/>
          <cell r="AT1532"/>
          <cell r="AU1532"/>
          <cell r="AV1532"/>
          <cell r="AW1532"/>
          <cell r="AX1532"/>
          <cell r="AY1532"/>
          <cell r="AZ1532"/>
        </row>
        <row r="1533">
          <cell r="A1533"/>
          <cell r="B1533"/>
          <cell r="C1533"/>
          <cell r="D1533"/>
          <cell r="E1533"/>
          <cell r="F1533"/>
          <cell r="G1533"/>
          <cell r="H1533"/>
          <cell r="I1533"/>
          <cell r="J1533"/>
          <cell r="K1533"/>
          <cell r="L1533"/>
          <cell r="M1533"/>
          <cell r="N1533"/>
          <cell r="O1533"/>
          <cell r="P1533"/>
          <cell r="Q1533"/>
          <cell r="R1533"/>
          <cell r="S1533"/>
          <cell r="T1533"/>
          <cell r="U1533"/>
          <cell r="V1533"/>
          <cell r="W1533"/>
          <cell r="X1533"/>
          <cell r="Y1533"/>
          <cell r="Z1533"/>
          <cell r="AA1533"/>
          <cell r="AB1533"/>
          <cell r="AC1533"/>
          <cell r="AD1533"/>
          <cell r="AE1533"/>
          <cell r="AF1533"/>
          <cell r="AG1533"/>
          <cell r="AH1533"/>
          <cell r="AI1533"/>
          <cell r="AJ1533"/>
          <cell r="AK1533"/>
          <cell r="AL1533"/>
          <cell r="AM1533"/>
          <cell r="AN1533"/>
          <cell r="AO1533"/>
          <cell r="AP1533"/>
          <cell r="AQ1533"/>
          <cell r="AR1533"/>
          <cell r="AS1533"/>
          <cell r="AT1533"/>
          <cell r="AU1533"/>
          <cell r="AV1533"/>
          <cell r="AW1533"/>
          <cell r="AX1533"/>
          <cell r="AY1533"/>
          <cell r="AZ1533"/>
        </row>
        <row r="1534">
          <cell r="A1534"/>
          <cell r="B1534"/>
          <cell r="C1534"/>
          <cell r="D1534"/>
          <cell r="E1534"/>
          <cell r="F1534"/>
          <cell r="G1534"/>
          <cell r="H1534"/>
          <cell r="I1534"/>
          <cell r="J1534"/>
          <cell r="K1534"/>
          <cell r="L1534"/>
          <cell r="M1534"/>
          <cell r="N1534"/>
          <cell r="O1534"/>
          <cell r="P1534"/>
          <cell r="Q1534"/>
          <cell r="R1534"/>
          <cell r="S1534"/>
          <cell r="T1534"/>
          <cell r="U1534"/>
          <cell r="V1534"/>
          <cell r="W1534"/>
          <cell r="X1534"/>
          <cell r="Y1534"/>
          <cell r="Z1534"/>
          <cell r="AA1534"/>
          <cell r="AB1534"/>
          <cell r="AC1534"/>
          <cell r="AD1534"/>
          <cell r="AE1534"/>
          <cell r="AF1534"/>
          <cell r="AG1534"/>
          <cell r="AH1534"/>
          <cell r="AI1534"/>
          <cell r="AJ1534"/>
          <cell r="AK1534"/>
          <cell r="AL1534"/>
          <cell r="AM1534"/>
          <cell r="AN1534"/>
          <cell r="AO1534"/>
          <cell r="AP1534"/>
          <cell r="AQ1534"/>
          <cell r="AR1534"/>
          <cell r="AS1534"/>
          <cell r="AT1534"/>
          <cell r="AU1534"/>
          <cell r="AV1534"/>
          <cell r="AW1534"/>
          <cell r="AX1534"/>
          <cell r="AY1534"/>
          <cell r="AZ1534"/>
        </row>
        <row r="1535">
          <cell r="A1535"/>
          <cell r="B1535"/>
          <cell r="C1535"/>
          <cell r="D1535"/>
          <cell r="E1535"/>
          <cell r="F1535"/>
          <cell r="G1535"/>
          <cell r="H1535"/>
          <cell r="I1535"/>
          <cell r="J1535"/>
          <cell r="K1535"/>
          <cell r="L1535"/>
          <cell r="M1535"/>
          <cell r="N1535"/>
          <cell r="O1535"/>
          <cell r="P1535"/>
          <cell r="Q1535"/>
          <cell r="R1535"/>
          <cell r="S1535"/>
          <cell r="T1535"/>
          <cell r="U1535"/>
          <cell r="V1535"/>
          <cell r="W1535"/>
          <cell r="X1535"/>
          <cell r="Y1535"/>
          <cell r="Z1535"/>
          <cell r="AA1535"/>
          <cell r="AB1535"/>
          <cell r="AC1535"/>
          <cell r="AD1535"/>
          <cell r="AE1535"/>
          <cell r="AF1535"/>
          <cell r="AG1535"/>
          <cell r="AH1535"/>
          <cell r="AI1535"/>
          <cell r="AJ1535"/>
          <cell r="AK1535"/>
          <cell r="AL1535"/>
          <cell r="AM1535"/>
          <cell r="AN1535"/>
          <cell r="AO1535"/>
          <cell r="AP1535"/>
          <cell r="AQ1535"/>
          <cell r="AR1535"/>
          <cell r="AS1535"/>
          <cell r="AT1535"/>
          <cell r="AU1535"/>
          <cell r="AV1535"/>
          <cell r="AW1535"/>
          <cell r="AX1535"/>
          <cell r="AY1535"/>
          <cell r="AZ1535"/>
        </row>
        <row r="1536">
          <cell r="A1536"/>
          <cell r="B1536"/>
          <cell r="C1536"/>
          <cell r="D1536"/>
          <cell r="E1536"/>
          <cell r="F1536"/>
          <cell r="G1536"/>
          <cell r="H1536"/>
          <cell r="I1536"/>
          <cell r="J1536"/>
          <cell r="K1536"/>
          <cell r="L1536"/>
          <cell r="M1536"/>
          <cell r="N1536"/>
          <cell r="O1536"/>
          <cell r="P1536"/>
          <cell r="Q1536"/>
          <cell r="R1536"/>
          <cell r="S1536"/>
          <cell r="T1536"/>
          <cell r="U1536"/>
          <cell r="V1536"/>
          <cell r="W1536"/>
          <cell r="X1536"/>
          <cell r="Y1536"/>
          <cell r="Z1536"/>
          <cell r="AA1536"/>
          <cell r="AB1536"/>
          <cell r="AC1536"/>
          <cell r="AD1536"/>
          <cell r="AE1536"/>
          <cell r="AF1536"/>
          <cell r="AG1536"/>
          <cell r="AH1536"/>
          <cell r="AI1536"/>
          <cell r="AJ1536"/>
          <cell r="AK1536"/>
          <cell r="AL1536"/>
          <cell r="AM1536"/>
          <cell r="AN1536"/>
          <cell r="AO1536"/>
          <cell r="AP1536"/>
          <cell r="AQ1536"/>
          <cell r="AR1536"/>
          <cell r="AS1536"/>
          <cell r="AT1536"/>
          <cell r="AU1536"/>
          <cell r="AV1536"/>
          <cell r="AW1536"/>
          <cell r="AX1536"/>
          <cell r="AY1536"/>
          <cell r="AZ1536"/>
        </row>
        <row r="1537">
          <cell r="A1537"/>
          <cell r="B1537"/>
          <cell r="C1537"/>
          <cell r="D1537"/>
          <cell r="E1537"/>
          <cell r="F1537"/>
          <cell r="G1537"/>
          <cell r="H1537"/>
          <cell r="I1537"/>
          <cell r="J1537"/>
          <cell r="K1537"/>
          <cell r="L1537"/>
          <cell r="M1537"/>
          <cell r="N1537"/>
          <cell r="O1537"/>
          <cell r="P1537"/>
          <cell r="Q1537"/>
          <cell r="R1537"/>
          <cell r="S1537"/>
          <cell r="T1537"/>
          <cell r="U1537"/>
          <cell r="V1537"/>
          <cell r="W1537"/>
          <cell r="X1537"/>
          <cell r="Y1537"/>
          <cell r="Z1537"/>
          <cell r="AA1537"/>
          <cell r="AB1537"/>
          <cell r="AC1537"/>
          <cell r="AD1537"/>
          <cell r="AE1537"/>
          <cell r="AF1537"/>
          <cell r="AG1537"/>
          <cell r="AH1537"/>
          <cell r="AI1537"/>
          <cell r="AJ1537"/>
          <cell r="AK1537"/>
          <cell r="AL1537"/>
          <cell r="AM1537"/>
          <cell r="AN1537"/>
          <cell r="AO1537"/>
          <cell r="AP1537"/>
          <cell r="AQ1537"/>
          <cell r="AR1537"/>
          <cell r="AS1537"/>
          <cell r="AT1537"/>
          <cell r="AU1537"/>
          <cell r="AV1537"/>
          <cell r="AW1537"/>
          <cell r="AX1537"/>
          <cell r="AY1537"/>
          <cell r="AZ1537"/>
        </row>
        <row r="1538">
          <cell r="A1538"/>
          <cell r="B1538"/>
          <cell r="C1538"/>
          <cell r="D1538"/>
          <cell r="E1538"/>
          <cell r="F1538"/>
          <cell r="G1538"/>
          <cell r="H1538"/>
          <cell r="I1538"/>
          <cell r="J1538"/>
          <cell r="K1538"/>
          <cell r="L1538"/>
          <cell r="M1538"/>
          <cell r="N1538"/>
          <cell r="O1538"/>
          <cell r="P1538"/>
          <cell r="Q1538"/>
          <cell r="R1538"/>
          <cell r="S1538"/>
          <cell r="T1538"/>
          <cell r="U1538"/>
          <cell r="V1538"/>
          <cell r="W1538"/>
          <cell r="X1538"/>
          <cell r="Y1538"/>
          <cell r="Z1538"/>
          <cell r="AA1538"/>
          <cell r="AB1538"/>
          <cell r="AC1538"/>
          <cell r="AD1538"/>
          <cell r="AE1538"/>
          <cell r="AF1538"/>
          <cell r="AG1538"/>
          <cell r="AH1538"/>
          <cell r="AI1538"/>
          <cell r="AJ1538"/>
          <cell r="AK1538"/>
          <cell r="AL1538"/>
          <cell r="AM1538"/>
          <cell r="AN1538"/>
          <cell r="AO1538"/>
          <cell r="AP1538"/>
          <cell r="AQ1538"/>
          <cell r="AR1538"/>
          <cell r="AS1538"/>
          <cell r="AT1538"/>
          <cell r="AU1538"/>
          <cell r="AV1538"/>
          <cell r="AW1538"/>
          <cell r="AX1538"/>
          <cell r="AY1538"/>
          <cell r="AZ1538"/>
        </row>
        <row r="1539">
          <cell r="A1539"/>
          <cell r="B1539"/>
          <cell r="C1539"/>
          <cell r="D1539"/>
          <cell r="E1539"/>
          <cell r="F1539"/>
          <cell r="G1539"/>
          <cell r="H1539"/>
          <cell r="I1539"/>
          <cell r="J1539"/>
          <cell r="K1539"/>
          <cell r="L1539"/>
          <cell r="M1539"/>
          <cell r="N1539"/>
          <cell r="O1539"/>
          <cell r="P1539"/>
          <cell r="Q1539"/>
          <cell r="R1539"/>
          <cell r="S1539"/>
          <cell r="T1539"/>
          <cell r="U1539"/>
          <cell r="V1539"/>
          <cell r="W1539"/>
          <cell r="X1539"/>
          <cell r="Y1539"/>
          <cell r="Z1539"/>
          <cell r="AA1539"/>
          <cell r="AB1539"/>
          <cell r="AC1539"/>
          <cell r="AD1539"/>
          <cell r="AE1539"/>
          <cell r="AF1539"/>
          <cell r="AG1539"/>
          <cell r="AH1539"/>
          <cell r="AI1539"/>
          <cell r="AJ1539"/>
          <cell r="AK1539"/>
          <cell r="AL1539"/>
          <cell r="AM1539"/>
          <cell r="AN1539"/>
          <cell r="AO1539"/>
          <cell r="AP1539"/>
          <cell r="AQ1539"/>
          <cell r="AR1539"/>
          <cell r="AS1539"/>
          <cell r="AT1539"/>
          <cell r="AU1539"/>
          <cell r="AV1539"/>
          <cell r="AW1539"/>
          <cell r="AX1539"/>
          <cell r="AY1539"/>
          <cell r="AZ1539"/>
        </row>
        <row r="1540">
          <cell r="A1540"/>
          <cell r="B1540"/>
          <cell r="C1540"/>
          <cell r="D1540"/>
          <cell r="E1540"/>
          <cell r="F1540"/>
          <cell r="G1540"/>
          <cell r="H1540"/>
          <cell r="I1540"/>
          <cell r="J1540"/>
          <cell r="K1540"/>
          <cell r="L1540"/>
          <cell r="M1540"/>
          <cell r="N1540"/>
          <cell r="O1540"/>
          <cell r="P1540"/>
          <cell r="Q1540"/>
          <cell r="R1540"/>
          <cell r="S1540"/>
          <cell r="T1540"/>
          <cell r="U1540"/>
          <cell r="V1540"/>
          <cell r="W1540"/>
          <cell r="X1540"/>
          <cell r="Y1540"/>
          <cell r="Z1540"/>
          <cell r="AA1540"/>
          <cell r="AB1540"/>
          <cell r="AC1540"/>
          <cell r="AD1540"/>
          <cell r="AE1540"/>
          <cell r="AF1540"/>
          <cell r="AG1540"/>
          <cell r="AH1540"/>
          <cell r="AI1540"/>
          <cell r="AJ1540"/>
          <cell r="AK1540"/>
          <cell r="AL1540"/>
          <cell r="AM1540"/>
          <cell r="AN1540"/>
          <cell r="AO1540"/>
          <cell r="AP1540"/>
          <cell r="AQ1540"/>
          <cell r="AR1540"/>
          <cell r="AS1540"/>
          <cell r="AT1540"/>
          <cell r="AU1540"/>
          <cell r="AV1540"/>
          <cell r="AW1540"/>
          <cell r="AX1540"/>
          <cell r="AY1540"/>
          <cell r="AZ1540"/>
        </row>
        <row r="1541">
          <cell r="A1541"/>
          <cell r="B1541"/>
          <cell r="C1541"/>
          <cell r="D1541"/>
          <cell r="E1541"/>
          <cell r="F1541"/>
          <cell r="G1541"/>
          <cell r="H1541"/>
          <cell r="I1541"/>
          <cell r="J1541"/>
          <cell r="K1541"/>
          <cell r="L1541"/>
          <cell r="M1541"/>
          <cell r="N1541"/>
          <cell r="O1541"/>
          <cell r="P1541"/>
          <cell r="Q1541"/>
          <cell r="R1541"/>
          <cell r="S1541"/>
          <cell r="T1541"/>
          <cell r="U1541"/>
          <cell r="V1541"/>
          <cell r="W1541"/>
          <cell r="X1541"/>
          <cell r="Y1541"/>
          <cell r="Z1541"/>
          <cell r="AA1541"/>
          <cell r="AB1541"/>
          <cell r="AC1541"/>
          <cell r="AD1541"/>
          <cell r="AE1541"/>
          <cell r="AF1541"/>
          <cell r="AG1541"/>
          <cell r="AH1541"/>
          <cell r="AI1541"/>
          <cell r="AJ1541"/>
          <cell r="AK1541"/>
          <cell r="AL1541"/>
          <cell r="AM1541"/>
          <cell r="AN1541"/>
          <cell r="AO1541"/>
          <cell r="AP1541"/>
          <cell r="AQ1541"/>
          <cell r="AR1541"/>
          <cell r="AS1541"/>
          <cell r="AT1541"/>
          <cell r="AU1541"/>
          <cell r="AV1541"/>
          <cell r="AW1541"/>
          <cell r="AX1541"/>
          <cell r="AY1541"/>
          <cell r="AZ1541"/>
        </row>
        <row r="1542">
          <cell r="A1542"/>
          <cell r="B1542"/>
          <cell r="C1542"/>
          <cell r="D1542"/>
          <cell r="E1542"/>
          <cell r="F1542"/>
          <cell r="G1542"/>
          <cell r="H1542"/>
          <cell r="I1542"/>
          <cell r="J1542"/>
          <cell r="K1542"/>
          <cell r="L1542"/>
          <cell r="M1542"/>
          <cell r="N1542"/>
          <cell r="O1542"/>
          <cell r="P1542"/>
          <cell r="Q1542"/>
          <cell r="R1542"/>
          <cell r="S1542"/>
          <cell r="T1542"/>
          <cell r="U1542"/>
          <cell r="V1542"/>
          <cell r="W1542"/>
          <cell r="X1542"/>
          <cell r="Y1542"/>
          <cell r="Z1542"/>
          <cell r="AA1542"/>
          <cell r="AB1542"/>
          <cell r="AC1542"/>
          <cell r="AD1542"/>
          <cell r="AE1542"/>
          <cell r="AF1542"/>
          <cell r="AG1542"/>
          <cell r="AH1542"/>
          <cell r="AI1542"/>
          <cell r="AJ1542"/>
          <cell r="AK1542"/>
          <cell r="AL1542"/>
          <cell r="AM1542"/>
          <cell r="AN1542"/>
          <cell r="AO1542"/>
          <cell r="AP1542"/>
          <cell r="AQ1542"/>
          <cell r="AR1542"/>
          <cell r="AS1542"/>
          <cell r="AT1542"/>
          <cell r="AU1542"/>
          <cell r="AV1542"/>
          <cell r="AW1542"/>
          <cell r="AX1542"/>
          <cell r="AY1542"/>
          <cell r="AZ1542"/>
        </row>
        <row r="1543">
          <cell r="A1543"/>
          <cell r="B1543"/>
          <cell r="C1543"/>
          <cell r="D1543"/>
          <cell r="E1543"/>
          <cell r="F1543"/>
          <cell r="G1543"/>
          <cell r="H1543"/>
          <cell r="I1543"/>
          <cell r="J1543"/>
          <cell r="K1543"/>
          <cell r="L1543"/>
          <cell r="M1543"/>
          <cell r="N1543"/>
          <cell r="O1543"/>
          <cell r="P1543"/>
          <cell r="Q1543"/>
          <cell r="R1543"/>
          <cell r="S1543"/>
          <cell r="T1543"/>
          <cell r="U1543"/>
          <cell r="V1543"/>
          <cell r="W1543"/>
          <cell r="X1543"/>
          <cell r="Y1543"/>
          <cell r="Z1543"/>
          <cell r="AA1543"/>
          <cell r="AB1543"/>
          <cell r="AC1543"/>
          <cell r="AD1543"/>
          <cell r="AE1543"/>
          <cell r="AF1543"/>
          <cell r="AG1543"/>
          <cell r="AH1543"/>
          <cell r="AI1543"/>
          <cell r="AJ1543"/>
          <cell r="AK1543"/>
          <cell r="AL1543"/>
          <cell r="AM1543"/>
          <cell r="AN1543"/>
          <cell r="AO1543"/>
          <cell r="AP1543"/>
          <cell r="AQ1543"/>
          <cell r="AR1543"/>
          <cell r="AS1543"/>
          <cell r="AT1543"/>
          <cell r="AU1543"/>
          <cell r="AV1543"/>
          <cell r="AW1543"/>
          <cell r="AX1543"/>
          <cell r="AY1543"/>
          <cell r="AZ1543"/>
        </row>
        <row r="1544">
          <cell r="A1544"/>
          <cell r="B1544"/>
          <cell r="C1544"/>
          <cell r="D1544"/>
          <cell r="E1544"/>
          <cell r="F1544"/>
          <cell r="G1544"/>
          <cell r="H1544"/>
          <cell r="I1544"/>
          <cell r="J1544"/>
          <cell r="K1544"/>
          <cell r="L1544"/>
          <cell r="M1544"/>
          <cell r="N1544"/>
          <cell r="O1544"/>
          <cell r="P1544"/>
          <cell r="Q1544"/>
          <cell r="R1544"/>
          <cell r="S1544"/>
          <cell r="T1544"/>
          <cell r="U1544"/>
          <cell r="V1544"/>
          <cell r="W1544"/>
          <cell r="X1544"/>
          <cell r="Y1544"/>
          <cell r="Z1544"/>
          <cell r="AA1544"/>
          <cell r="AB1544"/>
          <cell r="AC1544"/>
          <cell r="AD1544"/>
          <cell r="AE1544"/>
          <cell r="AF1544"/>
          <cell r="AG1544"/>
          <cell r="AH1544"/>
          <cell r="AI1544"/>
          <cell r="AJ1544"/>
          <cell r="AK1544"/>
          <cell r="AL1544"/>
          <cell r="AM1544"/>
          <cell r="AN1544"/>
          <cell r="AO1544"/>
          <cell r="AP1544"/>
          <cell r="AQ1544"/>
          <cell r="AR1544"/>
          <cell r="AS1544"/>
          <cell r="AT1544"/>
          <cell r="AU1544"/>
          <cell r="AV1544"/>
          <cell r="AW1544"/>
          <cell r="AX1544"/>
          <cell r="AY1544"/>
          <cell r="AZ1544"/>
        </row>
        <row r="1545">
          <cell r="A1545"/>
          <cell r="B1545"/>
          <cell r="C1545"/>
          <cell r="D1545"/>
          <cell r="E1545"/>
          <cell r="F1545"/>
          <cell r="G1545"/>
          <cell r="H1545"/>
          <cell r="I1545"/>
          <cell r="J1545"/>
          <cell r="K1545"/>
          <cell r="L1545"/>
          <cell r="M1545"/>
          <cell r="N1545"/>
          <cell r="O1545"/>
          <cell r="P1545"/>
          <cell r="Q1545"/>
          <cell r="R1545"/>
          <cell r="S1545"/>
          <cell r="T1545"/>
          <cell r="U1545"/>
          <cell r="V1545"/>
          <cell r="W1545"/>
          <cell r="X1545"/>
          <cell r="Y1545"/>
          <cell r="Z1545"/>
          <cell r="AA1545"/>
          <cell r="AB1545"/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/>
          <cell r="AS1545"/>
          <cell r="AT1545"/>
          <cell r="AU1545"/>
          <cell r="AV1545"/>
          <cell r="AW1545"/>
          <cell r="AX1545"/>
          <cell r="AY1545"/>
          <cell r="AZ1545"/>
        </row>
        <row r="1546">
          <cell r="A1546"/>
          <cell r="B1546"/>
          <cell r="C1546"/>
          <cell r="D1546"/>
          <cell r="E1546"/>
          <cell r="F1546"/>
          <cell r="G1546"/>
          <cell r="H1546"/>
          <cell r="I1546"/>
          <cell r="J1546"/>
          <cell r="K1546"/>
          <cell r="L1546"/>
          <cell r="M1546"/>
          <cell r="N1546"/>
          <cell r="O1546"/>
          <cell r="P1546"/>
          <cell r="Q1546"/>
          <cell r="R1546"/>
          <cell r="S1546"/>
          <cell r="T1546"/>
          <cell r="U1546"/>
          <cell r="V1546"/>
          <cell r="W1546"/>
          <cell r="X1546"/>
          <cell r="Y1546"/>
          <cell r="Z1546"/>
          <cell r="AA1546"/>
          <cell r="AB1546"/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/>
          <cell r="AS1546"/>
          <cell r="AT1546"/>
          <cell r="AU1546"/>
          <cell r="AV1546"/>
          <cell r="AW1546"/>
          <cell r="AX1546"/>
          <cell r="AY1546"/>
          <cell r="AZ1546"/>
        </row>
        <row r="1547">
          <cell r="A1547"/>
          <cell r="B1547"/>
          <cell r="C1547"/>
          <cell r="D1547"/>
          <cell r="E1547"/>
          <cell r="F1547"/>
          <cell r="G1547"/>
          <cell r="H1547"/>
          <cell r="I1547"/>
          <cell r="J1547"/>
          <cell r="K1547"/>
          <cell r="L1547"/>
          <cell r="M1547"/>
          <cell r="N1547"/>
          <cell r="O1547"/>
          <cell r="P1547"/>
          <cell r="Q1547"/>
          <cell r="R1547"/>
          <cell r="S1547"/>
          <cell r="T1547"/>
          <cell r="U1547"/>
          <cell r="V1547"/>
          <cell r="W1547"/>
          <cell r="X1547"/>
          <cell r="Y1547"/>
          <cell r="Z1547"/>
          <cell r="AA1547"/>
          <cell r="AB1547"/>
          <cell r="AC1547"/>
          <cell r="AD1547"/>
          <cell r="AE1547"/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/>
          <cell r="AS1547"/>
          <cell r="AT1547"/>
          <cell r="AU1547"/>
          <cell r="AV1547"/>
          <cell r="AW1547"/>
          <cell r="AX1547"/>
          <cell r="AY1547"/>
          <cell r="AZ1547"/>
        </row>
        <row r="1548">
          <cell r="A1548"/>
          <cell r="B1548"/>
          <cell r="C1548"/>
          <cell r="D1548"/>
          <cell r="E1548"/>
          <cell r="F1548"/>
          <cell r="G1548"/>
          <cell r="H1548"/>
          <cell r="I1548"/>
          <cell r="J1548"/>
          <cell r="K1548"/>
          <cell r="L1548"/>
          <cell r="M1548"/>
          <cell r="N1548"/>
          <cell r="O1548"/>
          <cell r="P1548"/>
          <cell r="Q1548"/>
          <cell r="R1548"/>
          <cell r="S1548"/>
          <cell r="T1548"/>
          <cell r="U1548"/>
          <cell r="V1548"/>
          <cell r="W1548"/>
          <cell r="X1548"/>
          <cell r="Y1548"/>
          <cell r="Z1548"/>
          <cell r="AA1548"/>
          <cell r="AB1548"/>
          <cell r="AC1548"/>
          <cell r="AD1548"/>
          <cell r="AE1548"/>
          <cell r="AF1548"/>
          <cell r="AG1548"/>
          <cell r="AH1548"/>
          <cell r="AI1548"/>
          <cell r="AJ1548"/>
          <cell r="AK1548"/>
          <cell r="AL1548"/>
          <cell r="AM1548"/>
          <cell r="AN1548"/>
          <cell r="AO1548"/>
          <cell r="AP1548"/>
          <cell r="AQ1548"/>
          <cell r="AR1548"/>
          <cell r="AS1548"/>
          <cell r="AT1548"/>
          <cell r="AU1548"/>
          <cell r="AV1548"/>
          <cell r="AW1548"/>
          <cell r="AX1548"/>
          <cell r="AY1548"/>
          <cell r="AZ1548"/>
        </row>
        <row r="1549">
          <cell r="A1549"/>
          <cell r="B1549"/>
          <cell r="C1549"/>
          <cell r="D1549"/>
          <cell r="E1549"/>
          <cell r="F1549"/>
          <cell r="G1549"/>
          <cell r="H1549"/>
          <cell r="I1549"/>
          <cell r="J1549"/>
          <cell r="K1549"/>
          <cell r="L1549"/>
          <cell r="M1549"/>
          <cell r="N1549"/>
          <cell r="O1549"/>
          <cell r="P1549"/>
          <cell r="Q1549"/>
          <cell r="R1549"/>
          <cell r="S1549"/>
          <cell r="T1549"/>
          <cell r="U1549"/>
          <cell r="V1549"/>
          <cell r="W1549"/>
          <cell r="X1549"/>
          <cell r="Y1549"/>
          <cell r="Z1549"/>
          <cell r="AA1549"/>
          <cell r="AB1549"/>
          <cell r="AC1549"/>
          <cell r="AD1549"/>
          <cell r="AE1549"/>
          <cell r="AF1549"/>
          <cell r="AG1549"/>
          <cell r="AH1549"/>
          <cell r="AI1549"/>
          <cell r="AJ1549"/>
          <cell r="AK1549"/>
          <cell r="AL1549"/>
          <cell r="AM1549"/>
          <cell r="AN1549"/>
          <cell r="AO1549"/>
          <cell r="AP1549"/>
          <cell r="AQ1549"/>
          <cell r="AR1549"/>
          <cell r="AS1549"/>
          <cell r="AT1549"/>
          <cell r="AU1549"/>
          <cell r="AV1549"/>
          <cell r="AW1549"/>
          <cell r="AX1549"/>
          <cell r="AY1549"/>
          <cell r="AZ1549"/>
        </row>
        <row r="1550">
          <cell r="A1550"/>
          <cell r="B1550"/>
          <cell r="C1550"/>
          <cell r="D1550"/>
          <cell r="E1550"/>
          <cell r="F1550"/>
          <cell r="G1550"/>
          <cell r="H1550"/>
          <cell r="I1550"/>
          <cell r="J1550"/>
          <cell r="K1550"/>
          <cell r="L1550"/>
          <cell r="M1550"/>
          <cell r="N1550"/>
          <cell r="O1550"/>
          <cell r="P1550"/>
          <cell r="Q1550"/>
          <cell r="R1550"/>
          <cell r="S1550"/>
          <cell r="T1550"/>
          <cell r="U1550"/>
          <cell r="V1550"/>
          <cell r="W1550"/>
          <cell r="X1550"/>
          <cell r="Y1550"/>
          <cell r="Z1550"/>
          <cell r="AA1550"/>
          <cell r="AB1550"/>
          <cell r="AC1550"/>
          <cell r="AD1550"/>
          <cell r="AE1550"/>
          <cell r="AF1550"/>
          <cell r="AG1550"/>
          <cell r="AH1550"/>
          <cell r="AI1550"/>
          <cell r="AJ1550"/>
          <cell r="AK1550"/>
          <cell r="AL1550"/>
          <cell r="AM1550"/>
          <cell r="AN1550"/>
          <cell r="AO1550"/>
          <cell r="AP1550"/>
          <cell r="AQ1550"/>
          <cell r="AR1550"/>
          <cell r="AS1550"/>
          <cell r="AT1550"/>
          <cell r="AU1550"/>
          <cell r="AV1550"/>
          <cell r="AW1550"/>
          <cell r="AX1550"/>
          <cell r="AY1550"/>
          <cell r="AZ1550"/>
        </row>
        <row r="1551">
          <cell r="A1551"/>
          <cell r="B1551"/>
          <cell r="C1551"/>
          <cell r="D1551"/>
          <cell r="E1551"/>
          <cell r="F1551"/>
          <cell r="G1551"/>
          <cell r="H1551"/>
          <cell r="I1551"/>
          <cell r="J1551"/>
          <cell r="K1551"/>
          <cell r="L1551"/>
          <cell r="M1551"/>
          <cell r="N1551"/>
          <cell r="O1551"/>
          <cell r="P1551"/>
          <cell r="Q1551"/>
          <cell r="R1551"/>
          <cell r="S1551"/>
          <cell r="T1551"/>
          <cell r="U1551"/>
          <cell r="V1551"/>
          <cell r="W1551"/>
          <cell r="X1551"/>
          <cell r="Y1551"/>
          <cell r="Z1551"/>
          <cell r="AA1551"/>
          <cell r="AB1551"/>
          <cell r="AC1551"/>
          <cell r="AD1551"/>
          <cell r="AE1551"/>
          <cell r="AF1551"/>
          <cell r="AG1551"/>
          <cell r="AH1551"/>
          <cell r="AI1551"/>
          <cell r="AJ1551"/>
          <cell r="AK1551"/>
          <cell r="AL1551"/>
          <cell r="AM1551"/>
          <cell r="AN1551"/>
          <cell r="AO1551"/>
          <cell r="AP1551"/>
          <cell r="AQ1551"/>
          <cell r="AR1551"/>
          <cell r="AS1551"/>
          <cell r="AT1551"/>
          <cell r="AU1551"/>
          <cell r="AV1551"/>
          <cell r="AW1551"/>
          <cell r="AX1551"/>
          <cell r="AY1551"/>
          <cell r="AZ1551"/>
        </row>
        <row r="1552">
          <cell r="A1552"/>
          <cell r="B1552"/>
          <cell r="C1552"/>
          <cell r="D1552"/>
          <cell r="E1552"/>
          <cell r="F1552"/>
          <cell r="G1552"/>
          <cell r="H1552"/>
          <cell r="I1552"/>
          <cell r="J1552"/>
          <cell r="K1552"/>
          <cell r="L1552"/>
          <cell r="M1552"/>
          <cell r="N1552"/>
          <cell r="O1552"/>
          <cell r="P1552"/>
          <cell r="Q1552"/>
          <cell r="R1552"/>
          <cell r="S1552"/>
          <cell r="T1552"/>
          <cell r="U1552"/>
          <cell r="V1552"/>
          <cell r="W1552"/>
          <cell r="X1552"/>
          <cell r="Y1552"/>
          <cell r="Z1552"/>
          <cell r="AA1552"/>
          <cell r="AB1552"/>
          <cell r="AC1552"/>
          <cell r="AD1552"/>
          <cell r="AE1552"/>
          <cell r="AF1552"/>
          <cell r="AG1552"/>
          <cell r="AH1552"/>
          <cell r="AI1552"/>
          <cell r="AJ1552"/>
          <cell r="AK1552"/>
          <cell r="AL1552"/>
          <cell r="AM1552"/>
          <cell r="AN1552"/>
          <cell r="AO1552"/>
          <cell r="AP1552"/>
          <cell r="AQ1552"/>
          <cell r="AR1552"/>
          <cell r="AS1552"/>
          <cell r="AT1552"/>
          <cell r="AU1552"/>
          <cell r="AV1552"/>
          <cell r="AW1552"/>
          <cell r="AX1552"/>
          <cell r="AY1552"/>
          <cell r="AZ1552"/>
        </row>
        <row r="1553">
          <cell r="A1553"/>
          <cell r="B1553"/>
          <cell r="C1553"/>
          <cell r="D1553"/>
          <cell r="E1553"/>
          <cell r="F1553"/>
          <cell r="G1553"/>
          <cell r="H1553"/>
          <cell r="I1553"/>
          <cell r="J1553"/>
          <cell r="K1553"/>
          <cell r="L1553"/>
          <cell r="M1553"/>
          <cell r="N1553"/>
          <cell r="O1553"/>
          <cell r="P1553"/>
          <cell r="Q1553"/>
          <cell r="R1553"/>
          <cell r="S1553"/>
          <cell r="T1553"/>
          <cell r="U1553"/>
          <cell r="V1553"/>
          <cell r="W1553"/>
          <cell r="X1553"/>
          <cell r="Y1553"/>
          <cell r="Z1553"/>
          <cell r="AA1553"/>
          <cell r="AB1553"/>
          <cell r="AC1553"/>
          <cell r="AD1553"/>
          <cell r="AE1553"/>
          <cell r="AF1553"/>
          <cell r="AG1553"/>
          <cell r="AH1553"/>
          <cell r="AI1553"/>
          <cell r="AJ1553"/>
          <cell r="AK1553"/>
          <cell r="AL1553"/>
          <cell r="AM1553"/>
          <cell r="AN1553"/>
          <cell r="AO1553"/>
          <cell r="AP1553"/>
          <cell r="AQ1553"/>
          <cell r="AR1553"/>
          <cell r="AS1553"/>
          <cell r="AT1553"/>
          <cell r="AU1553"/>
          <cell r="AV1553"/>
          <cell r="AW1553"/>
          <cell r="AX1553"/>
          <cell r="AY1553"/>
          <cell r="AZ1553"/>
        </row>
        <row r="1554">
          <cell r="A1554"/>
          <cell r="B1554"/>
          <cell r="C1554"/>
          <cell r="D1554"/>
          <cell r="E1554"/>
          <cell r="F1554"/>
          <cell r="G1554"/>
          <cell r="H1554"/>
          <cell r="I1554"/>
          <cell r="J1554"/>
          <cell r="K1554"/>
          <cell r="L1554"/>
          <cell r="M1554"/>
          <cell r="N1554"/>
          <cell r="O1554"/>
          <cell r="P1554"/>
          <cell r="Q1554"/>
          <cell r="R1554"/>
          <cell r="S1554"/>
          <cell r="T1554"/>
          <cell r="U1554"/>
          <cell r="V1554"/>
          <cell r="W1554"/>
          <cell r="X1554"/>
          <cell r="Y1554"/>
          <cell r="Z1554"/>
          <cell r="AA1554"/>
          <cell r="AB1554"/>
          <cell r="AC1554"/>
          <cell r="AD1554"/>
          <cell r="AE1554"/>
          <cell r="AF1554"/>
          <cell r="AG1554"/>
          <cell r="AH1554"/>
          <cell r="AI1554"/>
          <cell r="AJ1554"/>
          <cell r="AK1554"/>
          <cell r="AL1554"/>
          <cell r="AM1554"/>
          <cell r="AN1554"/>
          <cell r="AO1554"/>
          <cell r="AP1554"/>
          <cell r="AQ1554"/>
          <cell r="AR1554"/>
          <cell r="AS1554"/>
          <cell r="AT1554"/>
          <cell r="AU1554"/>
          <cell r="AV1554"/>
          <cell r="AW1554"/>
          <cell r="AX1554"/>
          <cell r="AY1554"/>
          <cell r="AZ1554"/>
        </row>
        <row r="1555">
          <cell r="A1555"/>
          <cell r="B1555"/>
          <cell r="C1555"/>
          <cell r="D1555"/>
          <cell r="E1555"/>
          <cell r="F1555"/>
          <cell r="G1555"/>
          <cell r="H1555"/>
          <cell r="I1555"/>
          <cell r="J1555"/>
          <cell r="K1555"/>
          <cell r="L1555"/>
          <cell r="M1555"/>
          <cell r="N1555"/>
          <cell r="O1555"/>
          <cell r="P1555"/>
          <cell r="Q1555"/>
          <cell r="R1555"/>
          <cell r="S1555"/>
          <cell r="T1555"/>
          <cell r="U1555"/>
          <cell r="V1555"/>
          <cell r="W1555"/>
          <cell r="X1555"/>
          <cell r="Y1555"/>
          <cell r="Z1555"/>
          <cell r="AA1555"/>
          <cell r="AB1555"/>
          <cell r="AC1555"/>
          <cell r="AD1555"/>
          <cell r="AE1555"/>
          <cell r="AF1555"/>
          <cell r="AG1555"/>
          <cell r="AH1555"/>
          <cell r="AI1555"/>
          <cell r="AJ1555"/>
          <cell r="AK1555"/>
          <cell r="AL1555"/>
          <cell r="AM1555"/>
          <cell r="AN1555"/>
          <cell r="AO1555"/>
          <cell r="AP1555"/>
          <cell r="AQ1555"/>
          <cell r="AR1555"/>
          <cell r="AS1555"/>
          <cell r="AT1555"/>
          <cell r="AU1555"/>
          <cell r="AV1555"/>
          <cell r="AW1555"/>
          <cell r="AX1555"/>
          <cell r="AY1555"/>
          <cell r="AZ1555"/>
        </row>
        <row r="1556">
          <cell r="A1556"/>
          <cell r="B1556"/>
          <cell r="C1556"/>
          <cell r="D1556"/>
          <cell r="E1556"/>
          <cell r="F1556"/>
          <cell r="G1556"/>
          <cell r="H1556"/>
          <cell r="I1556"/>
          <cell r="J1556"/>
          <cell r="K1556"/>
          <cell r="L1556"/>
          <cell r="M1556"/>
          <cell r="N1556"/>
          <cell r="O1556"/>
          <cell r="P1556"/>
          <cell r="Q1556"/>
          <cell r="R1556"/>
          <cell r="S1556"/>
          <cell r="T1556"/>
          <cell r="U1556"/>
          <cell r="V1556"/>
          <cell r="W1556"/>
          <cell r="X1556"/>
          <cell r="Y1556"/>
          <cell r="Z1556"/>
          <cell r="AA1556"/>
          <cell r="AB1556"/>
          <cell r="AC1556"/>
          <cell r="AD1556"/>
          <cell r="AE1556"/>
          <cell r="AF1556"/>
          <cell r="AG1556"/>
          <cell r="AH1556"/>
          <cell r="AI1556"/>
          <cell r="AJ1556"/>
          <cell r="AK1556"/>
          <cell r="AL1556"/>
          <cell r="AM1556"/>
          <cell r="AN1556"/>
          <cell r="AO1556"/>
          <cell r="AP1556"/>
          <cell r="AQ1556"/>
          <cell r="AR1556"/>
          <cell r="AS1556"/>
          <cell r="AT1556"/>
          <cell r="AU1556"/>
          <cell r="AV1556"/>
          <cell r="AW1556"/>
          <cell r="AX1556"/>
          <cell r="AY1556"/>
          <cell r="AZ1556"/>
        </row>
        <row r="1557">
          <cell r="A1557"/>
          <cell r="B1557"/>
          <cell r="C1557"/>
          <cell r="D1557"/>
          <cell r="E1557"/>
          <cell r="F1557"/>
          <cell r="G1557"/>
          <cell r="H1557"/>
          <cell r="I1557"/>
          <cell r="J1557"/>
          <cell r="K1557"/>
          <cell r="L1557"/>
          <cell r="M1557"/>
          <cell r="N1557"/>
          <cell r="O1557"/>
          <cell r="P1557"/>
          <cell r="Q1557"/>
          <cell r="R1557"/>
          <cell r="S1557"/>
          <cell r="T1557"/>
          <cell r="U1557"/>
          <cell r="V1557"/>
          <cell r="W1557"/>
          <cell r="X1557"/>
          <cell r="Y1557"/>
          <cell r="Z1557"/>
          <cell r="AA1557"/>
          <cell r="AB1557"/>
          <cell r="AC1557"/>
          <cell r="AD1557"/>
          <cell r="AE1557"/>
          <cell r="AF1557"/>
          <cell r="AG1557"/>
          <cell r="AH1557"/>
          <cell r="AI1557"/>
          <cell r="AJ1557"/>
          <cell r="AK1557"/>
          <cell r="AL1557"/>
          <cell r="AM1557"/>
          <cell r="AN1557"/>
          <cell r="AO1557"/>
          <cell r="AP1557"/>
          <cell r="AQ1557"/>
          <cell r="AR1557"/>
          <cell r="AS1557"/>
          <cell r="AT1557"/>
          <cell r="AU1557"/>
          <cell r="AV1557"/>
          <cell r="AW1557"/>
          <cell r="AX1557"/>
          <cell r="AY1557"/>
          <cell r="AZ1557"/>
        </row>
        <row r="1558">
          <cell r="A1558"/>
          <cell r="B1558"/>
          <cell r="C1558"/>
          <cell r="D1558"/>
          <cell r="E1558"/>
          <cell r="F1558"/>
          <cell r="G1558"/>
          <cell r="H1558"/>
          <cell r="I1558"/>
          <cell r="J1558"/>
          <cell r="K1558"/>
          <cell r="L1558"/>
          <cell r="M1558"/>
          <cell r="N1558"/>
          <cell r="O1558"/>
          <cell r="P1558"/>
          <cell r="Q1558"/>
          <cell r="R1558"/>
          <cell r="S1558"/>
          <cell r="T1558"/>
          <cell r="U1558"/>
          <cell r="V1558"/>
          <cell r="W1558"/>
          <cell r="X1558"/>
          <cell r="Y1558"/>
          <cell r="Z1558"/>
          <cell r="AA1558"/>
          <cell r="AB1558"/>
          <cell r="AC1558"/>
          <cell r="AD1558"/>
          <cell r="AE1558"/>
          <cell r="AF1558"/>
          <cell r="AG1558"/>
          <cell r="AH1558"/>
          <cell r="AI1558"/>
          <cell r="AJ1558"/>
          <cell r="AK1558"/>
          <cell r="AL1558"/>
          <cell r="AM1558"/>
          <cell r="AN1558"/>
          <cell r="AO1558"/>
          <cell r="AP1558"/>
          <cell r="AQ1558"/>
          <cell r="AR1558"/>
          <cell r="AS1558"/>
          <cell r="AT1558"/>
          <cell r="AU1558"/>
          <cell r="AV1558"/>
          <cell r="AW1558"/>
          <cell r="AX1558"/>
          <cell r="AY1558"/>
          <cell r="AZ1558"/>
        </row>
        <row r="1559">
          <cell r="A1559"/>
          <cell r="B1559"/>
          <cell r="C1559"/>
          <cell r="D1559"/>
          <cell r="E1559"/>
          <cell r="F1559"/>
          <cell r="G1559"/>
          <cell r="H1559"/>
          <cell r="I1559"/>
          <cell r="J1559"/>
          <cell r="K1559"/>
          <cell r="L1559"/>
          <cell r="M1559"/>
          <cell r="N1559"/>
          <cell r="O1559"/>
          <cell r="P1559"/>
          <cell r="Q1559"/>
          <cell r="R1559"/>
          <cell r="S1559"/>
          <cell r="T1559"/>
          <cell r="U1559"/>
          <cell r="V1559"/>
          <cell r="W1559"/>
          <cell r="X1559"/>
          <cell r="Y1559"/>
          <cell r="Z1559"/>
          <cell r="AA1559"/>
          <cell r="AB1559"/>
          <cell r="AC1559"/>
          <cell r="AD1559"/>
          <cell r="AE1559"/>
          <cell r="AF1559"/>
          <cell r="AG1559"/>
          <cell r="AH1559"/>
          <cell r="AI1559"/>
          <cell r="AJ1559"/>
          <cell r="AK1559"/>
          <cell r="AL1559"/>
          <cell r="AM1559"/>
          <cell r="AN1559"/>
          <cell r="AO1559"/>
          <cell r="AP1559"/>
          <cell r="AQ1559"/>
          <cell r="AR1559"/>
          <cell r="AS1559"/>
          <cell r="AT1559"/>
          <cell r="AU1559"/>
          <cell r="AV1559"/>
          <cell r="AW1559"/>
          <cell r="AX1559"/>
          <cell r="AY1559"/>
          <cell r="AZ1559"/>
        </row>
        <row r="1560">
          <cell r="A1560"/>
          <cell r="B1560"/>
          <cell r="C1560"/>
          <cell r="D1560"/>
          <cell r="E1560"/>
          <cell r="F1560"/>
          <cell r="G1560"/>
          <cell r="H1560"/>
          <cell r="I1560"/>
          <cell r="J1560"/>
          <cell r="K1560"/>
          <cell r="L1560"/>
          <cell r="M1560"/>
          <cell r="N1560"/>
          <cell r="O1560"/>
          <cell r="P1560"/>
          <cell r="Q1560"/>
          <cell r="R1560"/>
          <cell r="S1560"/>
          <cell r="T1560"/>
          <cell r="U1560"/>
          <cell r="V1560"/>
          <cell r="W1560"/>
          <cell r="X1560"/>
          <cell r="Y1560"/>
          <cell r="Z1560"/>
          <cell r="AA1560"/>
          <cell r="AB1560"/>
          <cell r="AC1560"/>
          <cell r="AD1560"/>
          <cell r="AE1560"/>
          <cell r="AF1560"/>
          <cell r="AG1560"/>
          <cell r="AH1560"/>
          <cell r="AI1560"/>
          <cell r="AJ1560"/>
          <cell r="AK1560"/>
          <cell r="AL1560"/>
          <cell r="AM1560"/>
          <cell r="AN1560"/>
          <cell r="AO1560"/>
          <cell r="AP1560"/>
          <cell r="AQ1560"/>
          <cell r="AR1560"/>
          <cell r="AS1560"/>
          <cell r="AT1560"/>
          <cell r="AU1560"/>
          <cell r="AV1560"/>
          <cell r="AW1560"/>
          <cell r="AX1560"/>
          <cell r="AY1560"/>
          <cell r="AZ1560"/>
        </row>
        <row r="1561">
          <cell r="A1561"/>
          <cell r="B1561"/>
          <cell r="C1561"/>
          <cell r="D1561"/>
          <cell r="E1561"/>
          <cell r="F1561"/>
          <cell r="G1561"/>
          <cell r="H1561"/>
          <cell r="I1561"/>
          <cell r="J1561"/>
          <cell r="K1561"/>
          <cell r="L1561"/>
          <cell r="M1561"/>
          <cell r="N1561"/>
          <cell r="O1561"/>
          <cell r="P1561"/>
          <cell r="Q1561"/>
          <cell r="R1561"/>
          <cell r="S1561"/>
          <cell r="T1561"/>
          <cell r="U1561"/>
          <cell r="V1561"/>
          <cell r="W1561"/>
          <cell r="X1561"/>
          <cell r="Y1561"/>
          <cell r="Z1561"/>
          <cell r="AA1561"/>
          <cell r="AB1561"/>
          <cell r="AC1561"/>
          <cell r="AD1561"/>
          <cell r="AE1561"/>
          <cell r="AF1561"/>
          <cell r="AG1561"/>
          <cell r="AH1561"/>
          <cell r="AI1561"/>
          <cell r="AJ1561"/>
          <cell r="AK1561"/>
          <cell r="AL1561"/>
          <cell r="AM1561"/>
          <cell r="AN1561"/>
          <cell r="AO1561"/>
          <cell r="AP1561"/>
          <cell r="AQ1561"/>
          <cell r="AR1561"/>
          <cell r="AS1561"/>
          <cell r="AT1561"/>
          <cell r="AU1561"/>
          <cell r="AV1561"/>
          <cell r="AW1561"/>
          <cell r="AX1561"/>
          <cell r="AY1561"/>
          <cell r="AZ1561"/>
        </row>
        <row r="1562">
          <cell r="A1562"/>
          <cell r="B1562"/>
          <cell r="C1562"/>
          <cell r="D1562"/>
          <cell r="E1562"/>
          <cell r="F1562"/>
          <cell r="G1562"/>
          <cell r="H1562"/>
          <cell r="I1562"/>
          <cell r="J1562"/>
          <cell r="K1562"/>
          <cell r="L1562"/>
          <cell r="M1562"/>
          <cell r="N1562"/>
          <cell r="O1562"/>
          <cell r="P1562"/>
          <cell r="Q1562"/>
          <cell r="R1562"/>
          <cell r="S1562"/>
          <cell r="T1562"/>
          <cell r="U1562"/>
          <cell r="V1562"/>
          <cell r="W1562"/>
          <cell r="X1562"/>
          <cell r="Y1562"/>
          <cell r="Z1562"/>
          <cell r="AA1562"/>
          <cell r="AB1562"/>
          <cell r="AC1562"/>
          <cell r="AD1562"/>
          <cell r="AE1562"/>
          <cell r="AF1562"/>
          <cell r="AG1562"/>
          <cell r="AH1562"/>
          <cell r="AI1562"/>
          <cell r="AJ1562"/>
          <cell r="AK1562"/>
          <cell r="AL1562"/>
          <cell r="AM1562"/>
          <cell r="AN1562"/>
          <cell r="AO1562"/>
          <cell r="AP1562"/>
          <cell r="AQ1562"/>
          <cell r="AR1562"/>
          <cell r="AS1562"/>
          <cell r="AT1562"/>
          <cell r="AU1562"/>
          <cell r="AV1562"/>
          <cell r="AW1562"/>
          <cell r="AX1562"/>
          <cell r="AY1562"/>
          <cell r="AZ1562"/>
        </row>
        <row r="1563">
          <cell r="A1563"/>
          <cell r="B1563"/>
          <cell r="C1563"/>
          <cell r="D1563"/>
          <cell r="E1563"/>
          <cell r="F1563"/>
          <cell r="G1563"/>
          <cell r="H1563"/>
          <cell r="I1563"/>
          <cell r="J1563"/>
          <cell r="K1563"/>
          <cell r="L1563"/>
          <cell r="M1563"/>
          <cell r="N1563"/>
          <cell r="O1563"/>
          <cell r="P1563"/>
          <cell r="Q1563"/>
          <cell r="R1563"/>
          <cell r="S1563"/>
          <cell r="T1563"/>
          <cell r="U1563"/>
          <cell r="V1563"/>
          <cell r="W1563"/>
          <cell r="X1563"/>
          <cell r="Y1563"/>
          <cell r="Z1563"/>
          <cell r="AA1563"/>
          <cell r="AB1563"/>
          <cell r="AC1563"/>
          <cell r="AD1563"/>
          <cell r="AE1563"/>
          <cell r="AF1563"/>
          <cell r="AG1563"/>
          <cell r="AH1563"/>
          <cell r="AI1563"/>
          <cell r="AJ1563"/>
          <cell r="AK1563"/>
          <cell r="AL1563"/>
          <cell r="AM1563"/>
          <cell r="AN1563"/>
          <cell r="AO1563"/>
          <cell r="AP1563"/>
          <cell r="AQ1563"/>
          <cell r="AR1563"/>
          <cell r="AS1563"/>
          <cell r="AT1563"/>
          <cell r="AU1563"/>
          <cell r="AV1563"/>
          <cell r="AW1563"/>
          <cell r="AX1563"/>
          <cell r="AY1563"/>
          <cell r="AZ1563"/>
        </row>
        <row r="1564">
          <cell r="A1564"/>
          <cell r="B1564"/>
          <cell r="C1564"/>
          <cell r="D1564"/>
          <cell r="E1564"/>
          <cell r="F1564"/>
          <cell r="G1564"/>
          <cell r="H1564"/>
          <cell r="I1564"/>
          <cell r="J1564"/>
          <cell r="K1564"/>
          <cell r="L1564"/>
          <cell r="M1564"/>
          <cell r="N1564"/>
          <cell r="O1564"/>
          <cell r="P1564"/>
          <cell r="Q1564"/>
          <cell r="R1564"/>
          <cell r="S1564"/>
          <cell r="T1564"/>
          <cell r="U1564"/>
          <cell r="V1564"/>
          <cell r="W1564"/>
          <cell r="X1564"/>
          <cell r="Y1564"/>
          <cell r="Z1564"/>
          <cell r="AA1564"/>
          <cell r="AB1564"/>
          <cell r="AC1564"/>
          <cell r="AD1564"/>
          <cell r="AE1564"/>
          <cell r="AF1564"/>
          <cell r="AG1564"/>
          <cell r="AH1564"/>
          <cell r="AI1564"/>
          <cell r="AJ1564"/>
          <cell r="AK1564"/>
          <cell r="AL1564"/>
          <cell r="AM1564"/>
          <cell r="AN1564"/>
          <cell r="AO1564"/>
          <cell r="AP1564"/>
          <cell r="AQ1564"/>
          <cell r="AR1564"/>
          <cell r="AS1564"/>
          <cell r="AT1564"/>
          <cell r="AU1564"/>
          <cell r="AV1564"/>
          <cell r="AW1564"/>
          <cell r="AX1564"/>
          <cell r="AY1564"/>
          <cell r="AZ1564"/>
        </row>
        <row r="1565">
          <cell r="A1565"/>
          <cell r="B1565"/>
          <cell r="C1565"/>
          <cell r="D1565"/>
          <cell r="E1565"/>
          <cell r="F1565"/>
          <cell r="G1565"/>
          <cell r="H1565"/>
          <cell r="I1565"/>
          <cell r="J1565"/>
          <cell r="K1565"/>
          <cell r="L1565"/>
          <cell r="M1565"/>
          <cell r="N1565"/>
          <cell r="O1565"/>
          <cell r="P1565"/>
          <cell r="Q1565"/>
          <cell r="R1565"/>
          <cell r="S1565"/>
          <cell r="T1565"/>
          <cell r="U1565"/>
          <cell r="V1565"/>
          <cell r="W1565"/>
          <cell r="X1565"/>
          <cell r="Y1565"/>
          <cell r="Z1565"/>
          <cell r="AA1565"/>
          <cell r="AB1565"/>
          <cell r="AC1565"/>
          <cell r="AD1565"/>
          <cell r="AE1565"/>
          <cell r="AF1565"/>
          <cell r="AG1565"/>
          <cell r="AH1565"/>
          <cell r="AI1565"/>
          <cell r="AJ1565"/>
          <cell r="AK1565"/>
          <cell r="AL1565"/>
          <cell r="AM1565"/>
          <cell r="AN1565"/>
          <cell r="AO1565"/>
          <cell r="AP1565"/>
          <cell r="AQ1565"/>
          <cell r="AR1565"/>
          <cell r="AS1565"/>
          <cell r="AT1565"/>
          <cell r="AU1565"/>
          <cell r="AV1565"/>
          <cell r="AW1565"/>
          <cell r="AX1565"/>
          <cell r="AY1565"/>
          <cell r="AZ1565"/>
        </row>
        <row r="1566">
          <cell r="A1566"/>
          <cell r="B1566"/>
          <cell r="C1566"/>
          <cell r="D1566"/>
          <cell r="E1566"/>
          <cell r="F1566"/>
          <cell r="G1566"/>
          <cell r="H1566"/>
          <cell r="I1566"/>
          <cell r="J1566"/>
          <cell r="K1566"/>
          <cell r="L1566"/>
          <cell r="M1566"/>
          <cell r="N1566"/>
          <cell r="O1566"/>
          <cell r="P1566"/>
          <cell r="Q1566"/>
          <cell r="R1566"/>
          <cell r="S1566"/>
          <cell r="T1566"/>
          <cell r="U1566"/>
          <cell r="V1566"/>
          <cell r="W1566"/>
          <cell r="X1566"/>
          <cell r="Y1566"/>
          <cell r="Z1566"/>
          <cell r="AA1566"/>
          <cell r="AB1566"/>
          <cell r="AC1566"/>
          <cell r="AD1566"/>
          <cell r="AE1566"/>
          <cell r="AF1566"/>
          <cell r="AG1566"/>
          <cell r="AH1566"/>
          <cell r="AI1566"/>
          <cell r="AJ1566"/>
          <cell r="AK1566"/>
          <cell r="AL1566"/>
          <cell r="AM1566"/>
          <cell r="AN1566"/>
          <cell r="AO1566"/>
          <cell r="AP1566"/>
          <cell r="AQ1566"/>
          <cell r="AR1566"/>
          <cell r="AS1566"/>
          <cell r="AT1566"/>
          <cell r="AU1566"/>
          <cell r="AV1566"/>
          <cell r="AW1566"/>
          <cell r="AX1566"/>
          <cell r="AY1566"/>
          <cell r="AZ1566"/>
        </row>
        <row r="1567">
          <cell r="A1567"/>
          <cell r="B1567"/>
          <cell r="C1567"/>
          <cell r="D1567"/>
          <cell r="E1567"/>
          <cell r="F1567"/>
          <cell r="G1567"/>
          <cell r="H1567"/>
          <cell r="I1567"/>
          <cell r="J1567"/>
          <cell r="K1567"/>
          <cell r="L1567"/>
          <cell r="M1567"/>
          <cell r="N1567"/>
          <cell r="O1567"/>
          <cell r="P1567"/>
          <cell r="Q1567"/>
          <cell r="R1567"/>
          <cell r="S1567"/>
          <cell r="T1567"/>
          <cell r="U1567"/>
          <cell r="V1567"/>
          <cell r="W1567"/>
          <cell r="X1567"/>
          <cell r="Y1567"/>
          <cell r="Z1567"/>
          <cell r="AA1567"/>
          <cell r="AB1567"/>
          <cell r="AC1567"/>
          <cell r="AD1567"/>
          <cell r="AE1567"/>
          <cell r="AF1567"/>
          <cell r="AG1567"/>
          <cell r="AH1567"/>
          <cell r="AI1567"/>
          <cell r="AJ1567"/>
          <cell r="AK1567"/>
          <cell r="AL1567"/>
          <cell r="AM1567"/>
          <cell r="AN1567"/>
          <cell r="AO1567"/>
          <cell r="AP1567"/>
          <cell r="AQ1567"/>
          <cell r="AR1567"/>
          <cell r="AS1567"/>
          <cell r="AT1567"/>
          <cell r="AU1567"/>
          <cell r="AV1567"/>
          <cell r="AW1567"/>
          <cell r="AX1567"/>
          <cell r="AY1567"/>
          <cell r="AZ1567"/>
        </row>
        <row r="1568">
          <cell r="A1568"/>
          <cell r="B1568"/>
          <cell r="C1568"/>
          <cell r="D1568"/>
          <cell r="E1568"/>
          <cell r="F1568"/>
          <cell r="G1568"/>
          <cell r="H1568"/>
          <cell r="I1568"/>
          <cell r="J1568"/>
          <cell r="K1568"/>
          <cell r="L1568"/>
          <cell r="M1568"/>
          <cell r="N1568"/>
          <cell r="O1568"/>
          <cell r="P1568"/>
          <cell r="Q1568"/>
          <cell r="R1568"/>
          <cell r="S1568"/>
          <cell r="T1568"/>
          <cell r="U1568"/>
          <cell r="V1568"/>
          <cell r="W1568"/>
          <cell r="X1568"/>
          <cell r="Y1568"/>
          <cell r="Z1568"/>
          <cell r="AA1568"/>
          <cell r="AB1568"/>
          <cell r="AC1568"/>
          <cell r="AD1568"/>
          <cell r="AE1568"/>
          <cell r="AF1568"/>
          <cell r="AG1568"/>
          <cell r="AH1568"/>
          <cell r="AI1568"/>
          <cell r="AJ1568"/>
          <cell r="AK1568"/>
          <cell r="AL1568"/>
          <cell r="AM1568"/>
          <cell r="AN1568"/>
          <cell r="AO1568"/>
          <cell r="AP1568"/>
          <cell r="AQ1568"/>
          <cell r="AR1568"/>
          <cell r="AS1568"/>
          <cell r="AT1568"/>
          <cell r="AU1568"/>
          <cell r="AV1568"/>
          <cell r="AW1568"/>
          <cell r="AX1568"/>
          <cell r="AY1568"/>
          <cell r="AZ1568"/>
        </row>
        <row r="1569">
          <cell r="A1569"/>
          <cell r="B1569"/>
          <cell r="C1569"/>
          <cell r="D1569"/>
          <cell r="E1569"/>
          <cell r="F1569"/>
          <cell r="G1569"/>
          <cell r="H1569"/>
          <cell r="I1569"/>
          <cell r="J1569"/>
          <cell r="K1569"/>
          <cell r="L1569"/>
          <cell r="M1569"/>
          <cell r="N1569"/>
          <cell r="O1569"/>
          <cell r="P1569"/>
          <cell r="Q1569"/>
          <cell r="R1569"/>
          <cell r="S1569"/>
          <cell r="T1569"/>
          <cell r="U1569"/>
          <cell r="V1569"/>
          <cell r="W1569"/>
          <cell r="X1569"/>
          <cell r="Y1569"/>
          <cell r="Z1569"/>
          <cell r="AA1569"/>
          <cell r="AB1569"/>
          <cell r="AC1569"/>
          <cell r="AD1569"/>
          <cell r="AE1569"/>
          <cell r="AF1569"/>
          <cell r="AG1569"/>
          <cell r="AH1569"/>
          <cell r="AI1569"/>
          <cell r="AJ1569"/>
          <cell r="AK1569"/>
          <cell r="AL1569"/>
          <cell r="AM1569"/>
          <cell r="AN1569"/>
          <cell r="AO1569"/>
          <cell r="AP1569"/>
          <cell r="AQ1569"/>
          <cell r="AR1569"/>
          <cell r="AS1569"/>
          <cell r="AT1569"/>
          <cell r="AU1569"/>
          <cell r="AV1569"/>
          <cell r="AW1569"/>
          <cell r="AX1569"/>
          <cell r="AY1569"/>
          <cell r="AZ1569"/>
        </row>
        <row r="1570">
          <cell r="A1570"/>
          <cell r="B1570"/>
          <cell r="C1570"/>
          <cell r="D1570"/>
          <cell r="E1570"/>
          <cell r="F1570"/>
          <cell r="G1570"/>
          <cell r="H1570"/>
          <cell r="I1570"/>
          <cell r="J1570"/>
          <cell r="K1570"/>
          <cell r="L1570"/>
          <cell r="M1570"/>
          <cell r="N1570"/>
          <cell r="O1570"/>
          <cell r="P1570"/>
          <cell r="Q1570"/>
          <cell r="R1570"/>
          <cell r="S1570"/>
          <cell r="T1570"/>
          <cell r="U1570"/>
          <cell r="V1570"/>
          <cell r="W1570"/>
          <cell r="X1570"/>
          <cell r="Y1570"/>
          <cell r="Z1570"/>
          <cell r="AA1570"/>
          <cell r="AB1570"/>
          <cell r="AC1570"/>
          <cell r="AD1570"/>
          <cell r="AE1570"/>
          <cell r="AF1570"/>
          <cell r="AG1570"/>
          <cell r="AH1570"/>
          <cell r="AI1570"/>
          <cell r="AJ1570"/>
          <cell r="AK1570"/>
          <cell r="AL1570"/>
          <cell r="AM1570"/>
          <cell r="AN1570"/>
          <cell r="AO1570"/>
          <cell r="AP1570"/>
          <cell r="AQ1570"/>
          <cell r="AR1570"/>
          <cell r="AS1570"/>
          <cell r="AT1570"/>
          <cell r="AU1570"/>
          <cell r="AV1570"/>
          <cell r="AW1570"/>
          <cell r="AX1570"/>
          <cell r="AY1570"/>
          <cell r="AZ1570"/>
        </row>
        <row r="1571">
          <cell r="A1571"/>
          <cell r="B1571"/>
          <cell r="C1571"/>
          <cell r="D1571"/>
          <cell r="E1571"/>
          <cell r="F1571"/>
          <cell r="G1571"/>
          <cell r="H1571"/>
          <cell r="I1571"/>
          <cell r="J1571"/>
          <cell r="K1571"/>
          <cell r="L1571"/>
          <cell r="M1571"/>
          <cell r="N1571"/>
          <cell r="O1571"/>
          <cell r="P1571"/>
          <cell r="Q1571"/>
          <cell r="R1571"/>
          <cell r="S1571"/>
          <cell r="T1571"/>
          <cell r="U1571"/>
          <cell r="V1571"/>
          <cell r="W1571"/>
          <cell r="X1571"/>
          <cell r="Y1571"/>
          <cell r="Z1571"/>
          <cell r="AA1571"/>
          <cell r="AB1571"/>
          <cell r="AC1571"/>
          <cell r="AD1571"/>
          <cell r="AE1571"/>
          <cell r="AF1571"/>
          <cell r="AG1571"/>
          <cell r="AH1571"/>
          <cell r="AI1571"/>
          <cell r="AJ1571"/>
          <cell r="AK1571"/>
          <cell r="AL1571"/>
          <cell r="AM1571"/>
          <cell r="AN1571"/>
          <cell r="AO1571"/>
          <cell r="AP1571"/>
          <cell r="AQ1571"/>
          <cell r="AR1571"/>
          <cell r="AS1571"/>
          <cell r="AT1571"/>
          <cell r="AU1571"/>
          <cell r="AV1571"/>
          <cell r="AW1571"/>
          <cell r="AX1571"/>
          <cell r="AY1571"/>
          <cell r="AZ1571"/>
        </row>
        <row r="1572">
          <cell r="A1572"/>
          <cell r="B1572"/>
          <cell r="C1572"/>
          <cell r="D1572"/>
          <cell r="E1572"/>
          <cell r="F1572"/>
          <cell r="G1572"/>
          <cell r="H1572"/>
          <cell r="I1572"/>
          <cell r="J1572"/>
          <cell r="K1572"/>
          <cell r="L1572"/>
          <cell r="M1572"/>
          <cell r="N1572"/>
          <cell r="O1572"/>
          <cell r="P1572"/>
          <cell r="Q1572"/>
          <cell r="R1572"/>
          <cell r="S1572"/>
          <cell r="T1572"/>
          <cell r="U1572"/>
          <cell r="V1572"/>
          <cell r="W1572"/>
          <cell r="X1572"/>
          <cell r="Y1572"/>
          <cell r="Z1572"/>
          <cell r="AA1572"/>
          <cell r="AB1572"/>
          <cell r="AC1572"/>
          <cell r="AD1572"/>
          <cell r="AE1572"/>
          <cell r="AF1572"/>
          <cell r="AG1572"/>
          <cell r="AH1572"/>
          <cell r="AI1572"/>
          <cell r="AJ1572"/>
          <cell r="AK1572"/>
          <cell r="AL1572"/>
          <cell r="AM1572"/>
          <cell r="AN1572"/>
          <cell r="AO1572"/>
          <cell r="AP1572"/>
          <cell r="AQ1572"/>
          <cell r="AR1572"/>
          <cell r="AS1572"/>
          <cell r="AT1572"/>
          <cell r="AU1572"/>
          <cell r="AV1572"/>
          <cell r="AW1572"/>
          <cell r="AX1572"/>
          <cell r="AY1572"/>
          <cell r="AZ1572"/>
        </row>
        <row r="1573">
          <cell r="A1573"/>
          <cell r="B1573"/>
          <cell r="C1573"/>
          <cell r="D1573"/>
          <cell r="E1573"/>
          <cell r="F1573"/>
          <cell r="G1573"/>
          <cell r="H1573"/>
          <cell r="I1573"/>
          <cell r="J1573"/>
          <cell r="K1573"/>
          <cell r="L1573"/>
          <cell r="M1573"/>
          <cell r="N1573"/>
          <cell r="O1573"/>
          <cell r="P1573"/>
          <cell r="Q1573"/>
          <cell r="R1573"/>
          <cell r="S1573"/>
          <cell r="T1573"/>
          <cell r="U1573"/>
          <cell r="V1573"/>
          <cell r="W1573"/>
          <cell r="X1573"/>
          <cell r="Y1573"/>
          <cell r="Z1573"/>
          <cell r="AA1573"/>
          <cell r="AB1573"/>
          <cell r="AC1573"/>
          <cell r="AD1573"/>
          <cell r="AE1573"/>
          <cell r="AF1573"/>
          <cell r="AG1573"/>
          <cell r="AH1573"/>
          <cell r="AI1573"/>
          <cell r="AJ1573"/>
          <cell r="AK1573"/>
          <cell r="AL1573"/>
          <cell r="AM1573"/>
          <cell r="AN1573"/>
          <cell r="AO1573"/>
          <cell r="AP1573"/>
          <cell r="AQ1573"/>
          <cell r="AR1573"/>
          <cell r="AS1573"/>
          <cell r="AT1573"/>
          <cell r="AU1573"/>
          <cell r="AV1573"/>
          <cell r="AW1573"/>
          <cell r="AX1573"/>
          <cell r="AY1573"/>
          <cell r="AZ1573"/>
        </row>
        <row r="1574">
          <cell r="A1574"/>
          <cell r="B1574"/>
          <cell r="C1574"/>
          <cell r="D1574"/>
          <cell r="E1574"/>
          <cell r="F1574"/>
          <cell r="G1574"/>
          <cell r="H1574"/>
          <cell r="I1574"/>
          <cell r="J1574"/>
          <cell r="K1574"/>
          <cell r="L1574"/>
          <cell r="M1574"/>
          <cell r="N1574"/>
          <cell r="O1574"/>
          <cell r="P1574"/>
          <cell r="Q1574"/>
          <cell r="R1574"/>
          <cell r="S1574"/>
          <cell r="T1574"/>
          <cell r="U1574"/>
          <cell r="V1574"/>
          <cell r="W1574"/>
          <cell r="X1574"/>
          <cell r="Y1574"/>
          <cell r="Z1574"/>
          <cell r="AA1574"/>
          <cell r="AB1574"/>
          <cell r="AC1574"/>
          <cell r="AD1574"/>
          <cell r="AE1574"/>
          <cell r="AF1574"/>
          <cell r="AG1574"/>
          <cell r="AH1574"/>
          <cell r="AI1574"/>
          <cell r="AJ1574"/>
          <cell r="AK1574"/>
          <cell r="AL1574"/>
          <cell r="AM1574"/>
          <cell r="AN1574"/>
          <cell r="AO1574"/>
          <cell r="AP1574"/>
          <cell r="AQ1574"/>
          <cell r="AR1574"/>
          <cell r="AS1574"/>
          <cell r="AT1574"/>
          <cell r="AU1574"/>
          <cell r="AV1574"/>
          <cell r="AW1574"/>
          <cell r="AX1574"/>
          <cell r="AY1574"/>
          <cell r="AZ1574"/>
        </row>
        <row r="1575">
          <cell r="A1575"/>
          <cell r="B1575"/>
          <cell r="C1575"/>
          <cell r="D1575"/>
          <cell r="E1575"/>
          <cell r="F1575"/>
          <cell r="G1575"/>
          <cell r="H1575"/>
          <cell r="I1575"/>
          <cell r="J1575"/>
          <cell r="K1575"/>
          <cell r="L1575"/>
          <cell r="M1575"/>
          <cell r="N1575"/>
          <cell r="O1575"/>
          <cell r="P1575"/>
          <cell r="Q1575"/>
          <cell r="R1575"/>
          <cell r="S1575"/>
          <cell r="T1575"/>
          <cell r="U1575"/>
          <cell r="V1575"/>
          <cell r="W1575"/>
          <cell r="X1575"/>
          <cell r="Y1575"/>
          <cell r="Z1575"/>
          <cell r="AA1575"/>
          <cell r="AB1575"/>
          <cell r="AC1575"/>
          <cell r="AD1575"/>
          <cell r="AE1575"/>
          <cell r="AF1575"/>
          <cell r="AG1575"/>
          <cell r="AH1575"/>
          <cell r="AI1575"/>
          <cell r="AJ1575"/>
          <cell r="AK1575"/>
          <cell r="AL1575"/>
          <cell r="AM1575"/>
          <cell r="AN1575"/>
          <cell r="AO1575"/>
          <cell r="AP1575"/>
          <cell r="AQ1575"/>
          <cell r="AR1575"/>
          <cell r="AS1575"/>
          <cell r="AT1575"/>
          <cell r="AU1575"/>
          <cell r="AV1575"/>
          <cell r="AW1575"/>
          <cell r="AX1575"/>
          <cell r="AY1575"/>
          <cell r="AZ1575"/>
        </row>
        <row r="1576">
          <cell r="A1576"/>
          <cell r="B1576"/>
          <cell r="C1576"/>
          <cell r="D1576"/>
          <cell r="E1576"/>
          <cell r="F1576"/>
          <cell r="G1576"/>
          <cell r="H1576"/>
          <cell r="I1576"/>
          <cell r="J1576"/>
          <cell r="K1576"/>
          <cell r="L1576"/>
          <cell r="M1576"/>
          <cell r="N1576"/>
          <cell r="O1576"/>
          <cell r="P1576"/>
          <cell r="Q1576"/>
          <cell r="R1576"/>
          <cell r="S1576"/>
          <cell r="T1576"/>
          <cell r="U1576"/>
          <cell r="V1576"/>
          <cell r="W1576"/>
          <cell r="X1576"/>
          <cell r="Y1576"/>
          <cell r="Z1576"/>
          <cell r="AA1576"/>
          <cell r="AB1576"/>
          <cell r="AC1576"/>
          <cell r="AD1576"/>
          <cell r="AE1576"/>
          <cell r="AF1576"/>
          <cell r="AG1576"/>
          <cell r="AH1576"/>
          <cell r="AI1576"/>
          <cell r="AJ1576"/>
          <cell r="AK1576"/>
          <cell r="AL1576"/>
          <cell r="AM1576"/>
          <cell r="AN1576"/>
          <cell r="AO1576"/>
          <cell r="AP1576"/>
          <cell r="AQ1576"/>
          <cell r="AR1576"/>
          <cell r="AS1576"/>
          <cell r="AT1576"/>
          <cell r="AU1576"/>
          <cell r="AV1576"/>
          <cell r="AW1576"/>
          <cell r="AX1576"/>
          <cell r="AY1576"/>
          <cell r="AZ1576"/>
        </row>
        <row r="1577">
          <cell r="A1577"/>
          <cell r="B1577"/>
          <cell r="C1577"/>
          <cell r="D1577"/>
          <cell r="E1577"/>
          <cell r="F1577"/>
          <cell r="G1577"/>
          <cell r="H1577"/>
          <cell r="I1577"/>
          <cell r="J1577"/>
          <cell r="K1577"/>
          <cell r="L1577"/>
          <cell r="M1577"/>
          <cell r="N1577"/>
          <cell r="O1577"/>
          <cell r="P1577"/>
          <cell r="Q1577"/>
          <cell r="R1577"/>
          <cell r="S1577"/>
          <cell r="T1577"/>
          <cell r="U1577"/>
          <cell r="V1577"/>
          <cell r="W1577"/>
          <cell r="X1577"/>
          <cell r="Y1577"/>
          <cell r="Z1577"/>
          <cell r="AA1577"/>
          <cell r="AB1577"/>
          <cell r="AC1577"/>
          <cell r="AD1577"/>
          <cell r="AE1577"/>
          <cell r="AF1577"/>
          <cell r="AG1577"/>
          <cell r="AH1577"/>
          <cell r="AI1577"/>
          <cell r="AJ1577"/>
          <cell r="AK1577"/>
          <cell r="AL1577"/>
          <cell r="AM1577"/>
          <cell r="AN1577"/>
          <cell r="AO1577"/>
          <cell r="AP1577"/>
          <cell r="AQ1577"/>
          <cell r="AR1577"/>
          <cell r="AS1577"/>
          <cell r="AT1577"/>
          <cell r="AU1577"/>
          <cell r="AV1577"/>
          <cell r="AW1577"/>
          <cell r="AX1577"/>
          <cell r="AY1577"/>
          <cell r="AZ1577"/>
        </row>
        <row r="1578">
          <cell r="A1578"/>
          <cell r="B1578"/>
          <cell r="C1578"/>
          <cell r="D1578"/>
          <cell r="E1578"/>
          <cell r="F1578"/>
          <cell r="G1578"/>
          <cell r="H1578"/>
          <cell r="I1578"/>
          <cell r="J1578"/>
          <cell r="K1578"/>
          <cell r="L1578"/>
          <cell r="M1578"/>
          <cell r="N1578"/>
          <cell r="O1578"/>
          <cell r="P1578"/>
          <cell r="Q1578"/>
          <cell r="R1578"/>
          <cell r="S1578"/>
          <cell r="T1578"/>
          <cell r="U1578"/>
          <cell r="V1578"/>
          <cell r="W1578"/>
          <cell r="X1578"/>
          <cell r="Y1578"/>
          <cell r="Z1578"/>
          <cell r="AA1578"/>
          <cell r="AB1578"/>
          <cell r="AC1578"/>
          <cell r="AD1578"/>
          <cell r="AE1578"/>
          <cell r="AF1578"/>
          <cell r="AG1578"/>
          <cell r="AH1578"/>
          <cell r="AI1578"/>
          <cell r="AJ1578"/>
          <cell r="AK1578"/>
          <cell r="AL1578"/>
          <cell r="AM1578"/>
          <cell r="AN1578"/>
          <cell r="AO1578"/>
          <cell r="AP1578"/>
          <cell r="AQ1578"/>
          <cell r="AR1578"/>
          <cell r="AS1578"/>
          <cell r="AT1578"/>
          <cell r="AU1578"/>
          <cell r="AV1578"/>
          <cell r="AW1578"/>
          <cell r="AX1578"/>
          <cell r="AY1578"/>
          <cell r="AZ1578"/>
        </row>
        <row r="1579">
          <cell r="A1579"/>
          <cell r="B1579"/>
          <cell r="C1579"/>
          <cell r="D1579"/>
          <cell r="E1579"/>
          <cell r="F1579"/>
          <cell r="G1579"/>
          <cell r="H1579"/>
          <cell r="I1579"/>
          <cell r="J1579"/>
          <cell r="K1579"/>
          <cell r="L1579"/>
          <cell r="M1579"/>
          <cell r="N1579"/>
          <cell r="O1579"/>
          <cell r="P1579"/>
          <cell r="Q1579"/>
          <cell r="R1579"/>
          <cell r="S1579"/>
          <cell r="T1579"/>
          <cell r="U1579"/>
          <cell r="V1579"/>
          <cell r="W1579"/>
          <cell r="X1579"/>
          <cell r="Y1579"/>
          <cell r="Z1579"/>
          <cell r="AA1579"/>
          <cell r="AB1579"/>
          <cell r="AC1579"/>
          <cell r="AD1579"/>
          <cell r="AE1579"/>
          <cell r="AF1579"/>
          <cell r="AG1579"/>
          <cell r="AH1579"/>
          <cell r="AI1579"/>
          <cell r="AJ1579"/>
          <cell r="AK1579"/>
          <cell r="AL1579"/>
          <cell r="AM1579"/>
          <cell r="AN1579"/>
          <cell r="AO1579"/>
          <cell r="AP1579"/>
          <cell r="AQ1579"/>
          <cell r="AR1579"/>
          <cell r="AS1579"/>
          <cell r="AT1579"/>
          <cell r="AU1579"/>
          <cell r="AV1579"/>
          <cell r="AW1579"/>
          <cell r="AX1579"/>
          <cell r="AY1579"/>
          <cell r="AZ1579"/>
        </row>
        <row r="1580">
          <cell r="A1580"/>
          <cell r="B1580"/>
          <cell r="C1580"/>
          <cell r="D1580"/>
          <cell r="E1580"/>
          <cell r="F1580"/>
          <cell r="G1580"/>
          <cell r="H1580"/>
          <cell r="I1580"/>
          <cell r="J1580"/>
          <cell r="K1580"/>
          <cell r="L1580"/>
          <cell r="M1580"/>
          <cell r="N1580"/>
          <cell r="O1580"/>
          <cell r="P1580"/>
          <cell r="Q1580"/>
          <cell r="R1580"/>
          <cell r="S1580"/>
          <cell r="T1580"/>
          <cell r="U1580"/>
          <cell r="V1580"/>
          <cell r="W1580"/>
          <cell r="X1580"/>
          <cell r="Y1580"/>
          <cell r="Z1580"/>
          <cell r="AA1580"/>
          <cell r="AB1580"/>
          <cell r="AC1580"/>
          <cell r="AD1580"/>
          <cell r="AE1580"/>
          <cell r="AF1580"/>
          <cell r="AG1580"/>
          <cell r="AH1580"/>
          <cell r="AI1580"/>
          <cell r="AJ1580"/>
          <cell r="AK1580"/>
          <cell r="AL1580"/>
          <cell r="AM1580"/>
          <cell r="AN1580"/>
          <cell r="AO1580"/>
          <cell r="AP1580"/>
          <cell r="AQ1580"/>
          <cell r="AR1580"/>
          <cell r="AS1580"/>
          <cell r="AT1580"/>
          <cell r="AU1580"/>
          <cell r="AV1580"/>
          <cell r="AW1580"/>
          <cell r="AX1580"/>
          <cell r="AY1580"/>
          <cell r="AZ1580"/>
        </row>
        <row r="1581">
          <cell r="A1581"/>
          <cell r="B1581"/>
          <cell r="C1581"/>
          <cell r="D1581"/>
          <cell r="E1581"/>
          <cell r="F1581"/>
          <cell r="G1581"/>
          <cell r="H1581"/>
          <cell r="I1581"/>
          <cell r="J1581"/>
          <cell r="K1581"/>
          <cell r="L1581"/>
          <cell r="M1581"/>
          <cell r="N1581"/>
          <cell r="O1581"/>
          <cell r="P1581"/>
          <cell r="Q1581"/>
          <cell r="R1581"/>
          <cell r="S1581"/>
          <cell r="T1581"/>
          <cell r="U1581"/>
          <cell r="V1581"/>
          <cell r="W1581"/>
          <cell r="X1581"/>
          <cell r="Y1581"/>
          <cell r="Z1581"/>
          <cell r="AA1581"/>
          <cell r="AB1581"/>
          <cell r="AC1581"/>
          <cell r="AD1581"/>
          <cell r="AE1581"/>
          <cell r="AF1581"/>
          <cell r="AG1581"/>
          <cell r="AH1581"/>
          <cell r="AI1581"/>
          <cell r="AJ1581"/>
          <cell r="AK1581"/>
          <cell r="AL1581"/>
          <cell r="AM1581"/>
          <cell r="AN1581"/>
          <cell r="AO1581"/>
          <cell r="AP1581"/>
          <cell r="AQ1581"/>
          <cell r="AR1581"/>
          <cell r="AS1581"/>
          <cell r="AT1581"/>
          <cell r="AU1581"/>
          <cell r="AV1581"/>
          <cell r="AW1581"/>
          <cell r="AX1581"/>
          <cell r="AY1581"/>
          <cell r="AZ1581"/>
        </row>
        <row r="1582">
          <cell r="A1582"/>
          <cell r="B1582"/>
          <cell r="C1582"/>
          <cell r="D1582"/>
          <cell r="E1582"/>
          <cell r="F1582"/>
          <cell r="G1582"/>
          <cell r="H1582"/>
          <cell r="I1582"/>
          <cell r="J1582"/>
          <cell r="K1582"/>
          <cell r="L1582"/>
          <cell r="M1582"/>
          <cell r="N1582"/>
          <cell r="O1582"/>
          <cell r="P1582"/>
          <cell r="Q1582"/>
          <cell r="R1582"/>
          <cell r="S1582"/>
          <cell r="T1582"/>
          <cell r="U1582"/>
          <cell r="V1582"/>
          <cell r="W1582"/>
          <cell r="X1582"/>
          <cell r="Y1582"/>
          <cell r="Z1582"/>
          <cell r="AA1582"/>
          <cell r="AB1582"/>
          <cell r="AC1582"/>
          <cell r="AD1582"/>
          <cell r="AE1582"/>
          <cell r="AF1582"/>
          <cell r="AG1582"/>
          <cell r="AH1582"/>
          <cell r="AI1582"/>
          <cell r="AJ1582"/>
          <cell r="AK1582"/>
          <cell r="AL1582"/>
          <cell r="AM1582"/>
          <cell r="AN1582"/>
          <cell r="AO1582"/>
          <cell r="AP1582"/>
          <cell r="AQ1582"/>
          <cell r="AR1582"/>
          <cell r="AS1582"/>
          <cell r="AT1582"/>
          <cell r="AU1582"/>
          <cell r="AV1582"/>
          <cell r="AW1582"/>
          <cell r="AX1582"/>
          <cell r="AY1582"/>
          <cell r="AZ1582"/>
        </row>
        <row r="1583">
          <cell r="A1583"/>
          <cell r="B1583"/>
          <cell r="C1583"/>
          <cell r="D1583"/>
          <cell r="E1583"/>
          <cell r="F1583"/>
          <cell r="G1583"/>
          <cell r="H1583"/>
          <cell r="I1583"/>
          <cell r="J1583"/>
          <cell r="K1583"/>
          <cell r="L1583"/>
          <cell r="M1583"/>
          <cell r="N1583"/>
          <cell r="O1583"/>
          <cell r="P1583"/>
          <cell r="Q1583"/>
          <cell r="R1583"/>
          <cell r="S1583"/>
          <cell r="T1583"/>
          <cell r="U1583"/>
          <cell r="V1583"/>
          <cell r="W1583"/>
          <cell r="X1583"/>
          <cell r="Y1583"/>
          <cell r="Z1583"/>
          <cell r="AA1583"/>
          <cell r="AB1583"/>
          <cell r="AC1583"/>
          <cell r="AD1583"/>
          <cell r="AE1583"/>
          <cell r="AF1583"/>
          <cell r="AG1583"/>
          <cell r="AH1583"/>
          <cell r="AI1583"/>
          <cell r="AJ1583"/>
          <cell r="AK1583"/>
          <cell r="AL1583"/>
          <cell r="AM1583"/>
          <cell r="AN1583"/>
          <cell r="AO1583"/>
          <cell r="AP1583"/>
          <cell r="AQ1583"/>
          <cell r="AR1583"/>
          <cell r="AS1583"/>
          <cell r="AT1583"/>
          <cell r="AU1583"/>
          <cell r="AV1583"/>
          <cell r="AW1583"/>
          <cell r="AX1583"/>
          <cell r="AY1583"/>
          <cell r="AZ1583"/>
        </row>
        <row r="1584">
          <cell r="A1584"/>
          <cell r="B1584"/>
          <cell r="C1584"/>
          <cell r="D1584"/>
          <cell r="E1584"/>
          <cell r="F1584"/>
          <cell r="G1584"/>
          <cell r="H1584"/>
          <cell r="I1584"/>
          <cell r="J1584"/>
          <cell r="K1584"/>
          <cell r="L1584"/>
          <cell r="M1584"/>
          <cell r="N1584"/>
          <cell r="O1584"/>
          <cell r="P1584"/>
          <cell r="Q1584"/>
          <cell r="R1584"/>
          <cell r="S1584"/>
          <cell r="T1584"/>
          <cell r="U1584"/>
          <cell r="V1584"/>
          <cell r="W1584"/>
          <cell r="X1584"/>
          <cell r="Y1584"/>
          <cell r="Z1584"/>
          <cell r="AA1584"/>
          <cell r="AB1584"/>
          <cell r="AC1584"/>
          <cell r="AD1584"/>
          <cell r="AE1584"/>
          <cell r="AF1584"/>
          <cell r="AG1584"/>
          <cell r="AH1584"/>
          <cell r="AI1584"/>
          <cell r="AJ1584"/>
          <cell r="AK1584"/>
          <cell r="AL1584"/>
          <cell r="AM1584"/>
          <cell r="AN1584"/>
          <cell r="AO1584"/>
          <cell r="AP1584"/>
          <cell r="AQ1584"/>
          <cell r="AR1584"/>
          <cell r="AS1584"/>
          <cell r="AT1584"/>
          <cell r="AU1584"/>
          <cell r="AV1584"/>
          <cell r="AW1584"/>
          <cell r="AX1584"/>
          <cell r="AY1584"/>
          <cell r="AZ1584"/>
        </row>
        <row r="1585">
          <cell r="A1585"/>
          <cell r="B1585"/>
          <cell r="C1585"/>
          <cell r="D1585"/>
          <cell r="E1585"/>
          <cell r="F1585"/>
          <cell r="G1585"/>
          <cell r="H1585"/>
          <cell r="I1585"/>
          <cell r="J1585"/>
          <cell r="K1585"/>
          <cell r="L1585"/>
          <cell r="M1585"/>
          <cell r="N1585"/>
          <cell r="O1585"/>
          <cell r="P1585"/>
          <cell r="Q1585"/>
          <cell r="R1585"/>
          <cell r="S1585"/>
          <cell r="T1585"/>
          <cell r="U1585"/>
          <cell r="V1585"/>
          <cell r="W1585"/>
          <cell r="X1585"/>
          <cell r="Y1585"/>
          <cell r="Z1585"/>
          <cell r="AA1585"/>
          <cell r="AB1585"/>
          <cell r="AC1585"/>
          <cell r="AD1585"/>
          <cell r="AE1585"/>
          <cell r="AF1585"/>
          <cell r="AG1585"/>
          <cell r="AH1585"/>
          <cell r="AI1585"/>
          <cell r="AJ1585"/>
          <cell r="AK1585"/>
          <cell r="AL1585"/>
          <cell r="AM1585"/>
          <cell r="AN1585"/>
          <cell r="AO1585"/>
          <cell r="AP1585"/>
          <cell r="AQ1585"/>
          <cell r="AR1585"/>
          <cell r="AS1585"/>
          <cell r="AT1585"/>
          <cell r="AU1585"/>
          <cell r="AV1585"/>
          <cell r="AW1585"/>
          <cell r="AX1585"/>
          <cell r="AY1585"/>
          <cell r="AZ1585"/>
        </row>
        <row r="1586">
          <cell r="A1586"/>
          <cell r="B1586"/>
          <cell r="C1586"/>
          <cell r="D1586"/>
          <cell r="E1586"/>
          <cell r="F1586"/>
          <cell r="G1586"/>
          <cell r="H1586"/>
          <cell r="I1586"/>
          <cell r="J1586"/>
          <cell r="K1586"/>
          <cell r="L1586"/>
          <cell r="M1586"/>
          <cell r="N1586"/>
          <cell r="O1586"/>
          <cell r="P1586"/>
          <cell r="Q1586"/>
          <cell r="R1586"/>
          <cell r="S1586"/>
          <cell r="T1586"/>
          <cell r="U1586"/>
          <cell r="V1586"/>
          <cell r="W1586"/>
          <cell r="X1586"/>
          <cell r="Y1586"/>
          <cell r="Z1586"/>
          <cell r="AA1586"/>
          <cell r="AB1586"/>
          <cell r="AC1586"/>
          <cell r="AD1586"/>
          <cell r="AE1586"/>
          <cell r="AF1586"/>
          <cell r="AG1586"/>
          <cell r="AH1586"/>
          <cell r="AI1586"/>
          <cell r="AJ1586"/>
          <cell r="AK1586"/>
          <cell r="AL1586"/>
          <cell r="AM1586"/>
          <cell r="AN1586"/>
          <cell r="AO1586"/>
          <cell r="AP1586"/>
          <cell r="AQ1586"/>
          <cell r="AR1586"/>
          <cell r="AS1586"/>
          <cell r="AT1586"/>
          <cell r="AU1586"/>
          <cell r="AV1586"/>
          <cell r="AW1586"/>
          <cell r="AX1586"/>
          <cell r="AY1586"/>
          <cell r="AZ1586"/>
        </row>
        <row r="1587">
          <cell r="A1587"/>
          <cell r="B1587"/>
          <cell r="C1587"/>
          <cell r="D1587"/>
          <cell r="E1587"/>
          <cell r="F1587"/>
          <cell r="G1587"/>
          <cell r="H1587"/>
          <cell r="I1587"/>
          <cell r="J1587"/>
          <cell r="K1587"/>
          <cell r="L1587"/>
          <cell r="M1587"/>
          <cell r="N1587"/>
          <cell r="O1587"/>
          <cell r="P1587"/>
          <cell r="Q1587"/>
          <cell r="R1587"/>
          <cell r="S1587"/>
          <cell r="T1587"/>
          <cell r="U1587"/>
          <cell r="V1587"/>
          <cell r="W1587"/>
          <cell r="X1587"/>
          <cell r="Y1587"/>
          <cell r="Z1587"/>
          <cell r="AA1587"/>
          <cell r="AB1587"/>
          <cell r="AC1587"/>
          <cell r="AD1587"/>
          <cell r="AE1587"/>
          <cell r="AF1587"/>
          <cell r="AG1587"/>
          <cell r="AH1587"/>
          <cell r="AI1587"/>
          <cell r="AJ1587"/>
          <cell r="AK1587"/>
          <cell r="AL1587"/>
          <cell r="AM1587"/>
          <cell r="AN1587"/>
          <cell r="AO1587"/>
          <cell r="AP1587"/>
          <cell r="AQ1587"/>
          <cell r="AR1587"/>
          <cell r="AS1587"/>
          <cell r="AT1587"/>
          <cell r="AU1587"/>
          <cell r="AV1587"/>
          <cell r="AW1587"/>
          <cell r="AX1587"/>
          <cell r="AY1587"/>
          <cell r="AZ1587"/>
        </row>
        <row r="1588">
          <cell r="A1588"/>
          <cell r="B1588"/>
          <cell r="C1588"/>
          <cell r="D1588"/>
          <cell r="E1588"/>
          <cell r="F1588"/>
          <cell r="G1588"/>
          <cell r="H1588"/>
          <cell r="I1588"/>
          <cell r="J1588"/>
          <cell r="K1588"/>
          <cell r="L1588"/>
          <cell r="M1588"/>
          <cell r="N1588"/>
          <cell r="O1588"/>
          <cell r="P1588"/>
          <cell r="Q1588"/>
          <cell r="R1588"/>
          <cell r="S1588"/>
          <cell r="T1588"/>
          <cell r="U1588"/>
          <cell r="V1588"/>
          <cell r="W1588"/>
          <cell r="X1588"/>
          <cell r="Y1588"/>
          <cell r="Z1588"/>
          <cell r="AA1588"/>
          <cell r="AB1588"/>
          <cell r="AC1588"/>
          <cell r="AD1588"/>
          <cell r="AE1588"/>
          <cell r="AF1588"/>
          <cell r="AG1588"/>
          <cell r="AH1588"/>
          <cell r="AI1588"/>
          <cell r="AJ1588"/>
          <cell r="AK1588"/>
          <cell r="AL1588"/>
          <cell r="AM1588"/>
          <cell r="AN1588"/>
          <cell r="AO1588"/>
          <cell r="AP1588"/>
          <cell r="AQ1588"/>
          <cell r="AR1588"/>
          <cell r="AS1588"/>
          <cell r="AT1588"/>
          <cell r="AU1588"/>
          <cell r="AV1588"/>
          <cell r="AW1588"/>
          <cell r="AX1588"/>
          <cell r="AY1588"/>
          <cell r="AZ1588"/>
        </row>
        <row r="1589">
          <cell r="A1589"/>
          <cell r="B1589"/>
          <cell r="C1589"/>
          <cell r="D1589"/>
          <cell r="E1589"/>
          <cell r="F1589"/>
          <cell r="G1589"/>
          <cell r="H1589"/>
          <cell r="I1589"/>
          <cell r="J1589"/>
          <cell r="K1589"/>
          <cell r="L1589"/>
          <cell r="M1589"/>
          <cell r="N1589"/>
          <cell r="O1589"/>
          <cell r="P1589"/>
          <cell r="Q1589"/>
          <cell r="R1589"/>
          <cell r="S1589"/>
          <cell r="T1589"/>
          <cell r="U1589"/>
          <cell r="V1589"/>
          <cell r="W1589"/>
          <cell r="X1589"/>
          <cell r="Y1589"/>
          <cell r="Z1589"/>
          <cell r="AA1589"/>
          <cell r="AB1589"/>
          <cell r="AC1589"/>
          <cell r="AD1589"/>
          <cell r="AE1589"/>
          <cell r="AF1589"/>
          <cell r="AG1589"/>
          <cell r="AH1589"/>
          <cell r="AI1589"/>
          <cell r="AJ1589"/>
          <cell r="AK1589"/>
          <cell r="AL1589"/>
          <cell r="AM1589"/>
          <cell r="AN1589"/>
          <cell r="AO1589"/>
          <cell r="AP1589"/>
          <cell r="AQ1589"/>
          <cell r="AR1589"/>
          <cell r="AS1589"/>
          <cell r="AT1589"/>
          <cell r="AU1589"/>
          <cell r="AV1589"/>
          <cell r="AW1589"/>
          <cell r="AX1589"/>
          <cell r="AY1589"/>
          <cell r="AZ1589"/>
        </row>
        <row r="1590">
          <cell r="A1590"/>
          <cell r="B1590"/>
          <cell r="C1590"/>
          <cell r="D1590"/>
          <cell r="E1590"/>
          <cell r="F1590"/>
          <cell r="G1590"/>
          <cell r="H1590"/>
          <cell r="I1590"/>
          <cell r="J1590"/>
          <cell r="K1590"/>
          <cell r="L1590"/>
          <cell r="M1590"/>
          <cell r="N1590"/>
          <cell r="O1590"/>
          <cell r="P1590"/>
          <cell r="Q1590"/>
          <cell r="R1590"/>
          <cell r="S1590"/>
          <cell r="T1590"/>
          <cell r="U1590"/>
          <cell r="V1590"/>
          <cell r="W1590"/>
          <cell r="X1590"/>
          <cell r="Y1590"/>
          <cell r="Z1590"/>
          <cell r="AA1590"/>
          <cell r="AB1590"/>
          <cell r="AC1590"/>
          <cell r="AD1590"/>
          <cell r="AE1590"/>
          <cell r="AF1590"/>
          <cell r="AG1590"/>
          <cell r="AH1590"/>
          <cell r="AI1590"/>
          <cell r="AJ1590"/>
          <cell r="AK1590"/>
          <cell r="AL1590"/>
          <cell r="AM1590"/>
          <cell r="AN1590"/>
          <cell r="AO1590"/>
          <cell r="AP1590"/>
          <cell r="AQ1590"/>
          <cell r="AR1590"/>
          <cell r="AS1590"/>
          <cell r="AT1590"/>
          <cell r="AU1590"/>
          <cell r="AV1590"/>
          <cell r="AW1590"/>
          <cell r="AX1590"/>
          <cell r="AY1590"/>
          <cell r="AZ1590"/>
        </row>
        <row r="1591">
          <cell r="A1591"/>
          <cell r="B1591"/>
          <cell r="C1591"/>
          <cell r="D1591"/>
          <cell r="E1591"/>
          <cell r="F1591"/>
          <cell r="G1591"/>
          <cell r="H1591"/>
          <cell r="I1591"/>
          <cell r="J1591"/>
          <cell r="K1591"/>
          <cell r="L1591"/>
          <cell r="M1591"/>
          <cell r="N1591"/>
          <cell r="O1591"/>
          <cell r="P1591"/>
          <cell r="Q1591"/>
          <cell r="R1591"/>
          <cell r="S1591"/>
          <cell r="T1591"/>
          <cell r="U1591"/>
          <cell r="V1591"/>
          <cell r="W1591"/>
          <cell r="X1591"/>
          <cell r="Y1591"/>
          <cell r="Z1591"/>
          <cell r="AA1591"/>
          <cell r="AB1591"/>
          <cell r="AC1591"/>
          <cell r="AD1591"/>
          <cell r="AE1591"/>
          <cell r="AF1591"/>
          <cell r="AG1591"/>
          <cell r="AH1591"/>
          <cell r="AI1591"/>
          <cell r="AJ1591"/>
          <cell r="AK1591"/>
          <cell r="AL1591"/>
          <cell r="AM1591"/>
          <cell r="AN1591"/>
          <cell r="AO1591"/>
          <cell r="AP1591"/>
          <cell r="AQ1591"/>
          <cell r="AR1591"/>
          <cell r="AS1591"/>
          <cell r="AT1591"/>
          <cell r="AU1591"/>
          <cell r="AV1591"/>
          <cell r="AW1591"/>
          <cell r="AX1591"/>
          <cell r="AY1591"/>
          <cell r="AZ1591"/>
        </row>
        <row r="1592">
          <cell r="A1592"/>
          <cell r="B1592"/>
          <cell r="C1592"/>
          <cell r="D1592"/>
          <cell r="E1592"/>
          <cell r="F1592"/>
          <cell r="G1592"/>
          <cell r="H1592"/>
          <cell r="I1592"/>
          <cell r="J1592"/>
          <cell r="K1592"/>
          <cell r="L1592"/>
          <cell r="M1592"/>
          <cell r="N1592"/>
          <cell r="O1592"/>
          <cell r="P1592"/>
          <cell r="Q1592"/>
          <cell r="R1592"/>
          <cell r="S1592"/>
          <cell r="T1592"/>
          <cell r="U1592"/>
          <cell r="V1592"/>
          <cell r="W1592"/>
          <cell r="X1592"/>
          <cell r="Y1592"/>
          <cell r="Z1592"/>
          <cell r="AA1592"/>
          <cell r="AB1592"/>
          <cell r="AC1592"/>
          <cell r="AD1592"/>
          <cell r="AE1592"/>
          <cell r="AF1592"/>
          <cell r="AG1592"/>
          <cell r="AH1592"/>
          <cell r="AI1592"/>
          <cell r="AJ1592"/>
          <cell r="AK1592"/>
          <cell r="AL1592"/>
          <cell r="AM1592"/>
          <cell r="AN1592"/>
          <cell r="AO1592"/>
          <cell r="AP1592"/>
          <cell r="AQ1592"/>
          <cell r="AR1592"/>
          <cell r="AS1592"/>
          <cell r="AT1592"/>
          <cell r="AU1592"/>
          <cell r="AV1592"/>
          <cell r="AW1592"/>
          <cell r="AX1592"/>
          <cell r="AY1592"/>
          <cell r="AZ1592"/>
        </row>
        <row r="1593">
          <cell r="A1593"/>
          <cell r="B1593"/>
          <cell r="C1593"/>
          <cell r="D1593"/>
          <cell r="E1593"/>
          <cell r="F1593"/>
          <cell r="G1593"/>
          <cell r="H1593"/>
          <cell r="I1593"/>
          <cell r="J1593"/>
          <cell r="K1593"/>
          <cell r="L1593"/>
          <cell r="M1593"/>
          <cell r="N1593"/>
          <cell r="O1593"/>
          <cell r="P1593"/>
          <cell r="Q1593"/>
          <cell r="R1593"/>
          <cell r="S1593"/>
          <cell r="T1593"/>
          <cell r="U1593"/>
          <cell r="V1593"/>
          <cell r="W1593"/>
          <cell r="X1593"/>
          <cell r="Y1593"/>
          <cell r="Z1593"/>
          <cell r="AA1593"/>
          <cell r="AB1593"/>
          <cell r="AC1593"/>
          <cell r="AD1593"/>
          <cell r="AE1593"/>
          <cell r="AF1593"/>
          <cell r="AG1593"/>
          <cell r="AH1593"/>
          <cell r="AI1593"/>
          <cell r="AJ1593"/>
          <cell r="AK1593"/>
          <cell r="AL1593"/>
          <cell r="AM1593"/>
          <cell r="AN1593"/>
          <cell r="AO1593"/>
          <cell r="AP1593"/>
          <cell r="AQ1593"/>
          <cell r="AR1593"/>
          <cell r="AS1593"/>
          <cell r="AT1593"/>
          <cell r="AU1593"/>
          <cell r="AV1593"/>
          <cell r="AW1593"/>
          <cell r="AX1593"/>
          <cell r="AY1593"/>
          <cell r="AZ1593"/>
        </row>
        <row r="1594">
          <cell r="A1594"/>
          <cell r="B1594"/>
          <cell r="C1594"/>
          <cell r="D1594"/>
          <cell r="E1594"/>
          <cell r="F1594"/>
          <cell r="G1594"/>
          <cell r="H1594"/>
          <cell r="I1594"/>
          <cell r="J1594"/>
          <cell r="K1594"/>
          <cell r="L1594"/>
          <cell r="M1594"/>
          <cell r="N1594"/>
          <cell r="O1594"/>
          <cell r="P1594"/>
          <cell r="Q1594"/>
          <cell r="R1594"/>
          <cell r="S1594"/>
          <cell r="T1594"/>
          <cell r="U1594"/>
          <cell r="V1594"/>
          <cell r="W1594"/>
          <cell r="X1594"/>
          <cell r="Y1594"/>
          <cell r="Z1594"/>
          <cell r="AA1594"/>
          <cell r="AB1594"/>
          <cell r="AC1594"/>
          <cell r="AD1594"/>
          <cell r="AE1594"/>
          <cell r="AF1594"/>
          <cell r="AG1594"/>
          <cell r="AH1594"/>
          <cell r="AI1594"/>
          <cell r="AJ1594"/>
          <cell r="AK1594"/>
          <cell r="AL1594"/>
          <cell r="AM1594"/>
          <cell r="AN1594"/>
          <cell r="AO1594"/>
          <cell r="AP1594"/>
          <cell r="AQ1594"/>
          <cell r="AR1594"/>
          <cell r="AS1594"/>
          <cell r="AT1594"/>
          <cell r="AU1594"/>
          <cell r="AV1594"/>
          <cell r="AW1594"/>
          <cell r="AX1594"/>
          <cell r="AY1594"/>
          <cell r="AZ1594"/>
        </row>
        <row r="1595">
          <cell r="A1595"/>
          <cell r="B1595"/>
          <cell r="C1595"/>
          <cell r="D1595"/>
          <cell r="E1595"/>
          <cell r="F1595"/>
          <cell r="G1595"/>
          <cell r="H1595"/>
          <cell r="I1595"/>
          <cell r="J1595"/>
          <cell r="K1595"/>
          <cell r="L1595"/>
          <cell r="M1595"/>
          <cell r="N1595"/>
          <cell r="O1595"/>
          <cell r="P1595"/>
          <cell r="Q1595"/>
          <cell r="R1595"/>
          <cell r="S1595"/>
          <cell r="T1595"/>
          <cell r="U1595"/>
          <cell r="V1595"/>
          <cell r="W1595"/>
          <cell r="X1595"/>
          <cell r="Y1595"/>
          <cell r="Z1595"/>
          <cell r="AA1595"/>
          <cell r="AB1595"/>
          <cell r="AC1595"/>
          <cell r="AD1595"/>
          <cell r="AE1595"/>
          <cell r="AF1595"/>
          <cell r="AG1595"/>
          <cell r="AH1595"/>
          <cell r="AI1595"/>
          <cell r="AJ1595"/>
          <cell r="AK1595"/>
          <cell r="AL1595"/>
          <cell r="AM1595"/>
          <cell r="AN1595"/>
          <cell r="AO1595"/>
          <cell r="AP1595"/>
          <cell r="AQ1595"/>
          <cell r="AR1595"/>
          <cell r="AS1595"/>
          <cell r="AT1595"/>
          <cell r="AU1595"/>
          <cell r="AV1595"/>
          <cell r="AW1595"/>
          <cell r="AX1595"/>
          <cell r="AY1595"/>
          <cell r="AZ1595"/>
        </row>
        <row r="1596">
          <cell r="A1596"/>
          <cell r="B1596"/>
          <cell r="C1596"/>
          <cell r="D1596"/>
          <cell r="E1596"/>
          <cell r="F1596"/>
          <cell r="G1596"/>
          <cell r="H1596"/>
          <cell r="I1596"/>
          <cell r="J1596"/>
          <cell r="K1596"/>
          <cell r="L1596"/>
          <cell r="M1596"/>
          <cell r="N1596"/>
          <cell r="O1596"/>
          <cell r="P1596"/>
          <cell r="Q1596"/>
          <cell r="R1596"/>
          <cell r="S1596"/>
          <cell r="T1596"/>
          <cell r="U1596"/>
          <cell r="V1596"/>
          <cell r="W1596"/>
          <cell r="X1596"/>
          <cell r="Y1596"/>
          <cell r="Z1596"/>
          <cell r="AA1596"/>
          <cell r="AB1596"/>
          <cell r="AC1596"/>
          <cell r="AD1596"/>
          <cell r="AE1596"/>
          <cell r="AF1596"/>
          <cell r="AG1596"/>
          <cell r="AH1596"/>
          <cell r="AI1596"/>
          <cell r="AJ1596"/>
          <cell r="AK1596"/>
          <cell r="AL1596"/>
          <cell r="AM1596"/>
          <cell r="AN1596"/>
          <cell r="AO1596"/>
          <cell r="AP1596"/>
          <cell r="AQ1596"/>
          <cell r="AR1596"/>
          <cell r="AS1596"/>
          <cell r="AT1596"/>
          <cell r="AU1596"/>
          <cell r="AV1596"/>
          <cell r="AW1596"/>
          <cell r="AX1596"/>
          <cell r="AY1596"/>
          <cell r="AZ1596"/>
        </row>
        <row r="1597">
          <cell r="A1597"/>
          <cell r="B1597"/>
          <cell r="C1597"/>
          <cell r="D1597"/>
          <cell r="E1597"/>
          <cell r="F1597"/>
          <cell r="G1597"/>
          <cell r="H1597"/>
          <cell r="I1597"/>
          <cell r="J1597"/>
          <cell r="K1597"/>
          <cell r="L1597"/>
          <cell r="M1597"/>
          <cell r="N1597"/>
          <cell r="O1597"/>
          <cell r="P1597"/>
          <cell r="Q1597"/>
          <cell r="R1597"/>
          <cell r="S1597"/>
          <cell r="T1597"/>
          <cell r="U1597"/>
          <cell r="V1597"/>
          <cell r="W1597"/>
          <cell r="X1597"/>
          <cell r="Y1597"/>
          <cell r="Z1597"/>
          <cell r="AA1597"/>
          <cell r="AB1597"/>
          <cell r="AC1597"/>
          <cell r="AD1597"/>
          <cell r="AE1597"/>
          <cell r="AF1597"/>
          <cell r="AG1597"/>
          <cell r="AH1597"/>
          <cell r="AI1597"/>
          <cell r="AJ1597"/>
          <cell r="AK1597"/>
          <cell r="AL1597"/>
          <cell r="AM1597"/>
          <cell r="AN1597"/>
          <cell r="AO1597"/>
          <cell r="AP1597"/>
          <cell r="AQ1597"/>
          <cell r="AR1597"/>
          <cell r="AS1597"/>
          <cell r="AT1597"/>
          <cell r="AU1597"/>
          <cell r="AV1597"/>
          <cell r="AW1597"/>
          <cell r="AX1597"/>
          <cell r="AY1597"/>
          <cell r="AZ1597"/>
        </row>
        <row r="1598">
          <cell r="A1598"/>
          <cell r="B1598"/>
          <cell r="C1598"/>
          <cell r="D1598"/>
          <cell r="E1598"/>
          <cell r="F1598"/>
          <cell r="G1598"/>
          <cell r="H1598"/>
          <cell r="I1598"/>
          <cell r="J1598"/>
          <cell r="K1598"/>
          <cell r="L1598"/>
          <cell r="M1598"/>
          <cell r="N1598"/>
          <cell r="O1598"/>
          <cell r="P1598"/>
          <cell r="Q1598"/>
          <cell r="R1598"/>
          <cell r="S1598"/>
          <cell r="T1598"/>
          <cell r="U1598"/>
          <cell r="V1598"/>
          <cell r="W1598"/>
          <cell r="X1598"/>
          <cell r="Y1598"/>
          <cell r="Z1598"/>
          <cell r="AA1598"/>
          <cell r="AB1598"/>
          <cell r="AC1598"/>
          <cell r="AD1598"/>
          <cell r="AE1598"/>
          <cell r="AF1598"/>
          <cell r="AG1598"/>
          <cell r="AH1598"/>
          <cell r="AI1598"/>
          <cell r="AJ1598"/>
          <cell r="AK1598"/>
          <cell r="AL1598"/>
          <cell r="AM1598"/>
          <cell r="AN1598"/>
          <cell r="AO1598"/>
          <cell r="AP1598"/>
          <cell r="AQ1598"/>
          <cell r="AR1598"/>
          <cell r="AS1598"/>
          <cell r="AT1598"/>
          <cell r="AU1598"/>
          <cell r="AV1598"/>
          <cell r="AW1598"/>
          <cell r="AX1598"/>
          <cell r="AY1598"/>
          <cell r="AZ1598"/>
        </row>
        <row r="1599">
          <cell r="A1599"/>
          <cell r="B1599"/>
          <cell r="C1599"/>
          <cell r="D1599"/>
          <cell r="E1599"/>
          <cell r="F1599"/>
          <cell r="G1599"/>
          <cell r="H1599"/>
          <cell r="I1599"/>
          <cell r="J1599"/>
          <cell r="K1599"/>
          <cell r="L1599"/>
          <cell r="M1599"/>
          <cell r="N1599"/>
          <cell r="O1599"/>
          <cell r="P1599"/>
          <cell r="Q1599"/>
          <cell r="R1599"/>
          <cell r="S1599"/>
          <cell r="T1599"/>
          <cell r="U1599"/>
          <cell r="V1599"/>
          <cell r="W1599"/>
          <cell r="X1599"/>
          <cell r="Y1599"/>
          <cell r="Z1599"/>
          <cell r="AA1599"/>
          <cell r="AB1599"/>
          <cell r="AC1599"/>
          <cell r="AD1599"/>
          <cell r="AE1599"/>
          <cell r="AF1599"/>
          <cell r="AG1599"/>
          <cell r="AH1599"/>
          <cell r="AI1599"/>
          <cell r="AJ1599"/>
          <cell r="AK1599"/>
          <cell r="AL1599"/>
          <cell r="AM1599"/>
          <cell r="AN1599"/>
          <cell r="AO1599"/>
          <cell r="AP1599"/>
          <cell r="AQ1599"/>
          <cell r="AR1599"/>
          <cell r="AS1599"/>
          <cell r="AT1599"/>
          <cell r="AU1599"/>
          <cell r="AV1599"/>
          <cell r="AW1599"/>
          <cell r="AX1599"/>
          <cell r="AY1599"/>
          <cell r="AZ1599"/>
        </row>
        <row r="1600">
          <cell r="A1600"/>
          <cell r="B1600"/>
          <cell r="C1600"/>
          <cell r="D1600"/>
          <cell r="E1600"/>
          <cell r="F1600"/>
          <cell r="G1600"/>
          <cell r="H1600"/>
          <cell r="I1600"/>
          <cell r="J1600"/>
          <cell r="K1600"/>
          <cell r="L1600"/>
          <cell r="M1600"/>
          <cell r="N1600"/>
          <cell r="O1600"/>
          <cell r="P1600"/>
          <cell r="Q1600"/>
          <cell r="R1600"/>
          <cell r="S1600"/>
          <cell r="T1600"/>
          <cell r="U1600"/>
          <cell r="V1600"/>
          <cell r="W1600"/>
          <cell r="X1600"/>
          <cell r="Y1600"/>
          <cell r="Z1600"/>
          <cell r="AA1600"/>
          <cell r="AB1600"/>
          <cell r="AC1600"/>
          <cell r="AD1600"/>
          <cell r="AE1600"/>
          <cell r="AF1600"/>
          <cell r="AG1600"/>
          <cell r="AH1600"/>
          <cell r="AI1600"/>
          <cell r="AJ1600"/>
          <cell r="AK1600"/>
          <cell r="AL1600"/>
          <cell r="AM1600"/>
          <cell r="AN1600"/>
          <cell r="AO1600"/>
          <cell r="AP1600"/>
          <cell r="AQ1600"/>
          <cell r="AR1600"/>
          <cell r="AS1600"/>
          <cell r="AT1600"/>
          <cell r="AU1600"/>
          <cell r="AV1600"/>
          <cell r="AW1600"/>
          <cell r="AX1600"/>
          <cell r="AY1600"/>
          <cell r="AZ1600"/>
        </row>
        <row r="1601">
          <cell r="A1601"/>
          <cell r="B1601"/>
          <cell r="C1601"/>
          <cell r="D1601"/>
          <cell r="E1601"/>
          <cell r="F1601"/>
          <cell r="G1601"/>
          <cell r="H1601"/>
          <cell r="I1601"/>
          <cell r="J1601"/>
          <cell r="K1601"/>
          <cell r="L1601"/>
          <cell r="M1601"/>
          <cell r="N1601"/>
          <cell r="O1601"/>
          <cell r="P1601"/>
          <cell r="Q1601"/>
          <cell r="R1601"/>
          <cell r="S1601"/>
          <cell r="T1601"/>
          <cell r="U1601"/>
          <cell r="V1601"/>
          <cell r="W1601"/>
          <cell r="X1601"/>
          <cell r="Y1601"/>
          <cell r="Z1601"/>
          <cell r="AA1601"/>
          <cell r="AB1601"/>
          <cell r="AC1601"/>
          <cell r="AD1601"/>
          <cell r="AE1601"/>
          <cell r="AF1601"/>
          <cell r="AG1601"/>
          <cell r="AH1601"/>
          <cell r="AI1601"/>
          <cell r="AJ1601"/>
          <cell r="AK1601"/>
          <cell r="AL1601"/>
          <cell r="AM1601"/>
          <cell r="AN1601"/>
          <cell r="AO1601"/>
          <cell r="AP1601"/>
          <cell r="AQ1601"/>
          <cell r="AR1601"/>
          <cell r="AS1601"/>
          <cell r="AT1601"/>
          <cell r="AU1601"/>
          <cell r="AV1601"/>
          <cell r="AW1601"/>
          <cell r="AX1601"/>
          <cell r="AY1601"/>
          <cell r="AZ1601"/>
        </row>
        <row r="1602">
          <cell r="A1602"/>
          <cell r="B1602"/>
          <cell r="C1602"/>
          <cell r="D1602"/>
          <cell r="E1602"/>
          <cell r="F1602"/>
          <cell r="G1602"/>
          <cell r="H1602"/>
          <cell r="I1602"/>
          <cell r="J1602"/>
          <cell r="K1602"/>
          <cell r="L1602"/>
          <cell r="M1602"/>
          <cell r="N1602"/>
          <cell r="O1602"/>
          <cell r="P1602"/>
          <cell r="Q1602"/>
          <cell r="R1602"/>
          <cell r="S1602"/>
          <cell r="T1602"/>
          <cell r="U1602"/>
          <cell r="V1602"/>
          <cell r="W1602"/>
          <cell r="X1602"/>
          <cell r="Y1602"/>
          <cell r="Z1602"/>
          <cell r="AA1602"/>
          <cell r="AB1602"/>
          <cell r="AC1602"/>
          <cell r="AD1602"/>
          <cell r="AE1602"/>
          <cell r="AF1602"/>
          <cell r="AG1602"/>
          <cell r="AH1602"/>
          <cell r="AI1602"/>
          <cell r="AJ1602"/>
          <cell r="AK1602"/>
          <cell r="AL1602"/>
          <cell r="AM1602"/>
          <cell r="AN1602"/>
          <cell r="AO1602"/>
          <cell r="AP1602"/>
          <cell r="AQ1602"/>
          <cell r="AR1602"/>
          <cell r="AS1602"/>
          <cell r="AT1602"/>
          <cell r="AU1602"/>
          <cell r="AV1602"/>
          <cell r="AW1602"/>
          <cell r="AX1602"/>
          <cell r="AY1602"/>
          <cell r="AZ1602"/>
        </row>
        <row r="1603">
          <cell r="A1603"/>
          <cell r="B1603"/>
          <cell r="C1603"/>
          <cell r="D1603"/>
          <cell r="E1603"/>
          <cell r="F1603"/>
          <cell r="G1603"/>
          <cell r="H1603"/>
          <cell r="I1603"/>
          <cell r="J1603"/>
          <cell r="K1603"/>
          <cell r="L1603"/>
          <cell r="M1603"/>
          <cell r="N1603"/>
          <cell r="O1603"/>
          <cell r="P1603"/>
          <cell r="Q1603"/>
          <cell r="R1603"/>
          <cell r="S1603"/>
          <cell r="T1603"/>
          <cell r="U1603"/>
          <cell r="V1603"/>
          <cell r="W1603"/>
          <cell r="X1603"/>
          <cell r="Y1603"/>
          <cell r="Z1603"/>
          <cell r="AA1603"/>
          <cell r="AB1603"/>
          <cell r="AC1603"/>
          <cell r="AD1603"/>
          <cell r="AE1603"/>
          <cell r="AF1603"/>
          <cell r="AG1603"/>
          <cell r="AH1603"/>
          <cell r="AI1603"/>
          <cell r="AJ1603"/>
          <cell r="AK1603"/>
          <cell r="AL1603"/>
          <cell r="AM1603"/>
          <cell r="AN1603"/>
          <cell r="AO1603"/>
          <cell r="AP1603"/>
          <cell r="AQ1603"/>
          <cell r="AR1603"/>
          <cell r="AS1603"/>
          <cell r="AT1603"/>
          <cell r="AU1603"/>
          <cell r="AV1603"/>
          <cell r="AW1603"/>
          <cell r="AX1603"/>
          <cell r="AY1603"/>
          <cell r="AZ1603"/>
        </row>
        <row r="1604">
          <cell r="A1604"/>
          <cell r="B1604"/>
          <cell r="C1604"/>
          <cell r="D1604"/>
          <cell r="E1604"/>
          <cell r="F1604"/>
          <cell r="G1604"/>
          <cell r="H1604"/>
          <cell r="I1604"/>
          <cell r="J1604"/>
          <cell r="K1604"/>
          <cell r="L1604"/>
          <cell r="M1604"/>
          <cell r="N1604"/>
          <cell r="O1604"/>
          <cell r="P1604"/>
          <cell r="Q1604"/>
          <cell r="R1604"/>
          <cell r="S1604"/>
          <cell r="T1604"/>
          <cell r="U1604"/>
          <cell r="V1604"/>
          <cell r="W1604"/>
          <cell r="X1604"/>
          <cell r="Y1604"/>
          <cell r="Z1604"/>
          <cell r="AA1604"/>
          <cell r="AB1604"/>
          <cell r="AC1604"/>
          <cell r="AD1604"/>
          <cell r="AE1604"/>
          <cell r="AF1604"/>
          <cell r="AG1604"/>
          <cell r="AH1604"/>
          <cell r="AI1604"/>
          <cell r="AJ1604"/>
          <cell r="AK1604"/>
          <cell r="AL1604"/>
          <cell r="AM1604"/>
          <cell r="AN1604"/>
          <cell r="AO1604"/>
          <cell r="AP1604"/>
          <cell r="AQ1604"/>
          <cell r="AR1604"/>
          <cell r="AS1604"/>
          <cell r="AT1604"/>
          <cell r="AU1604"/>
          <cell r="AV1604"/>
          <cell r="AW1604"/>
          <cell r="AX1604"/>
          <cell r="AY1604"/>
          <cell r="AZ1604"/>
        </row>
        <row r="1605">
          <cell r="A1605"/>
          <cell r="B1605"/>
          <cell r="C1605"/>
          <cell r="D1605"/>
          <cell r="E1605"/>
          <cell r="F1605"/>
          <cell r="G1605"/>
          <cell r="H1605"/>
          <cell r="I1605"/>
          <cell r="J1605"/>
          <cell r="K1605"/>
          <cell r="L1605"/>
          <cell r="M1605"/>
          <cell r="N1605"/>
          <cell r="O1605"/>
          <cell r="P1605"/>
          <cell r="Q1605"/>
          <cell r="R1605"/>
          <cell r="S1605"/>
          <cell r="T1605"/>
          <cell r="U1605"/>
          <cell r="V1605"/>
          <cell r="W1605"/>
          <cell r="X1605"/>
          <cell r="Y1605"/>
          <cell r="Z1605"/>
          <cell r="AA1605"/>
          <cell r="AB1605"/>
          <cell r="AC1605"/>
          <cell r="AD1605"/>
          <cell r="AE1605"/>
          <cell r="AF1605"/>
          <cell r="AG1605"/>
          <cell r="AH1605"/>
          <cell r="AI1605"/>
          <cell r="AJ1605"/>
          <cell r="AK1605"/>
          <cell r="AL1605"/>
          <cell r="AM1605"/>
          <cell r="AN1605"/>
          <cell r="AO1605"/>
          <cell r="AP1605"/>
          <cell r="AQ1605"/>
          <cell r="AR1605"/>
          <cell r="AS1605"/>
          <cell r="AT1605"/>
          <cell r="AU1605"/>
          <cell r="AV1605"/>
          <cell r="AW1605"/>
          <cell r="AX1605"/>
          <cell r="AY1605"/>
          <cell r="AZ1605"/>
        </row>
        <row r="1606">
          <cell r="A1606"/>
          <cell r="B1606"/>
          <cell r="C1606"/>
          <cell r="D1606"/>
          <cell r="E1606"/>
          <cell r="F1606"/>
          <cell r="G1606"/>
          <cell r="H1606"/>
          <cell r="I1606"/>
          <cell r="J1606"/>
          <cell r="K1606"/>
          <cell r="L1606"/>
          <cell r="M1606"/>
          <cell r="N1606"/>
          <cell r="O1606"/>
          <cell r="P1606"/>
          <cell r="Q1606"/>
          <cell r="R1606"/>
          <cell r="S1606"/>
          <cell r="T1606"/>
          <cell r="U1606"/>
          <cell r="V1606"/>
          <cell r="W1606"/>
          <cell r="X1606"/>
          <cell r="Y1606"/>
          <cell r="Z1606"/>
          <cell r="AA1606"/>
          <cell r="AB1606"/>
          <cell r="AC1606"/>
          <cell r="AD1606"/>
          <cell r="AE1606"/>
          <cell r="AF1606"/>
          <cell r="AG1606"/>
          <cell r="AH1606"/>
          <cell r="AI1606"/>
          <cell r="AJ1606"/>
          <cell r="AK1606"/>
          <cell r="AL1606"/>
          <cell r="AM1606"/>
          <cell r="AN1606"/>
          <cell r="AO1606"/>
          <cell r="AP1606"/>
          <cell r="AQ1606"/>
          <cell r="AR1606"/>
          <cell r="AS1606"/>
          <cell r="AT1606"/>
          <cell r="AU1606"/>
          <cell r="AV1606"/>
          <cell r="AW1606"/>
          <cell r="AX1606"/>
          <cell r="AY1606"/>
          <cell r="AZ1606"/>
        </row>
        <row r="1607">
          <cell r="A1607"/>
          <cell r="B1607"/>
          <cell r="C1607"/>
          <cell r="D1607"/>
          <cell r="E1607"/>
          <cell r="F1607"/>
          <cell r="G1607"/>
          <cell r="H1607"/>
          <cell r="I1607"/>
          <cell r="J1607"/>
          <cell r="K1607"/>
          <cell r="L1607"/>
          <cell r="M1607"/>
          <cell r="N1607"/>
          <cell r="O1607"/>
          <cell r="P1607"/>
          <cell r="Q1607"/>
          <cell r="R1607"/>
          <cell r="S1607"/>
          <cell r="T1607"/>
          <cell r="U1607"/>
          <cell r="V1607"/>
          <cell r="W1607"/>
          <cell r="X1607"/>
          <cell r="Y1607"/>
          <cell r="Z1607"/>
          <cell r="AA1607"/>
          <cell r="AB1607"/>
          <cell r="AC1607"/>
          <cell r="AD1607"/>
          <cell r="AE1607"/>
          <cell r="AF1607"/>
          <cell r="AG1607"/>
          <cell r="AH1607"/>
          <cell r="AI1607"/>
          <cell r="AJ1607"/>
          <cell r="AK1607"/>
          <cell r="AL1607"/>
          <cell r="AM1607"/>
          <cell r="AN1607"/>
          <cell r="AO1607"/>
          <cell r="AP1607"/>
          <cell r="AQ1607"/>
          <cell r="AR1607"/>
          <cell r="AS1607"/>
          <cell r="AT1607"/>
          <cell r="AU1607"/>
          <cell r="AV1607"/>
          <cell r="AW1607"/>
          <cell r="AX1607"/>
          <cell r="AY1607"/>
          <cell r="AZ1607"/>
        </row>
        <row r="1608">
          <cell r="A1608"/>
          <cell r="B1608"/>
          <cell r="C1608"/>
          <cell r="D1608"/>
          <cell r="E1608"/>
          <cell r="F1608"/>
          <cell r="G1608"/>
          <cell r="H1608"/>
          <cell r="I1608"/>
          <cell r="J1608"/>
          <cell r="K1608"/>
          <cell r="L1608"/>
          <cell r="M1608"/>
          <cell r="N1608"/>
          <cell r="O1608"/>
          <cell r="P1608"/>
          <cell r="Q1608"/>
          <cell r="R1608"/>
          <cell r="S1608"/>
          <cell r="T1608"/>
          <cell r="U1608"/>
          <cell r="V1608"/>
          <cell r="W1608"/>
          <cell r="X1608"/>
          <cell r="Y1608"/>
          <cell r="Z1608"/>
          <cell r="AA1608"/>
          <cell r="AB1608"/>
          <cell r="AC1608"/>
          <cell r="AD1608"/>
          <cell r="AE1608"/>
          <cell r="AF1608"/>
          <cell r="AG1608"/>
          <cell r="AH1608"/>
          <cell r="AI1608"/>
          <cell r="AJ1608"/>
          <cell r="AK1608"/>
          <cell r="AL1608"/>
          <cell r="AM1608"/>
          <cell r="AN1608"/>
          <cell r="AO1608"/>
          <cell r="AP1608"/>
          <cell r="AQ1608"/>
          <cell r="AR1608"/>
          <cell r="AS1608"/>
          <cell r="AT1608"/>
          <cell r="AU1608"/>
          <cell r="AV1608"/>
          <cell r="AW1608"/>
          <cell r="AX1608"/>
          <cell r="AY1608"/>
          <cell r="AZ1608"/>
        </row>
        <row r="1609">
          <cell r="A1609"/>
          <cell r="B1609"/>
          <cell r="C1609"/>
          <cell r="D1609"/>
          <cell r="E1609"/>
          <cell r="F1609"/>
          <cell r="G1609"/>
          <cell r="H1609"/>
          <cell r="I1609"/>
          <cell r="J1609"/>
          <cell r="K1609"/>
          <cell r="L1609"/>
          <cell r="M1609"/>
          <cell r="N1609"/>
          <cell r="O1609"/>
          <cell r="P1609"/>
          <cell r="Q1609"/>
          <cell r="R1609"/>
          <cell r="S1609"/>
          <cell r="T1609"/>
          <cell r="U1609"/>
          <cell r="V1609"/>
          <cell r="W1609"/>
          <cell r="X1609"/>
          <cell r="Y1609"/>
          <cell r="Z1609"/>
          <cell r="AA1609"/>
          <cell r="AB1609"/>
          <cell r="AC1609"/>
          <cell r="AD1609"/>
          <cell r="AE1609"/>
          <cell r="AF1609"/>
          <cell r="AG1609"/>
          <cell r="AH1609"/>
          <cell r="AI1609"/>
          <cell r="AJ1609"/>
          <cell r="AK1609"/>
          <cell r="AL1609"/>
          <cell r="AM1609"/>
          <cell r="AN1609"/>
          <cell r="AO1609"/>
          <cell r="AP1609"/>
          <cell r="AQ1609"/>
          <cell r="AR1609"/>
          <cell r="AS1609"/>
          <cell r="AT1609"/>
          <cell r="AU1609"/>
          <cell r="AV1609"/>
          <cell r="AW1609"/>
          <cell r="AX1609"/>
          <cell r="AY1609"/>
          <cell r="AZ1609"/>
        </row>
        <row r="1610">
          <cell r="A1610"/>
          <cell r="B1610"/>
          <cell r="C1610"/>
          <cell r="D1610"/>
          <cell r="E1610"/>
          <cell r="F1610"/>
          <cell r="G1610"/>
          <cell r="H1610"/>
          <cell r="I1610"/>
          <cell r="J1610"/>
          <cell r="K1610"/>
          <cell r="L1610"/>
          <cell r="M1610"/>
          <cell r="N1610"/>
          <cell r="O1610"/>
          <cell r="P1610"/>
          <cell r="Q1610"/>
          <cell r="R1610"/>
          <cell r="S1610"/>
          <cell r="T1610"/>
          <cell r="U1610"/>
          <cell r="V1610"/>
          <cell r="W1610"/>
          <cell r="X1610"/>
          <cell r="Y1610"/>
          <cell r="Z1610"/>
          <cell r="AA1610"/>
          <cell r="AB1610"/>
          <cell r="AC1610"/>
          <cell r="AD1610"/>
          <cell r="AE1610"/>
          <cell r="AF1610"/>
          <cell r="AG1610"/>
          <cell r="AH1610"/>
          <cell r="AI1610"/>
          <cell r="AJ1610"/>
          <cell r="AK1610"/>
          <cell r="AL1610"/>
          <cell r="AM1610"/>
          <cell r="AN1610"/>
          <cell r="AO1610"/>
          <cell r="AP1610"/>
          <cell r="AQ1610"/>
          <cell r="AR1610"/>
          <cell r="AS1610"/>
          <cell r="AT1610"/>
          <cell r="AU1610"/>
          <cell r="AV1610"/>
          <cell r="AW1610"/>
          <cell r="AX1610"/>
          <cell r="AY1610"/>
          <cell r="AZ1610"/>
        </row>
        <row r="1611">
          <cell r="A1611"/>
          <cell r="B1611"/>
          <cell r="C1611"/>
          <cell r="D1611"/>
          <cell r="E1611"/>
          <cell r="F1611"/>
          <cell r="G1611"/>
          <cell r="H1611"/>
          <cell r="I1611"/>
          <cell r="J1611"/>
          <cell r="K1611"/>
          <cell r="L1611"/>
          <cell r="M1611"/>
          <cell r="N1611"/>
          <cell r="O1611"/>
          <cell r="P1611"/>
          <cell r="Q1611"/>
          <cell r="R1611"/>
          <cell r="S1611"/>
          <cell r="T1611"/>
          <cell r="U1611"/>
          <cell r="V1611"/>
          <cell r="W1611"/>
          <cell r="X1611"/>
          <cell r="Y1611"/>
          <cell r="Z1611"/>
          <cell r="AA1611"/>
          <cell r="AB1611"/>
          <cell r="AC1611"/>
          <cell r="AD1611"/>
          <cell r="AE1611"/>
          <cell r="AF1611"/>
          <cell r="AG1611"/>
          <cell r="AH1611"/>
          <cell r="AI1611"/>
          <cell r="AJ1611"/>
          <cell r="AK1611"/>
          <cell r="AL1611"/>
          <cell r="AM1611"/>
          <cell r="AN1611"/>
          <cell r="AO1611"/>
          <cell r="AP1611"/>
          <cell r="AQ1611"/>
          <cell r="AR1611"/>
          <cell r="AS1611"/>
          <cell r="AT1611"/>
          <cell r="AU1611"/>
          <cell r="AV1611"/>
          <cell r="AW1611"/>
          <cell r="AX1611"/>
          <cell r="AY1611"/>
          <cell r="AZ1611"/>
        </row>
        <row r="1612">
          <cell r="A1612"/>
          <cell r="B1612"/>
          <cell r="C1612"/>
          <cell r="D1612"/>
          <cell r="E1612"/>
          <cell r="F1612"/>
          <cell r="G1612"/>
          <cell r="H1612"/>
          <cell r="I1612"/>
          <cell r="J1612"/>
          <cell r="K1612"/>
          <cell r="L1612"/>
          <cell r="M1612"/>
          <cell r="N1612"/>
          <cell r="O1612"/>
          <cell r="P1612"/>
          <cell r="Q1612"/>
          <cell r="R1612"/>
          <cell r="S1612"/>
          <cell r="T1612"/>
          <cell r="U1612"/>
          <cell r="V1612"/>
          <cell r="W1612"/>
          <cell r="X1612"/>
          <cell r="Y1612"/>
          <cell r="Z1612"/>
          <cell r="AA1612"/>
          <cell r="AB1612"/>
          <cell r="AC1612"/>
          <cell r="AD1612"/>
          <cell r="AE1612"/>
          <cell r="AF1612"/>
          <cell r="AG1612"/>
          <cell r="AH1612"/>
          <cell r="AI1612"/>
          <cell r="AJ1612"/>
          <cell r="AK1612"/>
          <cell r="AL1612"/>
          <cell r="AM1612"/>
          <cell r="AN1612"/>
          <cell r="AO1612"/>
          <cell r="AP1612"/>
          <cell r="AQ1612"/>
          <cell r="AR1612"/>
          <cell r="AS1612"/>
          <cell r="AT1612"/>
          <cell r="AU1612"/>
          <cell r="AV1612"/>
          <cell r="AW1612"/>
          <cell r="AX1612"/>
          <cell r="AY1612"/>
          <cell r="AZ1612"/>
        </row>
        <row r="1613">
          <cell r="A1613"/>
          <cell r="B1613"/>
          <cell r="C1613"/>
          <cell r="D1613"/>
          <cell r="E1613"/>
          <cell r="F1613"/>
          <cell r="G1613"/>
          <cell r="H1613"/>
          <cell r="I1613"/>
          <cell r="J1613"/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/>
          <cell r="AS1613"/>
          <cell r="AT1613"/>
          <cell r="AU1613"/>
          <cell r="AV1613"/>
          <cell r="AW1613"/>
          <cell r="AX1613"/>
          <cell r="AY1613"/>
          <cell r="AZ1613"/>
        </row>
        <row r="1614">
          <cell r="A1614"/>
          <cell r="B1614"/>
          <cell r="C1614"/>
          <cell r="D1614"/>
          <cell r="E1614"/>
          <cell r="F1614"/>
          <cell r="G1614"/>
          <cell r="H1614"/>
          <cell r="I1614"/>
          <cell r="J1614"/>
          <cell r="K1614"/>
          <cell r="L1614"/>
          <cell r="M1614"/>
          <cell r="N1614"/>
          <cell r="O1614"/>
          <cell r="P1614"/>
          <cell r="Q1614"/>
          <cell r="R1614"/>
          <cell r="S1614"/>
          <cell r="T1614"/>
          <cell r="U1614"/>
          <cell r="V1614"/>
          <cell r="W1614"/>
          <cell r="X1614"/>
          <cell r="Y1614"/>
          <cell r="Z1614"/>
          <cell r="AA1614"/>
          <cell r="AB1614"/>
          <cell r="AC1614"/>
          <cell r="AD1614"/>
          <cell r="AE1614"/>
          <cell r="AF1614"/>
          <cell r="AG1614"/>
          <cell r="AH1614"/>
          <cell r="AI1614"/>
          <cell r="AJ1614"/>
          <cell r="AK1614"/>
          <cell r="AL1614"/>
          <cell r="AM1614"/>
          <cell r="AN1614"/>
          <cell r="AO1614"/>
          <cell r="AP1614"/>
          <cell r="AQ1614"/>
          <cell r="AR1614"/>
          <cell r="AS1614"/>
          <cell r="AT1614"/>
          <cell r="AU1614"/>
          <cell r="AV1614"/>
          <cell r="AW1614"/>
          <cell r="AX1614"/>
          <cell r="AY1614"/>
          <cell r="AZ1614"/>
        </row>
        <row r="1615">
          <cell r="A1615"/>
          <cell r="B1615"/>
          <cell r="C1615"/>
          <cell r="D1615"/>
          <cell r="E1615"/>
          <cell r="F1615"/>
          <cell r="G1615"/>
          <cell r="H1615"/>
          <cell r="I1615"/>
          <cell r="J1615"/>
          <cell r="K1615"/>
          <cell r="L1615"/>
          <cell r="M1615"/>
          <cell r="N1615"/>
          <cell r="O1615"/>
          <cell r="P1615"/>
          <cell r="Q1615"/>
          <cell r="R1615"/>
          <cell r="S1615"/>
          <cell r="T1615"/>
          <cell r="U1615"/>
          <cell r="V1615"/>
          <cell r="W1615"/>
          <cell r="X1615"/>
          <cell r="Y1615"/>
          <cell r="Z1615"/>
          <cell r="AA1615"/>
          <cell r="AB1615"/>
          <cell r="AC1615"/>
          <cell r="AD1615"/>
          <cell r="AE1615"/>
          <cell r="AF1615"/>
          <cell r="AG1615"/>
          <cell r="AH1615"/>
          <cell r="AI1615"/>
          <cell r="AJ1615"/>
          <cell r="AK1615"/>
          <cell r="AL1615"/>
          <cell r="AM1615"/>
          <cell r="AN1615"/>
          <cell r="AO1615"/>
          <cell r="AP1615"/>
          <cell r="AQ1615"/>
          <cell r="AR1615"/>
          <cell r="AS1615"/>
          <cell r="AT1615"/>
          <cell r="AU1615"/>
          <cell r="AV1615"/>
          <cell r="AW1615"/>
          <cell r="AX1615"/>
          <cell r="AY1615"/>
          <cell r="AZ1615"/>
        </row>
        <row r="1616">
          <cell r="A1616"/>
          <cell r="B1616"/>
          <cell r="C1616"/>
          <cell r="D1616"/>
          <cell r="E1616"/>
          <cell r="F1616"/>
          <cell r="G1616"/>
          <cell r="H1616"/>
          <cell r="I1616"/>
          <cell r="J1616"/>
          <cell r="K1616"/>
          <cell r="L1616"/>
          <cell r="M1616"/>
          <cell r="N1616"/>
          <cell r="O1616"/>
          <cell r="P1616"/>
          <cell r="Q1616"/>
          <cell r="R1616"/>
          <cell r="S1616"/>
          <cell r="T1616"/>
          <cell r="U1616"/>
          <cell r="V1616"/>
          <cell r="W1616"/>
          <cell r="X1616"/>
          <cell r="Y1616"/>
          <cell r="Z1616"/>
          <cell r="AA1616"/>
          <cell r="AB1616"/>
          <cell r="AC1616"/>
          <cell r="AD1616"/>
          <cell r="AE1616"/>
          <cell r="AF1616"/>
          <cell r="AG1616"/>
          <cell r="AH1616"/>
          <cell r="AI1616"/>
          <cell r="AJ1616"/>
          <cell r="AK1616"/>
          <cell r="AL1616"/>
          <cell r="AM1616"/>
          <cell r="AN1616"/>
          <cell r="AO1616"/>
          <cell r="AP1616"/>
          <cell r="AQ1616"/>
          <cell r="AR1616"/>
          <cell r="AS1616"/>
          <cell r="AT1616"/>
          <cell r="AU1616"/>
          <cell r="AV1616"/>
          <cell r="AW1616"/>
          <cell r="AX1616"/>
          <cell r="AY1616"/>
          <cell r="AZ1616"/>
        </row>
        <row r="1617">
          <cell r="A1617"/>
          <cell r="B1617"/>
          <cell r="C1617"/>
          <cell r="D1617"/>
          <cell r="E1617"/>
          <cell r="F1617"/>
          <cell r="G1617"/>
          <cell r="H1617"/>
          <cell r="I1617"/>
          <cell r="J1617"/>
          <cell r="K1617"/>
          <cell r="L1617"/>
          <cell r="M1617"/>
          <cell r="N1617"/>
          <cell r="O1617"/>
          <cell r="P1617"/>
          <cell r="Q1617"/>
          <cell r="R1617"/>
          <cell r="S1617"/>
          <cell r="T1617"/>
          <cell r="U1617"/>
          <cell r="V1617"/>
          <cell r="W1617"/>
          <cell r="X1617"/>
          <cell r="Y1617"/>
          <cell r="Z1617"/>
          <cell r="AA1617"/>
          <cell r="AB1617"/>
          <cell r="AC1617"/>
          <cell r="AD1617"/>
          <cell r="AE1617"/>
          <cell r="AF1617"/>
          <cell r="AG1617"/>
          <cell r="AH1617"/>
          <cell r="AI1617"/>
          <cell r="AJ1617"/>
          <cell r="AK1617"/>
          <cell r="AL1617"/>
          <cell r="AM1617"/>
          <cell r="AN1617"/>
          <cell r="AO1617"/>
          <cell r="AP1617"/>
          <cell r="AQ1617"/>
          <cell r="AR1617"/>
          <cell r="AS1617"/>
          <cell r="AT1617"/>
          <cell r="AU1617"/>
          <cell r="AV1617"/>
          <cell r="AW1617"/>
          <cell r="AX1617"/>
          <cell r="AY1617"/>
          <cell r="AZ1617"/>
        </row>
        <row r="1618">
          <cell r="A1618"/>
          <cell r="B1618"/>
          <cell r="C1618"/>
          <cell r="D1618"/>
          <cell r="E1618"/>
          <cell r="F1618"/>
          <cell r="G1618"/>
          <cell r="H1618"/>
          <cell r="I1618"/>
          <cell r="J1618"/>
          <cell r="K1618"/>
          <cell r="L1618"/>
          <cell r="M1618"/>
          <cell r="N1618"/>
          <cell r="O1618"/>
          <cell r="P1618"/>
          <cell r="Q1618"/>
          <cell r="R1618"/>
          <cell r="S1618"/>
          <cell r="T1618"/>
          <cell r="U1618"/>
          <cell r="V1618"/>
          <cell r="W1618"/>
          <cell r="X1618"/>
          <cell r="Y1618"/>
          <cell r="Z1618"/>
          <cell r="AA1618"/>
          <cell r="AB1618"/>
          <cell r="AC1618"/>
          <cell r="AD1618"/>
          <cell r="AE1618"/>
          <cell r="AF1618"/>
          <cell r="AG1618"/>
          <cell r="AH1618"/>
          <cell r="AI1618"/>
          <cell r="AJ1618"/>
          <cell r="AK1618"/>
          <cell r="AL1618"/>
          <cell r="AM1618"/>
          <cell r="AN1618"/>
          <cell r="AO1618"/>
          <cell r="AP1618"/>
          <cell r="AQ1618"/>
          <cell r="AR1618"/>
          <cell r="AS1618"/>
          <cell r="AT1618"/>
          <cell r="AU1618"/>
          <cell r="AV1618"/>
          <cell r="AW1618"/>
          <cell r="AX1618"/>
          <cell r="AY1618"/>
          <cell r="AZ1618"/>
        </row>
        <row r="1619">
          <cell r="A1619"/>
          <cell r="B1619"/>
          <cell r="C1619"/>
          <cell r="D1619"/>
          <cell r="E1619"/>
          <cell r="F1619"/>
          <cell r="G1619"/>
          <cell r="H1619"/>
          <cell r="I1619"/>
          <cell r="J1619"/>
          <cell r="K1619"/>
          <cell r="L1619"/>
          <cell r="M1619"/>
          <cell r="N1619"/>
          <cell r="O1619"/>
          <cell r="P1619"/>
          <cell r="Q1619"/>
          <cell r="R1619"/>
          <cell r="S1619"/>
          <cell r="T1619"/>
          <cell r="U1619"/>
          <cell r="V1619"/>
          <cell r="W1619"/>
          <cell r="X1619"/>
          <cell r="Y1619"/>
          <cell r="Z1619"/>
          <cell r="AA1619"/>
          <cell r="AB1619"/>
          <cell r="AC1619"/>
          <cell r="AD1619"/>
          <cell r="AE1619"/>
          <cell r="AF1619"/>
          <cell r="AG1619"/>
          <cell r="AH1619"/>
          <cell r="AI1619"/>
          <cell r="AJ1619"/>
          <cell r="AK1619"/>
          <cell r="AL1619"/>
          <cell r="AM1619"/>
          <cell r="AN1619"/>
          <cell r="AO1619"/>
          <cell r="AP1619"/>
          <cell r="AQ1619"/>
          <cell r="AR1619"/>
          <cell r="AS1619"/>
          <cell r="AT1619"/>
          <cell r="AU1619"/>
          <cell r="AV1619"/>
          <cell r="AW1619"/>
          <cell r="AX1619"/>
          <cell r="AY1619"/>
          <cell r="AZ1619"/>
        </row>
        <row r="1620">
          <cell r="A1620"/>
          <cell r="B1620"/>
          <cell r="C1620"/>
          <cell r="D1620"/>
          <cell r="E1620"/>
          <cell r="F1620"/>
          <cell r="G1620"/>
          <cell r="H1620"/>
          <cell r="I1620"/>
          <cell r="J1620"/>
          <cell r="K1620"/>
          <cell r="L1620"/>
          <cell r="M1620"/>
          <cell r="N1620"/>
          <cell r="O1620"/>
          <cell r="P1620"/>
          <cell r="Q1620"/>
          <cell r="R1620"/>
          <cell r="S1620"/>
          <cell r="T1620"/>
          <cell r="U1620"/>
          <cell r="V1620"/>
          <cell r="W1620"/>
          <cell r="X1620"/>
          <cell r="Y1620"/>
          <cell r="Z1620"/>
          <cell r="AA1620"/>
          <cell r="AB1620"/>
          <cell r="AC1620"/>
          <cell r="AD1620"/>
          <cell r="AE1620"/>
          <cell r="AF1620"/>
          <cell r="AG1620"/>
          <cell r="AH1620"/>
          <cell r="AI1620"/>
          <cell r="AJ1620"/>
          <cell r="AK1620"/>
          <cell r="AL1620"/>
          <cell r="AM1620"/>
          <cell r="AN1620"/>
          <cell r="AO1620"/>
          <cell r="AP1620"/>
          <cell r="AQ1620"/>
          <cell r="AR1620"/>
          <cell r="AS1620"/>
          <cell r="AT1620"/>
          <cell r="AU1620"/>
          <cell r="AV1620"/>
          <cell r="AW1620"/>
          <cell r="AX1620"/>
          <cell r="AY1620"/>
          <cell r="AZ1620"/>
        </row>
        <row r="1621">
          <cell r="A1621"/>
          <cell r="B1621"/>
          <cell r="C1621"/>
          <cell r="D1621"/>
          <cell r="E1621"/>
          <cell r="F1621"/>
          <cell r="G1621"/>
          <cell r="H1621"/>
          <cell r="I1621"/>
          <cell r="J1621"/>
          <cell r="K1621"/>
          <cell r="L1621"/>
          <cell r="M1621"/>
          <cell r="N1621"/>
          <cell r="O1621"/>
          <cell r="P1621"/>
          <cell r="Q1621"/>
          <cell r="R1621"/>
          <cell r="S1621"/>
          <cell r="T1621"/>
          <cell r="U1621"/>
          <cell r="V1621"/>
          <cell r="W1621"/>
          <cell r="X1621"/>
          <cell r="Y1621"/>
          <cell r="Z1621"/>
          <cell r="AA1621"/>
          <cell r="AB1621"/>
          <cell r="AC1621"/>
          <cell r="AD1621"/>
          <cell r="AE1621"/>
          <cell r="AF1621"/>
          <cell r="AG1621"/>
          <cell r="AH1621"/>
          <cell r="AI1621"/>
          <cell r="AJ1621"/>
          <cell r="AK1621"/>
          <cell r="AL1621"/>
          <cell r="AM1621"/>
          <cell r="AN1621"/>
          <cell r="AO1621"/>
          <cell r="AP1621"/>
          <cell r="AQ1621"/>
          <cell r="AR1621"/>
          <cell r="AS1621"/>
          <cell r="AT1621"/>
          <cell r="AU1621"/>
          <cell r="AV1621"/>
          <cell r="AW1621"/>
          <cell r="AX1621"/>
          <cell r="AY1621"/>
          <cell r="AZ1621"/>
        </row>
        <row r="1622">
          <cell r="A1622"/>
          <cell r="B1622"/>
          <cell r="C1622"/>
          <cell r="D1622"/>
          <cell r="E1622"/>
          <cell r="F1622"/>
          <cell r="G1622"/>
          <cell r="H1622"/>
          <cell r="I1622"/>
          <cell r="J1622"/>
          <cell r="K1622"/>
          <cell r="L1622"/>
          <cell r="M1622"/>
          <cell r="N1622"/>
          <cell r="O1622"/>
          <cell r="P1622"/>
          <cell r="Q1622"/>
          <cell r="R1622"/>
          <cell r="S1622"/>
          <cell r="T1622"/>
          <cell r="U1622"/>
          <cell r="V1622"/>
          <cell r="W1622"/>
          <cell r="X1622"/>
          <cell r="Y1622"/>
          <cell r="Z1622"/>
          <cell r="AA1622"/>
          <cell r="AB1622"/>
          <cell r="AC1622"/>
          <cell r="AD1622"/>
          <cell r="AE1622"/>
          <cell r="AF1622"/>
          <cell r="AG1622"/>
          <cell r="AH1622"/>
          <cell r="AI1622"/>
          <cell r="AJ1622"/>
          <cell r="AK1622"/>
          <cell r="AL1622"/>
          <cell r="AM1622"/>
          <cell r="AN1622"/>
          <cell r="AO1622"/>
          <cell r="AP1622"/>
          <cell r="AQ1622"/>
          <cell r="AR1622"/>
          <cell r="AS1622"/>
          <cell r="AT1622"/>
          <cell r="AU1622"/>
          <cell r="AV1622"/>
          <cell r="AW1622"/>
          <cell r="AX1622"/>
          <cell r="AY1622"/>
          <cell r="AZ1622"/>
        </row>
        <row r="1623">
          <cell r="A1623"/>
          <cell r="B1623"/>
          <cell r="C1623"/>
          <cell r="D1623"/>
          <cell r="E1623"/>
          <cell r="F1623"/>
          <cell r="G1623"/>
          <cell r="H1623"/>
          <cell r="I1623"/>
          <cell r="J1623"/>
          <cell r="K1623"/>
          <cell r="L1623"/>
          <cell r="M1623"/>
          <cell r="N1623"/>
          <cell r="O1623"/>
          <cell r="P1623"/>
          <cell r="Q1623"/>
          <cell r="R1623"/>
          <cell r="S1623"/>
          <cell r="T1623"/>
          <cell r="U1623"/>
          <cell r="V1623"/>
          <cell r="W1623"/>
          <cell r="X1623"/>
          <cell r="Y1623"/>
          <cell r="Z1623"/>
          <cell r="AA1623"/>
          <cell r="AB1623"/>
          <cell r="AC1623"/>
          <cell r="AD1623"/>
          <cell r="AE1623"/>
          <cell r="AF1623"/>
          <cell r="AG1623"/>
          <cell r="AH1623"/>
          <cell r="AI1623"/>
          <cell r="AJ1623"/>
          <cell r="AK1623"/>
          <cell r="AL1623"/>
          <cell r="AM1623"/>
          <cell r="AN1623"/>
          <cell r="AO1623"/>
          <cell r="AP1623"/>
          <cell r="AQ1623"/>
          <cell r="AR1623"/>
          <cell r="AS1623"/>
          <cell r="AT1623"/>
          <cell r="AU1623"/>
          <cell r="AV1623"/>
          <cell r="AW1623"/>
          <cell r="AX1623"/>
          <cell r="AY1623"/>
          <cell r="AZ1623"/>
        </row>
        <row r="1624">
          <cell r="A1624"/>
          <cell r="B1624"/>
          <cell r="C1624"/>
          <cell r="D1624"/>
          <cell r="E1624"/>
          <cell r="F1624"/>
          <cell r="G1624"/>
          <cell r="H1624"/>
          <cell r="I1624"/>
          <cell r="J1624"/>
          <cell r="K1624"/>
          <cell r="L1624"/>
          <cell r="M1624"/>
          <cell r="N1624"/>
          <cell r="O1624"/>
          <cell r="P1624"/>
          <cell r="Q1624"/>
          <cell r="R1624"/>
          <cell r="S1624"/>
          <cell r="T1624"/>
          <cell r="U1624"/>
          <cell r="V1624"/>
          <cell r="W1624"/>
          <cell r="X1624"/>
          <cell r="Y1624"/>
          <cell r="Z1624"/>
          <cell r="AA1624"/>
          <cell r="AB1624"/>
          <cell r="AC1624"/>
          <cell r="AD1624"/>
          <cell r="AE1624"/>
          <cell r="AF1624"/>
          <cell r="AG1624"/>
          <cell r="AH1624"/>
          <cell r="AI1624"/>
          <cell r="AJ1624"/>
          <cell r="AK1624"/>
          <cell r="AL1624"/>
          <cell r="AM1624"/>
          <cell r="AN1624"/>
          <cell r="AO1624"/>
          <cell r="AP1624"/>
          <cell r="AQ1624"/>
          <cell r="AR1624"/>
          <cell r="AS1624"/>
          <cell r="AT1624"/>
          <cell r="AU1624"/>
          <cell r="AV1624"/>
          <cell r="AW1624"/>
          <cell r="AX1624"/>
          <cell r="AY1624"/>
          <cell r="AZ1624"/>
        </row>
        <row r="1625">
          <cell r="A1625"/>
          <cell r="B1625"/>
          <cell r="C1625"/>
          <cell r="D1625"/>
          <cell r="E1625"/>
          <cell r="F1625"/>
          <cell r="G1625"/>
          <cell r="H1625"/>
          <cell r="I1625"/>
          <cell r="J1625"/>
          <cell r="K1625"/>
          <cell r="L1625"/>
          <cell r="M1625"/>
          <cell r="N1625"/>
          <cell r="O1625"/>
          <cell r="P1625"/>
          <cell r="Q1625"/>
          <cell r="R1625"/>
          <cell r="S1625"/>
          <cell r="T1625"/>
          <cell r="U1625"/>
          <cell r="V1625"/>
          <cell r="W1625"/>
          <cell r="X1625"/>
          <cell r="Y1625"/>
          <cell r="Z1625"/>
          <cell r="AA1625"/>
          <cell r="AB1625"/>
          <cell r="AC1625"/>
          <cell r="AD1625"/>
          <cell r="AE1625"/>
          <cell r="AF1625"/>
          <cell r="AG1625"/>
          <cell r="AH1625"/>
          <cell r="AI1625"/>
          <cell r="AJ1625"/>
          <cell r="AK1625"/>
          <cell r="AL1625"/>
          <cell r="AM1625"/>
          <cell r="AN1625"/>
          <cell r="AO1625"/>
          <cell r="AP1625"/>
          <cell r="AQ1625"/>
          <cell r="AR1625"/>
          <cell r="AS1625"/>
          <cell r="AT1625"/>
          <cell r="AU1625"/>
          <cell r="AV1625"/>
          <cell r="AW1625"/>
          <cell r="AX1625"/>
          <cell r="AY1625"/>
          <cell r="AZ1625"/>
        </row>
        <row r="1626">
          <cell r="A1626"/>
          <cell r="B1626"/>
          <cell r="C1626"/>
          <cell r="D1626"/>
          <cell r="E1626"/>
          <cell r="F1626"/>
          <cell r="G1626"/>
          <cell r="H1626"/>
          <cell r="I1626"/>
          <cell r="J1626"/>
          <cell r="K1626"/>
          <cell r="L1626"/>
          <cell r="M1626"/>
          <cell r="N1626"/>
          <cell r="O1626"/>
          <cell r="P1626"/>
          <cell r="Q1626"/>
          <cell r="R1626"/>
          <cell r="S1626"/>
          <cell r="T1626"/>
          <cell r="U1626"/>
          <cell r="V1626"/>
          <cell r="W1626"/>
          <cell r="X1626"/>
          <cell r="Y1626"/>
          <cell r="Z1626"/>
          <cell r="AA1626"/>
          <cell r="AB1626"/>
          <cell r="AC1626"/>
          <cell r="AD1626"/>
          <cell r="AE1626"/>
          <cell r="AF1626"/>
          <cell r="AG1626"/>
          <cell r="AH1626"/>
          <cell r="AI1626"/>
          <cell r="AJ1626"/>
          <cell r="AK1626"/>
          <cell r="AL1626"/>
          <cell r="AM1626"/>
          <cell r="AN1626"/>
          <cell r="AO1626"/>
          <cell r="AP1626"/>
          <cell r="AQ1626"/>
          <cell r="AR1626"/>
          <cell r="AS1626"/>
          <cell r="AT1626"/>
          <cell r="AU1626"/>
          <cell r="AV1626"/>
          <cell r="AW1626"/>
          <cell r="AX1626"/>
          <cell r="AY1626"/>
          <cell r="AZ1626"/>
        </row>
        <row r="1627">
          <cell r="A1627"/>
          <cell r="B1627"/>
          <cell r="C1627"/>
          <cell r="D1627"/>
          <cell r="E1627"/>
          <cell r="F1627"/>
          <cell r="G1627"/>
          <cell r="H1627"/>
          <cell r="I1627"/>
          <cell r="J1627"/>
          <cell r="K1627"/>
          <cell r="L1627"/>
          <cell r="M1627"/>
          <cell r="N1627"/>
          <cell r="O1627"/>
          <cell r="P1627"/>
          <cell r="Q1627"/>
          <cell r="R1627"/>
          <cell r="S1627"/>
          <cell r="T1627"/>
          <cell r="U1627"/>
          <cell r="V1627"/>
          <cell r="W1627"/>
          <cell r="X1627"/>
          <cell r="Y1627"/>
          <cell r="Z1627"/>
          <cell r="AA1627"/>
          <cell r="AB1627"/>
          <cell r="AC1627"/>
          <cell r="AD1627"/>
          <cell r="AE1627"/>
          <cell r="AF1627"/>
          <cell r="AG1627"/>
          <cell r="AH1627"/>
          <cell r="AI1627"/>
          <cell r="AJ1627"/>
          <cell r="AK1627"/>
          <cell r="AL1627"/>
          <cell r="AM1627"/>
          <cell r="AN1627"/>
          <cell r="AO1627"/>
          <cell r="AP1627"/>
          <cell r="AQ1627"/>
          <cell r="AR1627"/>
          <cell r="AS1627"/>
          <cell r="AT1627"/>
          <cell r="AU1627"/>
          <cell r="AV1627"/>
          <cell r="AW1627"/>
          <cell r="AX1627"/>
          <cell r="AY1627"/>
          <cell r="AZ1627"/>
        </row>
        <row r="1628">
          <cell r="A1628"/>
          <cell r="B1628"/>
          <cell r="C1628"/>
          <cell r="D1628"/>
          <cell r="E1628"/>
          <cell r="F1628"/>
          <cell r="G1628"/>
          <cell r="H1628"/>
          <cell r="I1628"/>
          <cell r="J1628"/>
          <cell r="K1628"/>
          <cell r="L1628"/>
          <cell r="M1628"/>
          <cell r="N1628"/>
          <cell r="O1628"/>
          <cell r="P1628"/>
          <cell r="Q1628"/>
          <cell r="R1628"/>
          <cell r="S1628"/>
          <cell r="T1628"/>
          <cell r="U1628"/>
          <cell r="V1628"/>
          <cell r="W1628"/>
          <cell r="X1628"/>
          <cell r="Y1628"/>
          <cell r="Z1628"/>
          <cell r="AA1628"/>
          <cell r="AB1628"/>
          <cell r="AC1628"/>
          <cell r="AD1628"/>
          <cell r="AE1628"/>
          <cell r="AF1628"/>
          <cell r="AG1628"/>
          <cell r="AH1628"/>
          <cell r="AI1628"/>
          <cell r="AJ1628"/>
          <cell r="AK1628"/>
          <cell r="AL1628"/>
          <cell r="AM1628"/>
          <cell r="AN1628"/>
          <cell r="AO1628"/>
          <cell r="AP1628"/>
          <cell r="AQ1628"/>
          <cell r="AR1628"/>
          <cell r="AS1628"/>
          <cell r="AT1628"/>
          <cell r="AU1628"/>
          <cell r="AV1628"/>
          <cell r="AW1628"/>
          <cell r="AX1628"/>
          <cell r="AY1628"/>
          <cell r="AZ1628"/>
        </row>
        <row r="1629">
          <cell r="A1629"/>
          <cell r="B1629"/>
          <cell r="C1629"/>
          <cell r="D1629"/>
          <cell r="E1629"/>
          <cell r="F1629"/>
          <cell r="G1629"/>
          <cell r="H1629"/>
          <cell r="I1629"/>
          <cell r="J1629"/>
          <cell r="K1629"/>
          <cell r="L1629"/>
          <cell r="M1629"/>
          <cell r="N1629"/>
          <cell r="O1629"/>
          <cell r="P1629"/>
          <cell r="Q1629"/>
          <cell r="R1629"/>
          <cell r="S1629"/>
          <cell r="T1629"/>
          <cell r="U1629"/>
          <cell r="V1629"/>
          <cell r="W1629"/>
          <cell r="X1629"/>
          <cell r="Y1629"/>
          <cell r="Z1629"/>
          <cell r="AA1629"/>
          <cell r="AB1629"/>
          <cell r="AC1629"/>
          <cell r="AD1629"/>
          <cell r="AE1629"/>
          <cell r="AF1629"/>
          <cell r="AG1629"/>
          <cell r="AH1629"/>
          <cell r="AI1629"/>
          <cell r="AJ1629"/>
          <cell r="AK1629"/>
          <cell r="AL1629"/>
          <cell r="AM1629"/>
          <cell r="AN1629"/>
          <cell r="AO1629"/>
          <cell r="AP1629"/>
          <cell r="AQ1629"/>
          <cell r="AR1629"/>
          <cell r="AS1629"/>
          <cell r="AT1629"/>
          <cell r="AU1629"/>
          <cell r="AV1629"/>
          <cell r="AW1629"/>
          <cell r="AX1629"/>
          <cell r="AY1629"/>
          <cell r="AZ1629"/>
        </row>
        <row r="1630">
          <cell r="A1630"/>
          <cell r="B1630"/>
          <cell r="C1630"/>
          <cell r="D1630"/>
          <cell r="E1630"/>
          <cell r="F1630"/>
          <cell r="G1630"/>
          <cell r="H1630"/>
          <cell r="I1630"/>
          <cell r="J1630"/>
          <cell r="K1630"/>
          <cell r="L1630"/>
          <cell r="M1630"/>
          <cell r="N1630"/>
          <cell r="O1630"/>
          <cell r="P1630"/>
          <cell r="Q1630"/>
          <cell r="R1630"/>
          <cell r="S1630"/>
          <cell r="T1630"/>
          <cell r="U1630"/>
          <cell r="V1630"/>
          <cell r="W1630"/>
          <cell r="X1630"/>
          <cell r="Y1630"/>
          <cell r="Z1630"/>
          <cell r="AA1630"/>
          <cell r="AB1630"/>
          <cell r="AC1630"/>
          <cell r="AD1630"/>
          <cell r="AE1630"/>
          <cell r="AF1630"/>
          <cell r="AG1630"/>
          <cell r="AH1630"/>
          <cell r="AI1630"/>
          <cell r="AJ1630"/>
          <cell r="AK1630"/>
          <cell r="AL1630"/>
          <cell r="AM1630"/>
          <cell r="AN1630"/>
          <cell r="AO1630"/>
          <cell r="AP1630"/>
          <cell r="AQ1630"/>
          <cell r="AR1630"/>
          <cell r="AS1630"/>
          <cell r="AT1630"/>
          <cell r="AU1630"/>
          <cell r="AV1630"/>
          <cell r="AW1630"/>
          <cell r="AX1630"/>
          <cell r="AY1630"/>
          <cell r="AZ1630"/>
        </row>
        <row r="1631">
          <cell r="A1631"/>
          <cell r="B1631"/>
          <cell r="C1631"/>
          <cell r="D1631"/>
          <cell r="E1631"/>
          <cell r="F1631"/>
          <cell r="G1631"/>
          <cell r="H1631"/>
          <cell r="I1631"/>
          <cell r="J1631"/>
          <cell r="K1631"/>
          <cell r="L1631"/>
          <cell r="M1631"/>
          <cell r="N1631"/>
          <cell r="O1631"/>
          <cell r="P1631"/>
          <cell r="Q1631"/>
          <cell r="R1631"/>
          <cell r="S1631"/>
          <cell r="T1631"/>
          <cell r="U1631"/>
          <cell r="V1631"/>
          <cell r="W1631"/>
          <cell r="X1631"/>
          <cell r="Y1631"/>
          <cell r="Z1631"/>
          <cell r="AA1631"/>
          <cell r="AB1631"/>
          <cell r="AC1631"/>
          <cell r="AD1631"/>
          <cell r="AE1631"/>
          <cell r="AF1631"/>
          <cell r="AG1631"/>
          <cell r="AH1631"/>
          <cell r="AI1631"/>
          <cell r="AJ1631"/>
          <cell r="AK1631"/>
          <cell r="AL1631"/>
          <cell r="AM1631"/>
          <cell r="AN1631"/>
          <cell r="AO1631"/>
          <cell r="AP1631"/>
          <cell r="AQ1631"/>
          <cell r="AR1631"/>
          <cell r="AS1631"/>
          <cell r="AT1631"/>
          <cell r="AU1631"/>
          <cell r="AV1631"/>
          <cell r="AW1631"/>
          <cell r="AX1631"/>
          <cell r="AY1631"/>
          <cell r="AZ1631"/>
        </row>
        <row r="1632">
          <cell r="A1632"/>
          <cell r="B1632"/>
          <cell r="C1632"/>
          <cell r="D1632"/>
          <cell r="E1632"/>
          <cell r="F1632"/>
          <cell r="G1632"/>
          <cell r="H1632"/>
          <cell r="I1632"/>
          <cell r="J1632"/>
          <cell r="K1632"/>
          <cell r="L1632"/>
          <cell r="M1632"/>
          <cell r="N1632"/>
          <cell r="O1632"/>
          <cell r="P1632"/>
          <cell r="Q1632"/>
          <cell r="R1632"/>
          <cell r="S1632"/>
          <cell r="T1632"/>
          <cell r="U1632"/>
          <cell r="V1632"/>
          <cell r="W1632"/>
          <cell r="X1632"/>
          <cell r="Y1632"/>
          <cell r="Z1632"/>
          <cell r="AA1632"/>
          <cell r="AB1632"/>
          <cell r="AC1632"/>
          <cell r="AD1632"/>
          <cell r="AE1632"/>
          <cell r="AF1632"/>
          <cell r="AG1632"/>
          <cell r="AH1632"/>
          <cell r="AI1632"/>
          <cell r="AJ1632"/>
          <cell r="AK1632"/>
          <cell r="AL1632"/>
          <cell r="AM1632"/>
          <cell r="AN1632"/>
          <cell r="AO1632"/>
          <cell r="AP1632"/>
          <cell r="AQ1632"/>
          <cell r="AR1632"/>
          <cell r="AS1632"/>
          <cell r="AT1632"/>
          <cell r="AU1632"/>
          <cell r="AV1632"/>
          <cell r="AW1632"/>
          <cell r="AX1632"/>
          <cell r="AY1632"/>
          <cell r="AZ1632"/>
        </row>
        <row r="1633">
          <cell r="A1633"/>
          <cell r="B1633"/>
          <cell r="C1633"/>
          <cell r="D1633"/>
          <cell r="E1633"/>
          <cell r="F1633"/>
          <cell r="G1633"/>
          <cell r="H1633"/>
          <cell r="I1633"/>
          <cell r="J1633"/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/>
          <cell r="AS1633"/>
          <cell r="AT1633"/>
          <cell r="AU1633"/>
          <cell r="AV1633"/>
          <cell r="AW1633"/>
          <cell r="AX1633"/>
          <cell r="AY1633"/>
          <cell r="AZ1633"/>
        </row>
        <row r="1634">
          <cell r="A1634"/>
          <cell r="B1634"/>
          <cell r="C1634"/>
          <cell r="D1634"/>
          <cell r="E1634"/>
          <cell r="F1634"/>
          <cell r="G1634"/>
          <cell r="H1634"/>
          <cell r="I1634"/>
          <cell r="J1634"/>
          <cell r="K1634"/>
          <cell r="L1634"/>
          <cell r="M1634"/>
          <cell r="N1634"/>
          <cell r="O1634"/>
          <cell r="P1634"/>
          <cell r="Q1634"/>
          <cell r="R1634"/>
          <cell r="S1634"/>
          <cell r="T1634"/>
          <cell r="U1634"/>
          <cell r="V1634"/>
          <cell r="W1634"/>
          <cell r="X1634"/>
          <cell r="Y1634"/>
          <cell r="Z1634"/>
          <cell r="AA1634"/>
          <cell r="AB1634"/>
          <cell r="AC1634"/>
          <cell r="AD1634"/>
          <cell r="AE1634"/>
          <cell r="AF1634"/>
          <cell r="AG1634"/>
          <cell r="AH1634"/>
          <cell r="AI1634"/>
          <cell r="AJ1634"/>
          <cell r="AK1634"/>
          <cell r="AL1634"/>
          <cell r="AM1634"/>
          <cell r="AN1634"/>
          <cell r="AO1634"/>
          <cell r="AP1634"/>
          <cell r="AQ1634"/>
          <cell r="AR1634"/>
          <cell r="AS1634"/>
          <cell r="AT1634"/>
          <cell r="AU1634"/>
          <cell r="AV1634"/>
          <cell r="AW1634"/>
          <cell r="AX1634"/>
          <cell r="AY1634"/>
          <cell r="AZ1634"/>
        </row>
        <row r="1635">
          <cell r="A1635"/>
          <cell r="B1635"/>
          <cell r="C1635"/>
          <cell r="D1635"/>
          <cell r="E1635"/>
          <cell r="F1635"/>
          <cell r="G1635"/>
          <cell r="H1635"/>
          <cell r="I1635"/>
          <cell r="J1635"/>
          <cell r="K1635"/>
          <cell r="L1635"/>
          <cell r="M1635"/>
          <cell r="N1635"/>
          <cell r="O1635"/>
          <cell r="P1635"/>
          <cell r="Q1635"/>
          <cell r="R1635"/>
          <cell r="S1635"/>
          <cell r="T1635"/>
          <cell r="U1635"/>
          <cell r="V1635"/>
          <cell r="W1635"/>
          <cell r="X1635"/>
          <cell r="Y1635"/>
          <cell r="Z1635"/>
          <cell r="AA1635"/>
          <cell r="AB1635"/>
          <cell r="AC1635"/>
          <cell r="AD1635"/>
          <cell r="AE1635"/>
          <cell r="AF1635"/>
          <cell r="AG1635"/>
          <cell r="AH1635"/>
          <cell r="AI1635"/>
          <cell r="AJ1635"/>
          <cell r="AK1635"/>
          <cell r="AL1635"/>
          <cell r="AM1635"/>
          <cell r="AN1635"/>
          <cell r="AO1635"/>
          <cell r="AP1635"/>
          <cell r="AQ1635"/>
          <cell r="AR1635"/>
          <cell r="AS1635"/>
          <cell r="AT1635"/>
          <cell r="AU1635"/>
          <cell r="AV1635"/>
          <cell r="AW1635"/>
          <cell r="AX1635"/>
          <cell r="AY1635"/>
          <cell r="AZ1635"/>
        </row>
        <row r="1636">
          <cell r="A1636"/>
          <cell r="B1636"/>
          <cell r="C1636"/>
          <cell r="D1636"/>
          <cell r="E1636"/>
          <cell r="F1636"/>
          <cell r="G1636"/>
          <cell r="H1636"/>
          <cell r="I1636"/>
          <cell r="J1636"/>
          <cell r="K1636"/>
          <cell r="L1636"/>
          <cell r="M1636"/>
          <cell r="N1636"/>
          <cell r="O1636"/>
          <cell r="P1636"/>
          <cell r="Q1636"/>
          <cell r="R1636"/>
          <cell r="S1636"/>
          <cell r="T1636"/>
          <cell r="U1636"/>
          <cell r="V1636"/>
          <cell r="W1636"/>
          <cell r="X1636"/>
          <cell r="Y1636"/>
          <cell r="Z1636"/>
          <cell r="AA1636"/>
          <cell r="AB1636"/>
          <cell r="AC1636"/>
          <cell r="AD1636"/>
          <cell r="AE1636"/>
          <cell r="AF1636"/>
          <cell r="AG1636"/>
          <cell r="AH1636"/>
          <cell r="AI1636"/>
          <cell r="AJ1636"/>
          <cell r="AK1636"/>
          <cell r="AL1636"/>
          <cell r="AM1636"/>
          <cell r="AN1636"/>
          <cell r="AO1636"/>
          <cell r="AP1636"/>
          <cell r="AQ1636"/>
          <cell r="AR1636"/>
          <cell r="AS1636"/>
          <cell r="AT1636"/>
          <cell r="AU1636"/>
          <cell r="AV1636"/>
          <cell r="AW1636"/>
          <cell r="AX1636"/>
          <cell r="AY1636"/>
          <cell r="AZ1636"/>
        </row>
        <row r="1637">
          <cell r="A1637"/>
          <cell r="B1637"/>
          <cell r="C1637"/>
          <cell r="D1637"/>
          <cell r="E1637"/>
          <cell r="F1637"/>
          <cell r="G1637"/>
          <cell r="H1637"/>
          <cell r="I1637"/>
          <cell r="J1637"/>
          <cell r="K1637"/>
          <cell r="L1637"/>
          <cell r="M1637"/>
          <cell r="N1637"/>
          <cell r="O1637"/>
          <cell r="P1637"/>
          <cell r="Q1637"/>
          <cell r="R1637"/>
          <cell r="S1637"/>
          <cell r="T1637"/>
          <cell r="U1637"/>
          <cell r="V1637"/>
          <cell r="W1637"/>
          <cell r="X1637"/>
          <cell r="Y1637"/>
          <cell r="Z1637"/>
          <cell r="AA1637"/>
          <cell r="AB1637"/>
          <cell r="AC1637"/>
          <cell r="AD1637"/>
          <cell r="AE1637"/>
          <cell r="AF1637"/>
          <cell r="AG1637"/>
          <cell r="AH1637"/>
          <cell r="AI1637"/>
          <cell r="AJ1637"/>
          <cell r="AK1637"/>
          <cell r="AL1637"/>
          <cell r="AM1637"/>
          <cell r="AN1637"/>
          <cell r="AO1637"/>
          <cell r="AP1637"/>
          <cell r="AQ1637"/>
          <cell r="AR1637"/>
          <cell r="AS1637"/>
          <cell r="AT1637"/>
          <cell r="AU1637"/>
          <cell r="AV1637"/>
          <cell r="AW1637"/>
          <cell r="AX1637"/>
          <cell r="AY1637"/>
          <cell r="AZ1637"/>
        </row>
        <row r="1638">
          <cell r="A1638"/>
          <cell r="B1638"/>
          <cell r="C1638"/>
          <cell r="D1638"/>
          <cell r="E1638"/>
          <cell r="F1638"/>
          <cell r="G1638"/>
          <cell r="H1638"/>
          <cell r="I1638"/>
          <cell r="J1638"/>
          <cell r="K1638"/>
          <cell r="L1638"/>
          <cell r="M1638"/>
          <cell r="N1638"/>
          <cell r="O1638"/>
          <cell r="P1638"/>
          <cell r="Q1638"/>
          <cell r="R1638"/>
          <cell r="S1638"/>
          <cell r="T1638"/>
          <cell r="U1638"/>
          <cell r="V1638"/>
          <cell r="W1638"/>
          <cell r="X1638"/>
          <cell r="Y1638"/>
          <cell r="Z1638"/>
          <cell r="AA1638"/>
          <cell r="AB1638"/>
          <cell r="AC1638"/>
          <cell r="AD1638"/>
          <cell r="AE1638"/>
          <cell r="AF1638"/>
          <cell r="AG1638"/>
          <cell r="AH1638"/>
          <cell r="AI1638"/>
          <cell r="AJ1638"/>
          <cell r="AK1638"/>
          <cell r="AL1638"/>
          <cell r="AM1638"/>
          <cell r="AN1638"/>
          <cell r="AO1638"/>
          <cell r="AP1638"/>
          <cell r="AQ1638"/>
          <cell r="AR1638"/>
          <cell r="AS1638"/>
          <cell r="AT1638"/>
          <cell r="AU1638"/>
          <cell r="AV1638"/>
          <cell r="AW1638"/>
          <cell r="AX1638"/>
          <cell r="AY1638"/>
          <cell r="AZ1638"/>
        </row>
        <row r="1639">
          <cell r="A1639"/>
          <cell r="B1639"/>
          <cell r="C1639"/>
          <cell r="D1639"/>
          <cell r="E1639"/>
          <cell r="F1639"/>
          <cell r="G1639"/>
          <cell r="H1639"/>
          <cell r="I1639"/>
          <cell r="J1639"/>
          <cell r="K1639"/>
          <cell r="L1639"/>
          <cell r="M1639"/>
          <cell r="N1639"/>
          <cell r="O1639"/>
          <cell r="P1639"/>
          <cell r="Q1639"/>
          <cell r="R1639"/>
          <cell r="S1639"/>
          <cell r="T1639"/>
          <cell r="U1639"/>
          <cell r="V1639"/>
          <cell r="W1639"/>
          <cell r="X1639"/>
          <cell r="Y1639"/>
          <cell r="Z1639"/>
          <cell r="AA1639"/>
          <cell r="AB1639"/>
          <cell r="AC1639"/>
          <cell r="AD1639"/>
          <cell r="AE1639"/>
          <cell r="AF1639"/>
          <cell r="AG1639"/>
          <cell r="AH1639"/>
          <cell r="AI1639"/>
          <cell r="AJ1639"/>
          <cell r="AK1639"/>
          <cell r="AL1639"/>
          <cell r="AM1639"/>
          <cell r="AN1639"/>
          <cell r="AO1639"/>
          <cell r="AP1639"/>
          <cell r="AQ1639"/>
          <cell r="AR1639"/>
          <cell r="AS1639"/>
          <cell r="AT1639"/>
          <cell r="AU1639"/>
          <cell r="AV1639"/>
          <cell r="AW1639"/>
          <cell r="AX1639"/>
          <cell r="AY1639"/>
          <cell r="AZ1639"/>
        </row>
        <row r="1640">
          <cell r="A1640"/>
          <cell r="B1640"/>
          <cell r="C1640"/>
          <cell r="D1640"/>
          <cell r="E1640"/>
          <cell r="F1640"/>
          <cell r="G1640"/>
          <cell r="H1640"/>
          <cell r="I1640"/>
          <cell r="J1640"/>
          <cell r="K1640"/>
          <cell r="L1640"/>
          <cell r="M1640"/>
          <cell r="N1640"/>
          <cell r="O1640"/>
          <cell r="P1640"/>
          <cell r="Q1640"/>
          <cell r="R1640"/>
          <cell r="S1640"/>
          <cell r="T1640"/>
          <cell r="U1640"/>
          <cell r="V1640"/>
          <cell r="W1640"/>
          <cell r="X1640"/>
          <cell r="Y1640"/>
          <cell r="Z1640"/>
          <cell r="AA1640"/>
          <cell r="AB1640"/>
          <cell r="AC1640"/>
          <cell r="AD1640"/>
          <cell r="AE1640"/>
          <cell r="AF1640"/>
          <cell r="AG1640"/>
          <cell r="AH1640"/>
          <cell r="AI1640"/>
          <cell r="AJ1640"/>
          <cell r="AK1640"/>
          <cell r="AL1640"/>
          <cell r="AM1640"/>
          <cell r="AN1640"/>
          <cell r="AO1640"/>
          <cell r="AP1640"/>
          <cell r="AQ1640"/>
          <cell r="AR1640"/>
          <cell r="AS1640"/>
          <cell r="AT1640"/>
          <cell r="AU1640"/>
          <cell r="AV1640"/>
          <cell r="AW1640"/>
          <cell r="AX1640"/>
          <cell r="AY1640"/>
          <cell r="AZ1640"/>
        </row>
        <row r="1641">
          <cell r="A1641"/>
          <cell r="B1641"/>
          <cell r="C1641"/>
          <cell r="D1641"/>
          <cell r="E1641"/>
          <cell r="F1641"/>
          <cell r="G1641"/>
          <cell r="H1641"/>
          <cell r="I1641"/>
          <cell r="J1641"/>
          <cell r="K1641"/>
          <cell r="L1641"/>
          <cell r="M1641"/>
          <cell r="N1641"/>
          <cell r="O1641"/>
          <cell r="P1641"/>
          <cell r="Q1641"/>
          <cell r="R1641"/>
          <cell r="S1641"/>
          <cell r="T1641"/>
          <cell r="U1641"/>
          <cell r="V1641"/>
          <cell r="W1641"/>
          <cell r="X1641"/>
          <cell r="Y1641"/>
          <cell r="Z1641"/>
          <cell r="AA1641"/>
          <cell r="AB1641"/>
          <cell r="AC1641"/>
          <cell r="AD1641"/>
          <cell r="AE1641"/>
          <cell r="AF1641"/>
          <cell r="AG1641"/>
          <cell r="AH1641"/>
          <cell r="AI1641"/>
          <cell r="AJ1641"/>
          <cell r="AK1641"/>
          <cell r="AL1641"/>
          <cell r="AM1641"/>
          <cell r="AN1641"/>
          <cell r="AO1641"/>
          <cell r="AP1641"/>
          <cell r="AQ1641"/>
          <cell r="AR1641"/>
          <cell r="AS1641"/>
          <cell r="AT1641"/>
          <cell r="AU1641"/>
          <cell r="AV1641"/>
          <cell r="AW1641"/>
          <cell r="AX1641"/>
          <cell r="AY1641"/>
          <cell r="AZ1641"/>
        </row>
        <row r="1642">
          <cell r="A1642"/>
          <cell r="B1642"/>
          <cell r="C1642"/>
          <cell r="D1642"/>
          <cell r="E1642"/>
          <cell r="F1642"/>
          <cell r="G1642"/>
          <cell r="H1642"/>
          <cell r="I1642"/>
          <cell r="J1642"/>
          <cell r="K1642"/>
          <cell r="L1642"/>
          <cell r="M1642"/>
          <cell r="N1642"/>
          <cell r="O1642"/>
          <cell r="P1642"/>
          <cell r="Q1642"/>
          <cell r="R1642"/>
          <cell r="S1642"/>
          <cell r="T1642"/>
          <cell r="U1642"/>
          <cell r="V1642"/>
          <cell r="W1642"/>
          <cell r="X1642"/>
          <cell r="Y1642"/>
          <cell r="Z1642"/>
          <cell r="AA1642"/>
          <cell r="AB1642"/>
          <cell r="AC1642"/>
          <cell r="AD1642"/>
          <cell r="AE1642"/>
          <cell r="AF1642"/>
          <cell r="AG1642"/>
          <cell r="AH1642"/>
          <cell r="AI1642"/>
          <cell r="AJ1642"/>
          <cell r="AK1642"/>
          <cell r="AL1642"/>
          <cell r="AM1642"/>
          <cell r="AN1642"/>
          <cell r="AO1642"/>
          <cell r="AP1642"/>
          <cell r="AQ1642"/>
          <cell r="AR1642"/>
          <cell r="AS1642"/>
          <cell r="AT1642"/>
          <cell r="AU1642"/>
          <cell r="AV1642"/>
          <cell r="AW1642"/>
          <cell r="AX1642"/>
          <cell r="AY1642"/>
          <cell r="AZ1642"/>
        </row>
        <row r="1643">
          <cell r="A1643"/>
          <cell r="B1643"/>
          <cell r="C1643"/>
          <cell r="D1643"/>
          <cell r="E1643"/>
          <cell r="F1643"/>
          <cell r="G1643"/>
          <cell r="H1643"/>
          <cell r="I1643"/>
          <cell r="J1643"/>
          <cell r="K1643"/>
          <cell r="L1643"/>
          <cell r="M1643"/>
          <cell r="N1643"/>
          <cell r="O1643"/>
          <cell r="P1643"/>
          <cell r="Q1643"/>
          <cell r="R1643"/>
          <cell r="S1643"/>
          <cell r="T1643"/>
          <cell r="U1643"/>
          <cell r="V1643"/>
          <cell r="W1643"/>
          <cell r="X1643"/>
          <cell r="Y1643"/>
          <cell r="Z1643"/>
          <cell r="AA1643"/>
          <cell r="AB1643"/>
          <cell r="AC1643"/>
          <cell r="AD1643"/>
          <cell r="AE1643"/>
          <cell r="AF1643"/>
          <cell r="AG1643"/>
          <cell r="AH1643"/>
          <cell r="AI1643"/>
          <cell r="AJ1643"/>
          <cell r="AK1643"/>
          <cell r="AL1643"/>
          <cell r="AM1643"/>
          <cell r="AN1643"/>
          <cell r="AO1643"/>
          <cell r="AP1643"/>
          <cell r="AQ1643"/>
          <cell r="AR1643"/>
          <cell r="AS1643"/>
          <cell r="AT1643"/>
          <cell r="AU1643"/>
          <cell r="AV1643"/>
          <cell r="AW1643"/>
          <cell r="AX1643"/>
          <cell r="AY1643"/>
          <cell r="AZ1643"/>
        </row>
        <row r="1644">
          <cell r="A1644"/>
          <cell r="B1644"/>
          <cell r="C1644"/>
          <cell r="D1644"/>
          <cell r="E1644"/>
          <cell r="F1644"/>
          <cell r="G1644"/>
          <cell r="H1644"/>
          <cell r="I1644"/>
          <cell r="J1644"/>
          <cell r="K1644"/>
          <cell r="L1644"/>
          <cell r="M1644"/>
          <cell r="N1644"/>
          <cell r="O1644"/>
          <cell r="P1644"/>
          <cell r="Q1644"/>
          <cell r="R1644"/>
          <cell r="S1644"/>
          <cell r="T1644"/>
          <cell r="U1644"/>
          <cell r="V1644"/>
          <cell r="W1644"/>
          <cell r="X1644"/>
          <cell r="Y1644"/>
          <cell r="Z1644"/>
          <cell r="AA1644"/>
          <cell r="AB1644"/>
          <cell r="AC1644"/>
          <cell r="AD1644"/>
          <cell r="AE1644"/>
          <cell r="AF1644"/>
          <cell r="AG1644"/>
          <cell r="AH1644"/>
          <cell r="AI1644"/>
          <cell r="AJ1644"/>
          <cell r="AK1644"/>
          <cell r="AL1644"/>
          <cell r="AM1644"/>
          <cell r="AN1644"/>
          <cell r="AO1644"/>
          <cell r="AP1644"/>
          <cell r="AQ1644"/>
          <cell r="AR1644"/>
          <cell r="AS1644"/>
          <cell r="AT1644"/>
          <cell r="AU1644"/>
          <cell r="AV1644"/>
          <cell r="AW1644"/>
          <cell r="AX1644"/>
          <cell r="AY1644"/>
          <cell r="AZ1644"/>
        </row>
        <row r="1645">
          <cell r="A1645"/>
          <cell r="B1645"/>
          <cell r="C1645"/>
          <cell r="D1645"/>
          <cell r="E1645"/>
          <cell r="F1645"/>
          <cell r="G1645"/>
          <cell r="H1645"/>
          <cell r="I1645"/>
          <cell r="J1645"/>
          <cell r="K1645"/>
          <cell r="L1645"/>
          <cell r="M1645"/>
          <cell r="N1645"/>
          <cell r="O1645"/>
          <cell r="P1645"/>
          <cell r="Q1645"/>
          <cell r="R1645"/>
          <cell r="S1645"/>
          <cell r="T1645"/>
          <cell r="U1645"/>
          <cell r="V1645"/>
          <cell r="W1645"/>
          <cell r="X1645"/>
          <cell r="Y1645"/>
          <cell r="Z1645"/>
          <cell r="AA1645"/>
          <cell r="AB1645"/>
          <cell r="AC1645"/>
          <cell r="AD1645"/>
          <cell r="AE1645"/>
          <cell r="AF1645"/>
          <cell r="AG1645"/>
          <cell r="AH1645"/>
          <cell r="AI1645"/>
          <cell r="AJ1645"/>
          <cell r="AK1645"/>
          <cell r="AL1645"/>
          <cell r="AM1645"/>
          <cell r="AN1645"/>
          <cell r="AO1645"/>
          <cell r="AP1645"/>
          <cell r="AQ1645"/>
          <cell r="AR1645"/>
          <cell r="AS1645"/>
          <cell r="AT1645"/>
          <cell r="AU1645"/>
          <cell r="AV1645"/>
          <cell r="AW1645"/>
          <cell r="AX1645"/>
          <cell r="AY1645"/>
          <cell r="AZ1645"/>
        </row>
        <row r="1646">
          <cell r="A1646"/>
          <cell r="B1646"/>
          <cell r="C1646"/>
          <cell r="D1646"/>
          <cell r="E1646"/>
          <cell r="F1646"/>
          <cell r="G1646"/>
          <cell r="H1646"/>
          <cell r="I1646"/>
          <cell r="J1646"/>
          <cell r="K1646"/>
          <cell r="L1646"/>
          <cell r="M1646"/>
          <cell r="N1646"/>
          <cell r="O1646"/>
          <cell r="P1646"/>
          <cell r="Q1646"/>
          <cell r="R1646"/>
          <cell r="S1646"/>
          <cell r="T1646"/>
          <cell r="U1646"/>
          <cell r="V1646"/>
          <cell r="W1646"/>
          <cell r="X1646"/>
          <cell r="Y1646"/>
          <cell r="Z1646"/>
          <cell r="AA1646"/>
          <cell r="AB1646"/>
          <cell r="AC1646"/>
          <cell r="AD1646"/>
          <cell r="AE1646"/>
          <cell r="AF1646"/>
          <cell r="AG1646"/>
          <cell r="AH1646"/>
          <cell r="AI1646"/>
          <cell r="AJ1646"/>
          <cell r="AK1646"/>
          <cell r="AL1646"/>
          <cell r="AM1646"/>
          <cell r="AN1646"/>
          <cell r="AO1646"/>
          <cell r="AP1646"/>
          <cell r="AQ1646"/>
          <cell r="AR1646"/>
          <cell r="AS1646"/>
          <cell r="AT1646"/>
          <cell r="AU1646"/>
          <cell r="AV1646"/>
          <cell r="AW1646"/>
          <cell r="AX1646"/>
          <cell r="AY1646"/>
          <cell r="AZ1646"/>
        </row>
        <row r="1647">
          <cell r="A1647"/>
          <cell r="B1647"/>
          <cell r="C1647"/>
          <cell r="D1647"/>
          <cell r="E1647"/>
          <cell r="F1647"/>
          <cell r="G1647"/>
          <cell r="H1647"/>
          <cell r="I1647"/>
          <cell r="J1647"/>
          <cell r="K1647"/>
          <cell r="L1647"/>
          <cell r="M1647"/>
          <cell r="N1647"/>
          <cell r="O1647"/>
          <cell r="P1647"/>
          <cell r="Q1647"/>
          <cell r="R1647"/>
          <cell r="S1647"/>
          <cell r="T1647"/>
          <cell r="U1647"/>
          <cell r="V1647"/>
          <cell r="W1647"/>
          <cell r="X1647"/>
          <cell r="Y1647"/>
          <cell r="Z1647"/>
          <cell r="AA1647"/>
          <cell r="AB1647"/>
          <cell r="AC1647"/>
          <cell r="AD1647"/>
          <cell r="AE1647"/>
          <cell r="AF1647"/>
          <cell r="AG1647"/>
          <cell r="AH1647"/>
          <cell r="AI1647"/>
          <cell r="AJ1647"/>
          <cell r="AK1647"/>
          <cell r="AL1647"/>
          <cell r="AM1647"/>
          <cell r="AN1647"/>
          <cell r="AO1647"/>
          <cell r="AP1647"/>
          <cell r="AQ1647"/>
          <cell r="AR1647"/>
          <cell r="AS1647"/>
          <cell r="AT1647"/>
          <cell r="AU1647"/>
          <cell r="AV1647"/>
          <cell r="AW1647"/>
          <cell r="AX1647"/>
          <cell r="AY1647"/>
          <cell r="AZ1647"/>
        </row>
        <row r="1648">
          <cell r="A1648"/>
          <cell r="B1648"/>
          <cell r="C1648"/>
          <cell r="D1648"/>
          <cell r="E1648"/>
          <cell r="F1648"/>
          <cell r="G1648"/>
          <cell r="H1648"/>
          <cell r="I1648"/>
          <cell r="J1648"/>
          <cell r="K1648"/>
          <cell r="L1648"/>
          <cell r="M1648"/>
          <cell r="N1648"/>
          <cell r="O1648"/>
          <cell r="P1648"/>
          <cell r="Q1648"/>
          <cell r="R1648"/>
          <cell r="S1648"/>
          <cell r="T1648"/>
          <cell r="U1648"/>
          <cell r="V1648"/>
          <cell r="W1648"/>
          <cell r="X1648"/>
          <cell r="Y1648"/>
          <cell r="Z1648"/>
          <cell r="AA1648"/>
          <cell r="AB1648"/>
          <cell r="AC1648"/>
          <cell r="AD1648"/>
          <cell r="AE1648"/>
          <cell r="AF1648"/>
          <cell r="AG1648"/>
          <cell r="AH1648"/>
          <cell r="AI1648"/>
          <cell r="AJ1648"/>
          <cell r="AK1648"/>
          <cell r="AL1648"/>
          <cell r="AM1648"/>
          <cell r="AN1648"/>
          <cell r="AO1648"/>
          <cell r="AP1648"/>
          <cell r="AQ1648"/>
          <cell r="AR1648"/>
          <cell r="AS1648"/>
          <cell r="AT1648"/>
          <cell r="AU1648"/>
          <cell r="AV1648"/>
          <cell r="AW1648"/>
          <cell r="AX1648"/>
          <cell r="AY1648"/>
          <cell r="AZ1648"/>
        </row>
        <row r="1649">
          <cell r="A1649"/>
          <cell r="B1649"/>
          <cell r="C1649"/>
          <cell r="D1649"/>
          <cell r="E1649"/>
          <cell r="F1649"/>
          <cell r="G1649"/>
          <cell r="H1649"/>
          <cell r="I1649"/>
          <cell r="J1649"/>
          <cell r="K1649"/>
          <cell r="L1649"/>
          <cell r="M1649"/>
          <cell r="N1649"/>
          <cell r="O1649"/>
          <cell r="P1649"/>
          <cell r="Q1649"/>
          <cell r="R1649"/>
          <cell r="S1649"/>
          <cell r="T1649"/>
          <cell r="U1649"/>
          <cell r="V1649"/>
          <cell r="W1649"/>
          <cell r="X1649"/>
          <cell r="Y1649"/>
          <cell r="Z1649"/>
          <cell r="AA1649"/>
          <cell r="AB1649"/>
          <cell r="AC1649"/>
          <cell r="AD1649"/>
          <cell r="AE1649"/>
          <cell r="AF1649"/>
          <cell r="AG1649"/>
          <cell r="AH1649"/>
          <cell r="AI1649"/>
          <cell r="AJ1649"/>
          <cell r="AK1649"/>
          <cell r="AL1649"/>
          <cell r="AM1649"/>
          <cell r="AN1649"/>
          <cell r="AO1649"/>
          <cell r="AP1649"/>
          <cell r="AQ1649"/>
          <cell r="AR1649"/>
          <cell r="AS1649"/>
          <cell r="AT1649"/>
          <cell r="AU1649"/>
          <cell r="AV1649"/>
          <cell r="AW1649"/>
          <cell r="AX1649"/>
          <cell r="AY1649"/>
          <cell r="AZ1649"/>
        </row>
        <row r="1650">
          <cell r="A1650"/>
          <cell r="B1650"/>
          <cell r="C1650"/>
          <cell r="D1650"/>
          <cell r="E1650"/>
          <cell r="F1650"/>
          <cell r="G1650"/>
          <cell r="H1650"/>
          <cell r="I1650"/>
          <cell r="J1650"/>
          <cell r="K1650"/>
          <cell r="L1650"/>
          <cell r="M1650"/>
          <cell r="N1650"/>
          <cell r="O1650"/>
          <cell r="P1650"/>
          <cell r="Q1650"/>
          <cell r="R1650"/>
          <cell r="S1650"/>
          <cell r="T1650"/>
          <cell r="U1650"/>
          <cell r="V1650"/>
          <cell r="W1650"/>
          <cell r="X1650"/>
          <cell r="Y1650"/>
          <cell r="Z1650"/>
          <cell r="AA1650"/>
          <cell r="AB1650"/>
          <cell r="AC1650"/>
          <cell r="AD1650"/>
          <cell r="AE1650"/>
          <cell r="AF1650"/>
          <cell r="AG1650"/>
          <cell r="AH1650"/>
          <cell r="AI1650"/>
          <cell r="AJ1650"/>
          <cell r="AK1650"/>
          <cell r="AL1650"/>
          <cell r="AM1650"/>
          <cell r="AN1650"/>
          <cell r="AO1650"/>
          <cell r="AP1650"/>
          <cell r="AQ1650"/>
          <cell r="AR1650"/>
          <cell r="AS1650"/>
          <cell r="AT1650"/>
          <cell r="AU1650"/>
          <cell r="AV1650"/>
          <cell r="AW1650"/>
          <cell r="AX1650"/>
          <cell r="AY1650"/>
          <cell r="AZ1650"/>
        </row>
        <row r="1651">
          <cell r="A1651"/>
          <cell r="B1651"/>
          <cell r="C1651"/>
          <cell r="D1651"/>
          <cell r="E1651"/>
          <cell r="F1651"/>
          <cell r="G1651"/>
          <cell r="H1651"/>
          <cell r="I1651"/>
          <cell r="J1651"/>
          <cell r="K1651"/>
          <cell r="L1651"/>
          <cell r="M1651"/>
          <cell r="N1651"/>
          <cell r="O1651"/>
          <cell r="P1651"/>
          <cell r="Q1651"/>
          <cell r="R1651"/>
          <cell r="S1651"/>
          <cell r="T1651"/>
          <cell r="U1651"/>
          <cell r="V1651"/>
          <cell r="W1651"/>
          <cell r="X1651"/>
          <cell r="Y1651"/>
          <cell r="Z1651"/>
          <cell r="AA1651"/>
          <cell r="AB1651"/>
          <cell r="AC1651"/>
          <cell r="AD1651"/>
          <cell r="AE1651"/>
          <cell r="AF1651"/>
          <cell r="AG1651"/>
          <cell r="AH1651"/>
          <cell r="AI1651"/>
          <cell r="AJ1651"/>
          <cell r="AK1651"/>
          <cell r="AL1651"/>
          <cell r="AM1651"/>
          <cell r="AN1651"/>
          <cell r="AO1651"/>
          <cell r="AP1651"/>
          <cell r="AQ1651"/>
          <cell r="AR1651"/>
          <cell r="AS1651"/>
          <cell r="AT1651"/>
          <cell r="AU1651"/>
          <cell r="AV1651"/>
          <cell r="AW1651"/>
          <cell r="AX1651"/>
          <cell r="AY1651"/>
          <cell r="AZ1651"/>
        </row>
        <row r="1652">
          <cell r="A1652"/>
          <cell r="B1652"/>
          <cell r="C1652"/>
          <cell r="D1652"/>
          <cell r="E1652"/>
          <cell r="F1652"/>
          <cell r="G1652"/>
          <cell r="H1652"/>
          <cell r="I1652"/>
          <cell r="J1652"/>
          <cell r="K1652"/>
          <cell r="L1652"/>
          <cell r="M1652"/>
          <cell r="N1652"/>
          <cell r="O1652"/>
          <cell r="P1652"/>
          <cell r="Q1652"/>
          <cell r="R1652"/>
          <cell r="S1652"/>
          <cell r="T1652"/>
          <cell r="U1652"/>
          <cell r="V1652"/>
          <cell r="W1652"/>
          <cell r="X1652"/>
          <cell r="Y1652"/>
          <cell r="Z1652"/>
          <cell r="AA1652"/>
          <cell r="AB1652"/>
          <cell r="AC1652"/>
          <cell r="AD1652"/>
          <cell r="AE1652"/>
          <cell r="AF1652"/>
          <cell r="AG1652"/>
          <cell r="AH1652"/>
          <cell r="AI1652"/>
          <cell r="AJ1652"/>
          <cell r="AK1652"/>
          <cell r="AL1652"/>
          <cell r="AM1652"/>
          <cell r="AN1652"/>
          <cell r="AO1652"/>
          <cell r="AP1652"/>
          <cell r="AQ1652"/>
          <cell r="AR1652"/>
          <cell r="AS1652"/>
          <cell r="AT1652"/>
          <cell r="AU1652"/>
          <cell r="AV1652"/>
          <cell r="AW1652"/>
          <cell r="AX1652"/>
          <cell r="AY1652"/>
          <cell r="AZ1652"/>
        </row>
        <row r="1653">
          <cell r="A1653"/>
          <cell r="B1653"/>
          <cell r="C1653"/>
          <cell r="D1653"/>
          <cell r="E1653"/>
          <cell r="F1653"/>
          <cell r="G1653"/>
          <cell r="H1653"/>
          <cell r="I1653"/>
          <cell r="J1653"/>
          <cell r="K1653"/>
          <cell r="L1653"/>
          <cell r="M1653"/>
          <cell r="N1653"/>
          <cell r="O1653"/>
          <cell r="P1653"/>
          <cell r="Q1653"/>
          <cell r="R1653"/>
          <cell r="S1653"/>
          <cell r="T1653"/>
          <cell r="U1653"/>
          <cell r="V1653"/>
          <cell r="W1653"/>
          <cell r="X1653"/>
          <cell r="Y1653"/>
          <cell r="Z1653"/>
          <cell r="AA1653"/>
          <cell r="AB1653"/>
          <cell r="AC1653"/>
          <cell r="AD1653"/>
          <cell r="AE1653"/>
          <cell r="AF1653"/>
          <cell r="AG1653"/>
          <cell r="AH1653"/>
          <cell r="AI1653"/>
          <cell r="AJ1653"/>
          <cell r="AK1653"/>
          <cell r="AL1653"/>
          <cell r="AM1653"/>
          <cell r="AN1653"/>
          <cell r="AO1653"/>
          <cell r="AP1653"/>
          <cell r="AQ1653"/>
          <cell r="AR1653"/>
          <cell r="AS1653"/>
          <cell r="AT1653"/>
          <cell r="AU1653"/>
          <cell r="AV1653"/>
          <cell r="AW1653"/>
          <cell r="AX1653"/>
          <cell r="AY1653"/>
          <cell r="AZ1653"/>
        </row>
        <row r="1654">
          <cell r="A1654"/>
          <cell r="B1654"/>
          <cell r="C1654"/>
          <cell r="D1654"/>
          <cell r="E1654"/>
          <cell r="F1654"/>
          <cell r="G1654"/>
          <cell r="H1654"/>
          <cell r="I1654"/>
          <cell r="J1654"/>
          <cell r="K1654"/>
          <cell r="L1654"/>
          <cell r="M1654"/>
          <cell r="N1654"/>
          <cell r="O1654"/>
          <cell r="P1654"/>
          <cell r="Q1654"/>
          <cell r="R1654"/>
          <cell r="S1654"/>
          <cell r="T1654"/>
          <cell r="U1654"/>
          <cell r="V1654"/>
          <cell r="W1654"/>
          <cell r="X1654"/>
          <cell r="Y1654"/>
          <cell r="Z1654"/>
          <cell r="AA1654"/>
          <cell r="AB1654"/>
          <cell r="AC1654"/>
          <cell r="AD1654"/>
          <cell r="AE1654"/>
          <cell r="AF1654"/>
          <cell r="AG1654"/>
          <cell r="AH1654"/>
          <cell r="AI1654"/>
          <cell r="AJ1654"/>
          <cell r="AK1654"/>
          <cell r="AL1654"/>
          <cell r="AM1654"/>
          <cell r="AN1654"/>
          <cell r="AO1654"/>
          <cell r="AP1654"/>
          <cell r="AQ1654"/>
          <cell r="AR1654"/>
          <cell r="AS1654"/>
          <cell r="AT1654"/>
          <cell r="AU1654"/>
          <cell r="AV1654"/>
          <cell r="AW1654"/>
          <cell r="AX1654"/>
          <cell r="AY1654"/>
          <cell r="AZ1654"/>
        </row>
        <row r="1655">
          <cell r="A1655"/>
          <cell r="B1655"/>
          <cell r="C1655"/>
          <cell r="D1655"/>
          <cell r="E1655"/>
          <cell r="F1655"/>
          <cell r="G1655"/>
          <cell r="H1655"/>
          <cell r="I1655"/>
          <cell r="J1655"/>
          <cell r="K1655"/>
          <cell r="L1655"/>
          <cell r="M1655"/>
          <cell r="N1655"/>
          <cell r="O1655"/>
          <cell r="P1655"/>
          <cell r="Q1655"/>
          <cell r="R1655"/>
          <cell r="S1655"/>
          <cell r="T1655"/>
          <cell r="U1655"/>
          <cell r="V1655"/>
          <cell r="W1655"/>
          <cell r="X1655"/>
          <cell r="Y1655"/>
          <cell r="Z1655"/>
          <cell r="AA1655"/>
          <cell r="AB1655"/>
          <cell r="AC1655"/>
          <cell r="AD1655"/>
          <cell r="AE1655"/>
          <cell r="AF1655"/>
          <cell r="AG1655"/>
          <cell r="AH1655"/>
          <cell r="AI1655"/>
          <cell r="AJ1655"/>
          <cell r="AK1655"/>
          <cell r="AL1655"/>
          <cell r="AM1655"/>
          <cell r="AN1655"/>
          <cell r="AO1655"/>
          <cell r="AP1655"/>
          <cell r="AQ1655"/>
          <cell r="AR1655"/>
          <cell r="AS1655"/>
          <cell r="AT1655"/>
          <cell r="AU1655"/>
          <cell r="AV1655"/>
          <cell r="AW1655"/>
          <cell r="AX1655"/>
          <cell r="AY1655"/>
          <cell r="AZ1655"/>
        </row>
        <row r="1656">
          <cell r="A1656"/>
          <cell r="B1656"/>
          <cell r="C1656"/>
          <cell r="D1656"/>
          <cell r="E1656"/>
          <cell r="F1656"/>
          <cell r="G1656"/>
          <cell r="H1656"/>
          <cell r="I1656"/>
          <cell r="J1656"/>
          <cell r="K1656"/>
          <cell r="L1656"/>
          <cell r="M1656"/>
          <cell r="N1656"/>
          <cell r="O1656"/>
          <cell r="P1656"/>
          <cell r="Q1656"/>
          <cell r="R1656"/>
          <cell r="S1656"/>
          <cell r="T1656"/>
          <cell r="U1656"/>
          <cell r="V1656"/>
          <cell r="W1656"/>
          <cell r="X1656"/>
          <cell r="Y1656"/>
          <cell r="Z1656"/>
          <cell r="AA1656"/>
          <cell r="AB1656"/>
          <cell r="AC1656"/>
          <cell r="AD1656"/>
          <cell r="AE1656"/>
          <cell r="AF1656"/>
          <cell r="AG1656"/>
          <cell r="AH1656"/>
          <cell r="AI1656"/>
          <cell r="AJ1656"/>
          <cell r="AK1656"/>
          <cell r="AL1656"/>
          <cell r="AM1656"/>
          <cell r="AN1656"/>
          <cell r="AO1656"/>
          <cell r="AP1656"/>
          <cell r="AQ1656"/>
          <cell r="AR1656"/>
          <cell r="AS1656"/>
          <cell r="AT1656"/>
          <cell r="AU1656"/>
          <cell r="AV1656"/>
          <cell r="AW1656"/>
          <cell r="AX1656"/>
          <cell r="AY1656"/>
          <cell r="AZ1656"/>
        </row>
        <row r="1657">
          <cell r="A1657"/>
          <cell r="B1657"/>
          <cell r="C1657"/>
          <cell r="D1657"/>
          <cell r="E1657"/>
          <cell r="F1657"/>
          <cell r="G1657"/>
          <cell r="H1657"/>
          <cell r="I1657"/>
          <cell r="J1657"/>
          <cell r="K1657"/>
          <cell r="L1657"/>
          <cell r="M1657"/>
          <cell r="N1657"/>
          <cell r="O1657"/>
          <cell r="P1657"/>
          <cell r="Q1657"/>
          <cell r="R1657"/>
          <cell r="S1657"/>
          <cell r="T1657"/>
          <cell r="U1657"/>
          <cell r="V1657"/>
          <cell r="W1657"/>
          <cell r="X1657"/>
          <cell r="Y1657"/>
          <cell r="Z1657"/>
          <cell r="AA1657"/>
          <cell r="AB1657"/>
          <cell r="AC1657"/>
          <cell r="AD1657"/>
          <cell r="AE1657"/>
          <cell r="AF1657"/>
          <cell r="AG1657"/>
          <cell r="AH1657"/>
          <cell r="AI1657"/>
          <cell r="AJ1657"/>
          <cell r="AK1657"/>
          <cell r="AL1657"/>
          <cell r="AM1657"/>
          <cell r="AN1657"/>
          <cell r="AO1657"/>
          <cell r="AP1657"/>
          <cell r="AQ1657"/>
          <cell r="AR1657"/>
          <cell r="AS1657"/>
          <cell r="AT1657"/>
          <cell r="AU1657"/>
          <cell r="AV1657"/>
          <cell r="AW1657"/>
          <cell r="AX1657"/>
          <cell r="AY1657"/>
          <cell r="AZ1657"/>
        </row>
        <row r="1658">
          <cell r="A1658"/>
          <cell r="B1658"/>
          <cell r="C1658"/>
          <cell r="D1658"/>
          <cell r="E1658"/>
          <cell r="F1658"/>
          <cell r="G1658"/>
          <cell r="H1658"/>
          <cell r="I1658"/>
          <cell r="J1658"/>
          <cell r="K1658"/>
          <cell r="L1658"/>
          <cell r="M1658"/>
          <cell r="N1658"/>
          <cell r="O1658"/>
          <cell r="P1658"/>
          <cell r="Q1658"/>
          <cell r="R1658"/>
          <cell r="S1658"/>
          <cell r="T1658"/>
          <cell r="U1658"/>
          <cell r="V1658"/>
          <cell r="W1658"/>
          <cell r="X1658"/>
          <cell r="Y1658"/>
          <cell r="Z1658"/>
          <cell r="AA1658"/>
          <cell r="AB1658"/>
          <cell r="AC1658"/>
          <cell r="AD1658"/>
          <cell r="AE1658"/>
          <cell r="AF1658"/>
          <cell r="AG1658"/>
          <cell r="AH1658"/>
          <cell r="AI1658"/>
          <cell r="AJ1658"/>
          <cell r="AK1658"/>
          <cell r="AL1658"/>
          <cell r="AM1658"/>
          <cell r="AN1658"/>
          <cell r="AO1658"/>
          <cell r="AP1658"/>
          <cell r="AQ1658"/>
          <cell r="AR1658"/>
          <cell r="AS1658"/>
          <cell r="AT1658"/>
          <cell r="AU1658"/>
          <cell r="AV1658"/>
          <cell r="AW1658"/>
          <cell r="AX1658"/>
          <cell r="AY1658"/>
          <cell r="AZ1658"/>
        </row>
        <row r="1659">
          <cell r="A1659"/>
          <cell r="B1659"/>
          <cell r="C1659"/>
          <cell r="D1659"/>
          <cell r="E1659"/>
          <cell r="F1659"/>
          <cell r="G1659"/>
          <cell r="H1659"/>
          <cell r="I1659"/>
          <cell r="J1659"/>
          <cell r="K1659"/>
          <cell r="L1659"/>
          <cell r="M1659"/>
          <cell r="N1659"/>
          <cell r="O1659"/>
          <cell r="P1659"/>
          <cell r="Q1659"/>
          <cell r="R1659"/>
          <cell r="S1659"/>
          <cell r="T1659"/>
          <cell r="U1659"/>
          <cell r="V1659"/>
          <cell r="W1659"/>
          <cell r="X1659"/>
          <cell r="Y1659"/>
          <cell r="Z1659"/>
          <cell r="AA1659"/>
          <cell r="AB1659"/>
          <cell r="AC1659"/>
          <cell r="AD1659"/>
          <cell r="AE1659"/>
          <cell r="AF1659"/>
          <cell r="AG1659"/>
          <cell r="AH1659"/>
          <cell r="AI1659"/>
          <cell r="AJ1659"/>
          <cell r="AK1659"/>
          <cell r="AL1659"/>
          <cell r="AM1659"/>
          <cell r="AN1659"/>
          <cell r="AO1659"/>
          <cell r="AP1659"/>
          <cell r="AQ1659"/>
          <cell r="AR1659"/>
          <cell r="AS1659"/>
          <cell r="AT1659"/>
          <cell r="AU1659"/>
          <cell r="AV1659"/>
          <cell r="AW1659"/>
          <cell r="AX1659"/>
          <cell r="AY1659"/>
          <cell r="AZ1659"/>
        </row>
        <row r="1660">
          <cell r="A1660"/>
          <cell r="B1660"/>
          <cell r="C1660"/>
          <cell r="D1660"/>
          <cell r="E1660"/>
          <cell r="F1660"/>
          <cell r="G1660"/>
          <cell r="H1660"/>
          <cell r="I1660"/>
          <cell r="J1660"/>
          <cell r="K1660"/>
          <cell r="L1660"/>
          <cell r="M1660"/>
          <cell r="N1660"/>
          <cell r="O1660"/>
          <cell r="P1660"/>
          <cell r="Q1660"/>
          <cell r="R1660"/>
          <cell r="S1660"/>
          <cell r="T1660"/>
          <cell r="U1660"/>
          <cell r="V1660"/>
          <cell r="W1660"/>
          <cell r="X1660"/>
          <cell r="Y1660"/>
          <cell r="Z1660"/>
          <cell r="AA1660"/>
          <cell r="AB1660"/>
          <cell r="AC1660"/>
          <cell r="AD1660"/>
          <cell r="AE1660"/>
          <cell r="AF1660"/>
          <cell r="AG1660"/>
          <cell r="AH1660"/>
          <cell r="AI1660"/>
          <cell r="AJ1660"/>
          <cell r="AK1660"/>
          <cell r="AL1660"/>
          <cell r="AM1660"/>
          <cell r="AN1660"/>
          <cell r="AO1660"/>
          <cell r="AP1660"/>
          <cell r="AQ1660"/>
          <cell r="AR1660"/>
          <cell r="AS1660"/>
          <cell r="AT1660"/>
          <cell r="AU1660"/>
          <cell r="AV1660"/>
          <cell r="AW1660"/>
          <cell r="AX1660"/>
          <cell r="AY1660"/>
          <cell r="AZ1660"/>
        </row>
        <row r="1661">
          <cell r="A1661"/>
          <cell r="B1661"/>
          <cell r="C1661"/>
          <cell r="D1661"/>
          <cell r="E1661"/>
          <cell r="F1661"/>
          <cell r="G1661"/>
          <cell r="H1661"/>
          <cell r="I1661"/>
          <cell r="J1661"/>
          <cell r="K1661"/>
          <cell r="L1661"/>
          <cell r="M1661"/>
          <cell r="N1661"/>
          <cell r="O1661"/>
          <cell r="P1661"/>
          <cell r="Q1661"/>
          <cell r="R1661"/>
          <cell r="S1661"/>
          <cell r="T1661"/>
          <cell r="U1661"/>
          <cell r="V1661"/>
          <cell r="W1661"/>
          <cell r="X1661"/>
          <cell r="Y1661"/>
          <cell r="Z1661"/>
          <cell r="AA1661"/>
          <cell r="AB1661"/>
          <cell r="AC1661"/>
          <cell r="AD1661"/>
          <cell r="AE1661"/>
          <cell r="AF1661"/>
          <cell r="AG1661"/>
          <cell r="AH1661"/>
          <cell r="AI1661"/>
          <cell r="AJ1661"/>
          <cell r="AK1661"/>
          <cell r="AL1661"/>
          <cell r="AM1661"/>
          <cell r="AN1661"/>
          <cell r="AO1661"/>
          <cell r="AP1661"/>
          <cell r="AQ1661"/>
          <cell r="AR1661"/>
          <cell r="AS1661"/>
          <cell r="AT1661"/>
          <cell r="AU1661"/>
          <cell r="AV1661"/>
          <cell r="AW1661"/>
          <cell r="AX1661"/>
          <cell r="AY1661"/>
          <cell r="AZ1661"/>
        </row>
        <row r="1662">
          <cell r="A1662"/>
          <cell r="B1662"/>
          <cell r="C1662"/>
          <cell r="D1662"/>
          <cell r="E1662"/>
          <cell r="F1662"/>
          <cell r="G1662"/>
          <cell r="H1662"/>
          <cell r="I1662"/>
          <cell r="J1662"/>
          <cell r="K1662"/>
          <cell r="L1662"/>
          <cell r="M1662"/>
          <cell r="N1662"/>
          <cell r="O1662"/>
          <cell r="P1662"/>
          <cell r="Q1662"/>
          <cell r="R1662"/>
          <cell r="S1662"/>
          <cell r="T1662"/>
          <cell r="U1662"/>
          <cell r="V1662"/>
          <cell r="W1662"/>
          <cell r="X1662"/>
          <cell r="Y1662"/>
          <cell r="Z1662"/>
          <cell r="AA1662"/>
          <cell r="AB1662"/>
          <cell r="AC1662"/>
          <cell r="AD1662"/>
          <cell r="AE1662"/>
          <cell r="AF1662"/>
          <cell r="AG1662"/>
          <cell r="AH1662"/>
          <cell r="AI1662"/>
          <cell r="AJ1662"/>
          <cell r="AK1662"/>
          <cell r="AL1662"/>
          <cell r="AM1662"/>
          <cell r="AN1662"/>
          <cell r="AO1662"/>
          <cell r="AP1662"/>
          <cell r="AQ1662"/>
          <cell r="AR1662"/>
          <cell r="AS1662"/>
          <cell r="AT1662"/>
          <cell r="AU1662"/>
          <cell r="AV1662"/>
          <cell r="AW1662"/>
          <cell r="AX1662"/>
          <cell r="AY1662"/>
          <cell r="AZ1662"/>
        </row>
        <row r="1663">
          <cell r="A1663"/>
          <cell r="B1663"/>
          <cell r="C1663"/>
          <cell r="D1663"/>
          <cell r="E1663"/>
          <cell r="F1663"/>
          <cell r="G1663"/>
          <cell r="H1663"/>
          <cell r="I1663"/>
          <cell r="J1663"/>
          <cell r="K1663"/>
          <cell r="L1663"/>
          <cell r="M1663"/>
          <cell r="N1663"/>
          <cell r="O1663"/>
          <cell r="P1663"/>
          <cell r="Q1663"/>
          <cell r="R1663"/>
          <cell r="S1663"/>
          <cell r="T1663"/>
          <cell r="U1663"/>
          <cell r="V1663"/>
          <cell r="W1663"/>
          <cell r="X1663"/>
          <cell r="Y1663"/>
          <cell r="Z1663"/>
          <cell r="AA1663"/>
          <cell r="AB1663"/>
          <cell r="AC1663"/>
          <cell r="AD1663"/>
          <cell r="AE1663"/>
          <cell r="AF1663"/>
          <cell r="AG1663"/>
          <cell r="AH1663"/>
          <cell r="AI1663"/>
          <cell r="AJ1663"/>
          <cell r="AK1663"/>
          <cell r="AL1663"/>
          <cell r="AM1663"/>
          <cell r="AN1663"/>
          <cell r="AO1663"/>
          <cell r="AP1663"/>
          <cell r="AQ1663"/>
          <cell r="AR1663"/>
          <cell r="AS1663"/>
          <cell r="AT1663"/>
          <cell r="AU1663"/>
          <cell r="AV1663"/>
          <cell r="AW1663"/>
          <cell r="AX1663"/>
          <cell r="AY1663"/>
          <cell r="AZ1663"/>
        </row>
        <row r="1664">
          <cell r="A1664"/>
          <cell r="B1664"/>
          <cell r="C1664"/>
          <cell r="D1664"/>
          <cell r="E1664"/>
          <cell r="F1664"/>
          <cell r="G1664"/>
          <cell r="H1664"/>
          <cell r="I1664"/>
          <cell r="J1664"/>
          <cell r="K1664"/>
          <cell r="L1664"/>
          <cell r="M1664"/>
          <cell r="N1664"/>
          <cell r="O1664"/>
          <cell r="P1664"/>
          <cell r="Q1664"/>
          <cell r="R1664"/>
          <cell r="S1664"/>
          <cell r="T1664"/>
          <cell r="U1664"/>
          <cell r="V1664"/>
          <cell r="W1664"/>
          <cell r="X1664"/>
          <cell r="Y1664"/>
          <cell r="Z1664"/>
          <cell r="AA1664"/>
          <cell r="AB1664"/>
          <cell r="AC1664"/>
          <cell r="AD1664"/>
          <cell r="AE1664"/>
          <cell r="AF1664"/>
          <cell r="AG1664"/>
          <cell r="AH1664"/>
          <cell r="AI1664"/>
          <cell r="AJ1664"/>
          <cell r="AK1664"/>
          <cell r="AL1664"/>
          <cell r="AM1664"/>
          <cell r="AN1664"/>
          <cell r="AO1664"/>
          <cell r="AP1664"/>
          <cell r="AQ1664"/>
          <cell r="AR1664"/>
          <cell r="AS1664"/>
          <cell r="AT1664"/>
          <cell r="AU1664"/>
          <cell r="AV1664"/>
          <cell r="AW1664"/>
          <cell r="AX1664"/>
          <cell r="AY1664"/>
          <cell r="AZ1664"/>
        </row>
        <row r="1665">
          <cell r="A1665"/>
          <cell r="B1665"/>
          <cell r="C1665"/>
          <cell r="D1665"/>
          <cell r="E1665"/>
          <cell r="F1665"/>
          <cell r="G1665"/>
          <cell r="H1665"/>
          <cell r="I1665"/>
          <cell r="J1665"/>
          <cell r="K1665"/>
          <cell r="L1665"/>
          <cell r="M1665"/>
          <cell r="N1665"/>
          <cell r="O1665"/>
          <cell r="P1665"/>
          <cell r="Q1665"/>
          <cell r="R1665"/>
          <cell r="S1665"/>
          <cell r="T1665"/>
          <cell r="U1665"/>
          <cell r="V1665"/>
          <cell r="W1665"/>
          <cell r="X1665"/>
          <cell r="Y1665"/>
          <cell r="Z1665"/>
          <cell r="AA1665"/>
          <cell r="AB1665"/>
          <cell r="AC1665"/>
          <cell r="AD1665"/>
          <cell r="AE1665"/>
          <cell r="AF1665"/>
          <cell r="AG1665"/>
          <cell r="AH1665"/>
          <cell r="AI1665"/>
          <cell r="AJ1665"/>
          <cell r="AK1665"/>
          <cell r="AL1665"/>
          <cell r="AM1665"/>
          <cell r="AN1665"/>
          <cell r="AO1665"/>
          <cell r="AP1665"/>
          <cell r="AQ1665"/>
          <cell r="AR1665"/>
          <cell r="AS1665"/>
          <cell r="AT1665"/>
          <cell r="AU1665"/>
          <cell r="AV1665"/>
          <cell r="AW1665"/>
          <cell r="AX1665"/>
          <cell r="AY1665"/>
          <cell r="AZ1665"/>
        </row>
        <row r="1666">
          <cell r="A1666"/>
          <cell r="B1666"/>
          <cell r="C1666"/>
          <cell r="D1666"/>
          <cell r="E1666"/>
          <cell r="F1666"/>
          <cell r="G1666"/>
          <cell r="H1666"/>
          <cell r="I1666"/>
          <cell r="J1666"/>
          <cell r="K1666"/>
          <cell r="L1666"/>
          <cell r="M1666"/>
          <cell r="N1666"/>
          <cell r="O1666"/>
          <cell r="P1666"/>
          <cell r="Q1666"/>
          <cell r="R1666"/>
          <cell r="S1666"/>
          <cell r="T1666"/>
          <cell r="U1666"/>
          <cell r="V1666"/>
          <cell r="W1666"/>
          <cell r="X1666"/>
          <cell r="Y1666"/>
          <cell r="Z1666"/>
          <cell r="AA1666"/>
          <cell r="AB1666"/>
          <cell r="AC1666"/>
          <cell r="AD1666"/>
          <cell r="AE1666"/>
          <cell r="AF1666"/>
          <cell r="AG1666"/>
          <cell r="AH1666"/>
          <cell r="AI1666"/>
          <cell r="AJ1666"/>
          <cell r="AK1666"/>
          <cell r="AL1666"/>
          <cell r="AM1666"/>
          <cell r="AN1666"/>
          <cell r="AO1666"/>
          <cell r="AP1666"/>
          <cell r="AQ1666"/>
          <cell r="AR1666"/>
          <cell r="AS1666"/>
          <cell r="AT1666"/>
          <cell r="AU1666"/>
          <cell r="AV1666"/>
          <cell r="AW1666"/>
          <cell r="AX1666"/>
          <cell r="AY1666"/>
          <cell r="AZ1666"/>
        </row>
        <row r="1667">
          <cell r="A1667"/>
          <cell r="B1667"/>
          <cell r="C1667"/>
          <cell r="D1667"/>
          <cell r="E1667"/>
          <cell r="F1667"/>
          <cell r="G1667"/>
          <cell r="H1667"/>
          <cell r="I1667"/>
          <cell r="J1667"/>
          <cell r="K1667"/>
          <cell r="L1667"/>
          <cell r="M1667"/>
          <cell r="N1667"/>
          <cell r="O1667"/>
          <cell r="P1667"/>
          <cell r="Q1667"/>
          <cell r="R1667"/>
          <cell r="S1667"/>
          <cell r="T1667"/>
          <cell r="U1667"/>
          <cell r="V1667"/>
          <cell r="W1667"/>
          <cell r="X1667"/>
          <cell r="Y1667"/>
          <cell r="Z1667"/>
          <cell r="AA1667"/>
          <cell r="AB1667"/>
          <cell r="AC1667"/>
          <cell r="AD1667"/>
          <cell r="AE1667"/>
          <cell r="AF1667"/>
          <cell r="AG1667"/>
          <cell r="AH1667"/>
          <cell r="AI1667"/>
          <cell r="AJ1667"/>
          <cell r="AK1667"/>
          <cell r="AL1667"/>
          <cell r="AM1667"/>
          <cell r="AN1667"/>
          <cell r="AO1667"/>
          <cell r="AP1667"/>
          <cell r="AQ1667"/>
          <cell r="AR1667"/>
          <cell r="AS1667"/>
          <cell r="AT1667"/>
          <cell r="AU1667"/>
          <cell r="AV1667"/>
          <cell r="AW1667"/>
          <cell r="AX1667"/>
          <cell r="AY1667"/>
          <cell r="AZ1667"/>
        </row>
        <row r="1668">
          <cell r="A1668"/>
          <cell r="B1668"/>
          <cell r="C1668"/>
          <cell r="D1668"/>
          <cell r="E1668"/>
          <cell r="F1668"/>
          <cell r="G1668"/>
          <cell r="H1668"/>
          <cell r="I1668"/>
          <cell r="J1668"/>
          <cell r="K1668"/>
          <cell r="L1668"/>
          <cell r="M1668"/>
          <cell r="N1668"/>
          <cell r="O1668"/>
          <cell r="P1668"/>
          <cell r="Q1668"/>
          <cell r="R1668"/>
          <cell r="S1668"/>
          <cell r="T1668"/>
          <cell r="U1668"/>
          <cell r="V1668"/>
          <cell r="W1668"/>
          <cell r="X1668"/>
          <cell r="Y1668"/>
          <cell r="Z1668"/>
          <cell r="AA1668"/>
          <cell r="AB1668"/>
          <cell r="AC1668"/>
          <cell r="AD1668"/>
          <cell r="AE1668"/>
          <cell r="AF1668"/>
          <cell r="AG1668"/>
          <cell r="AH1668"/>
          <cell r="AI1668"/>
          <cell r="AJ1668"/>
          <cell r="AK1668"/>
          <cell r="AL1668"/>
          <cell r="AM1668"/>
          <cell r="AN1668"/>
          <cell r="AO1668"/>
          <cell r="AP1668"/>
          <cell r="AQ1668"/>
          <cell r="AR1668"/>
          <cell r="AS1668"/>
          <cell r="AT1668"/>
          <cell r="AU1668"/>
          <cell r="AV1668"/>
          <cell r="AW1668"/>
          <cell r="AX1668"/>
          <cell r="AY1668"/>
          <cell r="AZ1668"/>
        </row>
        <row r="1669">
          <cell r="A1669"/>
          <cell r="B1669"/>
          <cell r="C1669"/>
          <cell r="D1669"/>
          <cell r="E1669"/>
          <cell r="F1669"/>
          <cell r="G1669"/>
          <cell r="H1669"/>
          <cell r="I1669"/>
          <cell r="J1669"/>
          <cell r="K1669"/>
          <cell r="L1669"/>
          <cell r="M1669"/>
          <cell r="N1669"/>
          <cell r="O1669"/>
          <cell r="P1669"/>
          <cell r="Q1669"/>
          <cell r="R1669"/>
          <cell r="S1669"/>
          <cell r="T1669"/>
          <cell r="U1669"/>
          <cell r="V1669"/>
          <cell r="W1669"/>
          <cell r="X1669"/>
          <cell r="Y1669"/>
          <cell r="Z1669"/>
          <cell r="AA1669"/>
          <cell r="AB1669"/>
          <cell r="AC1669"/>
          <cell r="AD1669"/>
          <cell r="AE1669"/>
          <cell r="AF1669"/>
          <cell r="AG1669"/>
          <cell r="AH1669"/>
          <cell r="AI1669"/>
          <cell r="AJ1669"/>
          <cell r="AK1669"/>
          <cell r="AL1669"/>
          <cell r="AM1669"/>
          <cell r="AN1669"/>
          <cell r="AO1669"/>
          <cell r="AP1669"/>
          <cell r="AQ1669"/>
          <cell r="AR1669"/>
          <cell r="AS1669"/>
          <cell r="AT1669"/>
          <cell r="AU1669"/>
          <cell r="AV1669"/>
          <cell r="AW1669"/>
          <cell r="AX1669"/>
          <cell r="AY1669"/>
          <cell r="AZ1669"/>
        </row>
        <row r="1670">
          <cell r="A1670"/>
          <cell r="B1670"/>
          <cell r="C1670"/>
          <cell r="D1670"/>
          <cell r="E1670"/>
          <cell r="F1670"/>
          <cell r="G1670"/>
          <cell r="H1670"/>
          <cell r="I1670"/>
          <cell r="J1670"/>
          <cell r="K1670"/>
          <cell r="L1670"/>
          <cell r="M1670"/>
          <cell r="N1670"/>
          <cell r="O1670"/>
          <cell r="P1670"/>
          <cell r="Q1670"/>
          <cell r="R1670"/>
          <cell r="S1670"/>
          <cell r="T1670"/>
          <cell r="U1670"/>
          <cell r="V1670"/>
          <cell r="W1670"/>
          <cell r="X1670"/>
          <cell r="Y1670"/>
          <cell r="Z1670"/>
          <cell r="AA1670"/>
          <cell r="AB1670"/>
          <cell r="AC1670"/>
          <cell r="AD1670"/>
          <cell r="AE1670"/>
          <cell r="AF1670"/>
          <cell r="AG1670"/>
          <cell r="AH1670"/>
          <cell r="AI1670"/>
          <cell r="AJ1670"/>
          <cell r="AK1670"/>
          <cell r="AL1670"/>
          <cell r="AM1670"/>
          <cell r="AN1670"/>
          <cell r="AO1670"/>
          <cell r="AP1670"/>
          <cell r="AQ1670"/>
          <cell r="AR1670"/>
          <cell r="AS1670"/>
          <cell r="AT1670"/>
          <cell r="AU1670"/>
          <cell r="AV1670"/>
          <cell r="AW1670"/>
          <cell r="AX1670"/>
          <cell r="AY1670"/>
          <cell r="AZ1670"/>
        </row>
        <row r="1671">
          <cell r="A1671"/>
          <cell r="B1671"/>
          <cell r="C1671"/>
          <cell r="D1671"/>
          <cell r="E1671"/>
          <cell r="F1671"/>
          <cell r="G1671"/>
          <cell r="H1671"/>
          <cell r="I1671"/>
          <cell r="J1671"/>
          <cell r="K1671"/>
          <cell r="L1671"/>
          <cell r="M1671"/>
          <cell r="N1671"/>
          <cell r="O1671"/>
          <cell r="P1671"/>
          <cell r="Q1671"/>
          <cell r="R1671"/>
          <cell r="S1671"/>
          <cell r="T1671"/>
          <cell r="U1671"/>
          <cell r="V1671"/>
          <cell r="W1671"/>
          <cell r="X1671"/>
          <cell r="Y1671"/>
          <cell r="Z1671"/>
          <cell r="AA1671"/>
          <cell r="AB1671"/>
          <cell r="AC1671"/>
          <cell r="AD1671"/>
          <cell r="AE1671"/>
          <cell r="AF1671"/>
          <cell r="AG1671"/>
          <cell r="AH1671"/>
          <cell r="AI1671"/>
          <cell r="AJ1671"/>
          <cell r="AK1671"/>
          <cell r="AL1671"/>
          <cell r="AM1671"/>
          <cell r="AN1671"/>
          <cell r="AO1671"/>
          <cell r="AP1671"/>
          <cell r="AQ1671"/>
          <cell r="AR1671"/>
          <cell r="AS1671"/>
          <cell r="AT1671"/>
          <cell r="AU1671"/>
          <cell r="AV1671"/>
          <cell r="AW1671"/>
          <cell r="AX1671"/>
          <cell r="AY1671"/>
          <cell r="AZ1671"/>
        </row>
        <row r="1672">
          <cell r="A1672"/>
          <cell r="B1672"/>
          <cell r="C1672"/>
          <cell r="D1672"/>
          <cell r="E1672"/>
          <cell r="F1672"/>
          <cell r="G1672"/>
          <cell r="H1672"/>
          <cell r="I1672"/>
          <cell r="J1672"/>
          <cell r="K1672"/>
          <cell r="L1672"/>
          <cell r="M1672"/>
          <cell r="N1672"/>
          <cell r="O1672"/>
          <cell r="P1672"/>
          <cell r="Q1672"/>
          <cell r="R1672"/>
          <cell r="S1672"/>
          <cell r="T1672"/>
          <cell r="U1672"/>
          <cell r="V1672"/>
          <cell r="W1672"/>
          <cell r="X1672"/>
          <cell r="Y1672"/>
          <cell r="Z1672"/>
          <cell r="AA1672"/>
          <cell r="AB1672"/>
          <cell r="AC1672"/>
          <cell r="AD1672"/>
          <cell r="AE1672"/>
          <cell r="AF1672"/>
          <cell r="AG1672"/>
          <cell r="AH1672"/>
          <cell r="AI1672"/>
          <cell r="AJ1672"/>
          <cell r="AK1672"/>
          <cell r="AL1672"/>
          <cell r="AM1672"/>
          <cell r="AN1672"/>
          <cell r="AO1672"/>
          <cell r="AP1672"/>
          <cell r="AQ1672"/>
          <cell r="AR1672"/>
          <cell r="AS1672"/>
          <cell r="AT1672"/>
          <cell r="AU1672"/>
          <cell r="AV1672"/>
          <cell r="AW1672"/>
          <cell r="AX1672"/>
          <cell r="AY1672"/>
          <cell r="AZ1672"/>
        </row>
        <row r="1673">
          <cell r="A1673"/>
          <cell r="B1673"/>
          <cell r="C1673"/>
          <cell r="D1673"/>
          <cell r="E1673"/>
          <cell r="F1673"/>
          <cell r="G1673"/>
          <cell r="H1673"/>
          <cell r="I1673"/>
          <cell r="J1673"/>
          <cell r="K1673"/>
          <cell r="L1673"/>
          <cell r="M1673"/>
          <cell r="N1673"/>
          <cell r="O1673"/>
          <cell r="P1673"/>
          <cell r="Q1673"/>
          <cell r="R1673"/>
          <cell r="S1673"/>
          <cell r="T1673"/>
          <cell r="U1673"/>
          <cell r="V1673"/>
          <cell r="W1673"/>
          <cell r="X1673"/>
          <cell r="Y1673"/>
          <cell r="Z1673"/>
          <cell r="AA1673"/>
          <cell r="AB1673"/>
          <cell r="AC1673"/>
          <cell r="AD1673"/>
          <cell r="AE1673"/>
          <cell r="AF1673"/>
          <cell r="AG1673"/>
          <cell r="AH1673"/>
          <cell r="AI1673"/>
          <cell r="AJ1673"/>
          <cell r="AK1673"/>
          <cell r="AL1673"/>
          <cell r="AM1673"/>
          <cell r="AN1673"/>
          <cell r="AO1673"/>
          <cell r="AP1673"/>
          <cell r="AQ1673"/>
          <cell r="AR1673"/>
          <cell r="AS1673"/>
          <cell r="AT1673"/>
          <cell r="AU1673"/>
          <cell r="AV1673"/>
          <cell r="AW1673"/>
          <cell r="AX1673"/>
          <cell r="AY1673"/>
          <cell r="AZ1673"/>
        </row>
        <row r="1674">
          <cell r="A1674"/>
          <cell r="B1674"/>
          <cell r="C1674"/>
          <cell r="D1674"/>
          <cell r="E1674"/>
          <cell r="F1674"/>
          <cell r="G1674"/>
          <cell r="H1674"/>
          <cell r="I1674"/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/>
          <cell r="AS1674"/>
          <cell r="AT1674"/>
          <cell r="AU1674"/>
          <cell r="AV1674"/>
          <cell r="AW1674"/>
          <cell r="AX1674"/>
          <cell r="AY1674"/>
          <cell r="AZ1674"/>
        </row>
        <row r="1675">
          <cell r="A1675"/>
          <cell r="B1675"/>
          <cell r="C1675"/>
          <cell r="D1675"/>
          <cell r="E1675"/>
          <cell r="F1675"/>
          <cell r="G1675"/>
          <cell r="H1675"/>
          <cell r="I1675"/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/>
          <cell r="AS1675"/>
          <cell r="AT1675"/>
          <cell r="AU1675"/>
          <cell r="AV1675"/>
          <cell r="AW1675"/>
          <cell r="AX1675"/>
          <cell r="AY1675"/>
          <cell r="AZ1675"/>
        </row>
        <row r="1676">
          <cell r="A1676"/>
          <cell r="B1676"/>
          <cell r="C1676"/>
          <cell r="D1676"/>
          <cell r="E1676"/>
          <cell r="F1676"/>
          <cell r="G1676"/>
          <cell r="H1676"/>
          <cell r="I1676"/>
          <cell r="J1676"/>
          <cell r="K1676"/>
          <cell r="L1676"/>
          <cell r="M1676"/>
          <cell r="N1676"/>
          <cell r="O1676"/>
          <cell r="P1676"/>
          <cell r="Q1676"/>
          <cell r="R1676"/>
          <cell r="S1676"/>
          <cell r="T1676"/>
          <cell r="U1676"/>
          <cell r="V1676"/>
          <cell r="W1676"/>
          <cell r="X1676"/>
          <cell r="Y1676"/>
          <cell r="Z1676"/>
          <cell r="AA1676"/>
          <cell r="AB1676"/>
          <cell r="AC1676"/>
          <cell r="AD1676"/>
          <cell r="AE1676"/>
          <cell r="AF1676"/>
          <cell r="AG1676"/>
          <cell r="AH1676"/>
          <cell r="AI1676"/>
          <cell r="AJ1676"/>
          <cell r="AK1676"/>
          <cell r="AL1676"/>
          <cell r="AM1676"/>
          <cell r="AN1676"/>
          <cell r="AO1676"/>
          <cell r="AP1676"/>
          <cell r="AQ1676"/>
          <cell r="AR1676"/>
          <cell r="AS1676"/>
          <cell r="AT1676"/>
          <cell r="AU1676"/>
          <cell r="AV1676"/>
          <cell r="AW1676"/>
          <cell r="AX1676"/>
          <cell r="AY1676"/>
          <cell r="AZ1676"/>
        </row>
        <row r="1677">
          <cell r="A1677"/>
          <cell r="B1677"/>
          <cell r="C1677"/>
          <cell r="D1677"/>
          <cell r="E1677"/>
          <cell r="F1677"/>
          <cell r="G1677"/>
          <cell r="H1677"/>
          <cell r="I1677"/>
          <cell r="J1677"/>
          <cell r="K1677"/>
          <cell r="L1677"/>
          <cell r="M1677"/>
          <cell r="N1677"/>
          <cell r="O1677"/>
          <cell r="P1677"/>
          <cell r="Q1677"/>
          <cell r="R1677"/>
          <cell r="S1677"/>
          <cell r="T1677"/>
          <cell r="U1677"/>
          <cell r="V1677"/>
          <cell r="W1677"/>
          <cell r="X1677"/>
          <cell r="Y1677"/>
          <cell r="Z1677"/>
          <cell r="AA1677"/>
          <cell r="AB1677"/>
          <cell r="AC1677"/>
          <cell r="AD1677"/>
          <cell r="AE1677"/>
          <cell r="AF1677"/>
          <cell r="AG1677"/>
          <cell r="AH1677"/>
          <cell r="AI1677"/>
          <cell r="AJ1677"/>
          <cell r="AK1677"/>
          <cell r="AL1677"/>
          <cell r="AM1677"/>
          <cell r="AN1677"/>
          <cell r="AO1677"/>
          <cell r="AP1677"/>
          <cell r="AQ1677"/>
          <cell r="AR1677"/>
          <cell r="AS1677"/>
          <cell r="AT1677"/>
          <cell r="AU1677"/>
          <cell r="AV1677"/>
          <cell r="AW1677"/>
          <cell r="AX1677"/>
          <cell r="AY1677"/>
          <cell r="AZ1677"/>
        </row>
        <row r="1678">
          <cell r="A1678"/>
          <cell r="B1678"/>
          <cell r="C1678"/>
          <cell r="D1678"/>
          <cell r="E1678"/>
          <cell r="F1678"/>
          <cell r="G1678"/>
          <cell r="H1678"/>
          <cell r="I1678"/>
          <cell r="J1678"/>
          <cell r="K1678"/>
          <cell r="L1678"/>
          <cell r="M1678"/>
          <cell r="N1678"/>
          <cell r="O1678"/>
          <cell r="P1678"/>
          <cell r="Q1678"/>
          <cell r="R1678"/>
          <cell r="S1678"/>
          <cell r="T1678"/>
          <cell r="U1678"/>
          <cell r="V1678"/>
          <cell r="W1678"/>
          <cell r="X1678"/>
          <cell r="Y1678"/>
          <cell r="Z1678"/>
          <cell r="AA1678"/>
          <cell r="AB1678"/>
          <cell r="AC1678"/>
          <cell r="AD1678"/>
          <cell r="AE1678"/>
          <cell r="AF1678"/>
          <cell r="AG1678"/>
          <cell r="AH1678"/>
          <cell r="AI1678"/>
          <cell r="AJ1678"/>
          <cell r="AK1678"/>
          <cell r="AL1678"/>
          <cell r="AM1678"/>
          <cell r="AN1678"/>
          <cell r="AO1678"/>
          <cell r="AP1678"/>
          <cell r="AQ1678"/>
          <cell r="AR1678"/>
          <cell r="AS1678"/>
          <cell r="AT1678"/>
          <cell r="AU1678"/>
          <cell r="AV1678"/>
          <cell r="AW1678"/>
          <cell r="AX1678"/>
          <cell r="AY1678"/>
          <cell r="AZ1678"/>
        </row>
        <row r="1679">
          <cell r="A1679"/>
          <cell r="B1679"/>
          <cell r="C1679"/>
          <cell r="D1679"/>
          <cell r="E1679"/>
          <cell r="F1679"/>
          <cell r="G1679"/>
          <cell r="H1679"/>
          <cell r="I1679"/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/>
          <cell r="AS1679"/>
          <cell r="AT1679"/>
          <cell r="AU1679"/>
          <cell r="AV1679"/>
          <cell r="AW1679"/>
          <cell r="AX1679"/>
          <cell r="AY1679"/>
          <cell r="AZ1679"/>
        </row>
        <row r="1680">
          <cell r="A1680"/>
          <cell r="B1680"/>
          <cell r="C1680"/>
          <cell r="D1680"/>
          <cell r="E1680"/>
          <cell r="F1680"/>
          <cell r="G1680"/>
          <cell r="H1680"/>
          <cell r="I1680"/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/>
          <cell r="AS1680"/>
          <cell r="AT1680"/>
          <cell r="AU1680"/>
          <cell r="AV1680"/>
          <cell r="AW1680"/>
          <cell r="AX1680"/>
          <cell r="AY1680"/>
          <cell r="AZ1680"/>
        </row>
        <row r="1681">
          <cell r="A1681"/>
          <cell r="B1681"/>
          <cell r="C1681"/>
          <cell r="D1681"/>
          <cell r="E1681"/>
          <cell r="F1681"/>
          <cell r="G1681"/>
          <cell r="H1681"/>
          <cell r="I1681"/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/>
          <cell r="AS1681"/>
          <cell r="AT1681"/>
          <cell r="AU1681"/>
          <cell r="AV1681"/>
          <cell r="AW1681"/>
          <cell r="AX1681"/>
          <cell r="AY1681"/>
          <cell r="AZ1681"/>
        </row>
        <row r="1682">
          <cell r="A1682"/>
          <cell r="B1682"/>
          <cell r="C1682"/>
          <cell r="D1682"/>
          <cell r="E1682"/>
          <cell r="F1682"/>
          <cell r="G1682"/>
          <cell r="H1682"/>
          <cell r="I1682"/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/>
          <cell r="AS1682"/>
          <cell r="AT1682"/>
          <cell r="AU1682"/>
          <cell r="AV1682"/>
          <cell r="AW1682"/>
          <cell r="AX1682"/>
          <cell r="AY1682"/>
          <cell r="AZ1682"/>
        </row>
        <row r="1683">
          <cell r="A1683"/>
          <cell r="B1683"/>
          <cell r="C1683"/>
          <cell r="D1683"/>
          <cell r="E1683"/>
          <cell r="F1683"/>
          <cell r="G1683"/>
          <cell r="H1683"/>
          <cell r="I1683"/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/>
          <cell r="AS1683"/>
          <cell r="AT1683"/>
          <cell r="AU1683"/>
          <cell r="AV1683"/>
          <cell r="AW1683"/>
          <cell r="AX1683"/>
          <cell r="AY1683"/>
          <cell r="AZ1683"/>
        </row>
        <row r="1684">
          <cell r="A1684"/>
          <cell r="B1684"/>
          <cell r="C1684"/>
          <cell r="D1684"/>
          <cell r="E1684"/>
          <cell r="F1684"/>
          <cell r="G1684"/>
          <cell r="H1684"/>
          <cell r="I1684"/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/>
          <cell r="AS1684"/>
          <cell r="AT1684"/>
          <cell r="AU1684"/>
          <cell r="AV1684"/>
          <cell r="AW1684"/>
          <cell r="AX1684"/>
          <cell r="AY1684"/>
          <cell r="AZ1684"/>
        </row>
        <row r="1685">
          <cell r="A1685"/>
          <cell r="B1685"/>
          <cell r="C1685"/>
          <cell r="D1685"/>
          <cell r="E1685"/>
          <cell r="F1685"/>
          <cell r="G1685"/>
          <cell r="H1685"/>
          <cell r="I1685"/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/>
          <cell r="AS1685"/>
          <cell r="AT1685"/>
          <cell r="AU1685"/>
          <cell r="AV1685"/>
          <cell r="AW1685"/>
          <cell r="AX1685"/>
          <cell r="AY1685"/>
          <cell r="AZ1685"/>
        </row>
        <row r="1686">
          <cell r="A1686"/>
          <cell r="B1686"/>
          <cell r="C1686"/>
          <cell r="D1686"/>
          <cell r="E1686"/>
          <cell r="F1686"/>
          <cell r="G1686"/>
          <cell r="H1686"/>
          <cell r="I1686"/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/>
          <cell r="AS1686"/>
          <cell r="AT1686"/>
          <cell r="AU1686"/>
          <cell r="AV1686"/>
          <cell r="AW1686"/>
          <cell r="AX1686"/>
          <cell r="AY1686"/>
          <cell r="AZ1686"/>
        </row>
        <row r="1687">
          <cell r="A1687"/>
          <cell r="B1687"/>
          <cell r="C1687"/>
          <cell r="D1687"/>
          <cell r="E1687"/>
          <cell r="F1687"/>
          <cell r="G1687"/>
          <cell r="H1687"/>
          <cell r="I1687"/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/>
          <cell r="AS1687"/>
          <cell r="AT1687"/>
          <cell r="AU1687"/>
          <cell r="AV1687"/>
          <cell r="AW1687"/>
          <cell r="AX1687"/>
          <cell r="AY1687"/>
          <cell r="AZ1687"/>
        </row>
        <row r="1688">
          <cell r="A1688"/>
          <cell r="B1688"/>
          <cell r="C1688"/>
          <cell r="D1688"/>
          <cell r="E1688"/>
          <cell r="F1688"/>
          <cell r="G1688"/>
          <cell r="H1688"/>
          <cell r="I1688"/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/>
          <cell r="AS1688"/>
          <cell r="AT1688"/>
          <cell r="AU1688"/>
          <cell r="AV1688"/>
          <cell r="AW1688"/>
          <cell r="AX1688"/>
          <cell r="AY1688"/>
          <cell r="AZ1688"/>
        </row>
        <row r="1689">
          <cell r="A1689"/>
          <cell r="B1689"/>
          <cell r="C1689"/>
          <cell r="D1689"/>
          <cell r="E1689"/>
          <cell r="F1689"/>
          <cell r="G1689"/>
          <cell r="H1689"/>
          <cell r="I1689"/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/>
          <cell r="AS1689"/>
          <cell r="AT1689"/>
          <cell r="AU1689"/>
          <cell r="AV1689"/>
          <cell r="AW1689"/>
          <cell r="AX1689"/>
          <cell r="AY1689"/>
          <cell r="AZ1689"/>
        </row>
        <row r="1690">
          <cell r="A1690"/>
          <cell r="B1690"/>
          <cell r="C1690"/>
          <cell r="D1690"/>
          <cell r="E1690"/>
          <cell r="F1690"/>
          <cell r="G1690"/>
          <cell r="H1690"/>
          <cell r="I1690"/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/>
          <cell r="AS1690"/>
          <cell r="AT1690"/>
          <cell r="AU1690"/>
          <cell r="AV1690"/>
          <cell r="AW1690"/>
          <cell r="AX1690"/>
          <cell r="AY1690"/>
          <cell r="AZ1690"/>
        </row>
        <row r="1691">
          <cell r="A1691"/>
          <cell r="B1691"/>
          <cell r="C1691"/>
          <cell r="D1691"/>
          <cell r="E1691"/>
          <cell r="F1691"/>
          <cell r="G1691"/>
          <cell r="H1691"/>
          <cell r="I1691"/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/>
          <cell r="AS1691"/>
          <cell r="AT1691"/>
          <cell r="AU1691"/>
          <cell r="AV1691"/>
          <cell r="AW1691"/>
          <cell r="AX1691"/>
          <cell r="AY1691"/>
          <cell r="AZ1691"/>
        </row>
        <row r="1692">
          <cell r="A1692"/>
          <cell r="B1692"/>
          <cell r="C1692"/>
          <cell r="D1692"/>
          <cell r="E1692"/>
          <cell r="F1692"/>
          <cell r="G1692"/>
          <cell r="H1692"/>
          <cell r="I1692"/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/>
          <cell r="AS1692"/>
          <cell r="AT1692"/>
          <cell r="AU1692"/>
          <cell r="AV1692"/>
          <cell r="AW1692"/>
          <cell r="AX1692"/>
          <cell r="AY1692"/>
          <cell r="AZ1692"/>
        </row>
        <row r="1693">
          <cell r="A1693"/>
          <cell r="B1693"/>
          <cell r="C1693"/>
          <cell r="D1693"/>
          <cell r="E1693"/>
          <cell r="F1693"/>
          <cell r="G1693"/>
          <cell r="H1693"/>
          <cell r="I1693"/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/>
          <cell r="AS1693"/>
          <cell r="AT1693"/>
          <cell r="AU1693"/>
          <cell r="AV1693"/>
          <cell r="AW1693"/>
          <cell r="AX1693"/>
          <cell r="AY1693"/>
          <cell r="AZ1693"/>
        </row>
        <row r="1694">
          <cell r="A1694"/>
          <cell r="B1694"/>
          <cell r="C1694"/>
          <cell r="D1694"/>
          <cell r="E1694"/>
          <cell r="F1694"/>
          <cell r="G1694"/>
          <cell r="H1694"/>
          <cell r="I1694"/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/>
          <cell r="AS1694"/>
          <cell r="AT1694"/>
          <cell r="AU1694"/>
          <cell r="AV1694"/>
          <cell r="AW1694"/>
          <cell r="AX1694"/>
          <cell r="AY1694"/>
          <cell r="AZ1694"/>
        </row>
        <row r="1695">
          <cell r="A1695"/>
          <cell r="B1695"/>
          <cell r="C1695"/>
          <cell r="D1695"/>
          <cell r="E1695"/>
          <cell r="F1695"/>
          <cell r="G1695"/>
          <cell r="H1695"/>
          <cell r="I1695"/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/>
          <cell r="AS1695"/>
          <cell r="AT1695"/>
          <cell r="AU1695"/>
          <cell r="AV1695"/>
          <cell r="AW1695"/>
          <cell r="AX1695"/>
          <cell r="AY1695"/>
          <cell r="AZ1695"/>
        </row>
        <row r="1696">
          <cell r="A1696"/>
          <cell r="B1696"/>
          <cell r="C1696"/>
          <cell r="D1696"/>
          <cell r="E1696"/>
          <cell r="F1696"/>
          <cell r="G1696"/>
          <cell r="H1696"/>
          <cell r="I1696"/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/>
          <cell r="AS1696"/>
          <cell r="AT1696"/>
          <cell r="AU1696"/>
          <cell r="AV1696"/>
          <cell r="AW1696"/>
          <cell r="AX1696"/>
          <cell r="AY1696"/>
          <cell r="AZ1696"/>
        </row>
        <row r="1697">
          <cell r="A1697"/>
          <cell r="B1697"/>
          <cell r="C1697"/>
          <cell r="D1697"/>
          <cell r="E1697"/>
          <cell r="F1697"/>
          <cell r="G1697"/>
          <cell r="H1697"/>
          <cell r="I1697"/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/>
          <cell r="AS1697"/>
          <cell r="AT1697"/>
          <cell r="AU1697"/>
          <cell r="AV1697"/>
          <cell r="AW1697"/>
          <cell r="AX1697"/>
          <cell r="AY1697"/>
          <cell r="AZ1697"/>
        </row>
        <row r="1698">
          <cell r="A1698"/>
          <cell r="B1698"/>
          <cell r="C1698"/>
          <cell r="D1698"/>
          <cell r="E1698"/>
          <cell r="F1698"/>
          <cell r="G1698"/>
          <cell r="H1698"/>
          <cell r="I1698"/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/>
          <cell r="AS1698"/>
          <cell r="AT1698"/>
          <cell r="AU1698"/>
          <cell r="AV1698"/>
          <cell r="AW1698"/>
          <cell r="AX1698"/>
          <cell r="AY1698"/>
          <cell r="AZ1698"/>
        </row>
        <row r="1699">
          <cell r="A1699"/>
          <cell r="B1699"/>
          <cell r="C1699"/>
          <cell r="D1699"/>
          <cell r="E1699"/>
          <cell r="F1699"/>
          <cell r="G1699"/>
          <cell r="H1699"/>
          <cell r="I1699"/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/>
          <cell r="AS1699"/>
          <cell r="AT1699"/>
          <cell r="AU1699"/>
          <cell r="AV1699"/>
          <cell r="AW1699"/>
          <cell r="AX1699"/>
          <cell r="AY1699"/>
          <cell r="AZ1699"/>
        </row>
        <row r="1700">
          <cell r="A1700"/>
          <cell r="B1700"/>
          <cell r="C1700"/>
          <cell r="D1700"/>
          <cell r="E1700"/>
          <cell r="F1700"/>
          <cell r="G1700"/>
          <cell r="H1700"/>
          <cell r="I1700"/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/>
          <cell r="AS1700"/>
          <cell r="AT1700"/>
          <cell r="AU1700"/>
          <cell r="AV1700"/>
          <cell r="AW1700"/>
          <cell r="AX1700"/>
          <cell r="AY1700"/>
          <cell r="AZ1700"/>
        </row>
        <row r="1701">
          <cell r="A1701"/>
          <cell r="B1701"/>
          <cell r="C1701"/>
          <cell r="D1701"/>
          <cell r="E1701"/>
          <cell r="F1701"/>
          <cell r="G1701"/>
          <cell r="H1701"/>
          <cell r="I1701"/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/>
          <cell r="AS1701"/>
          <cell r="AT1701"/>
          <cell r="AU1701"/>
          <cell r="AV1701"/>
          <cell r="AW1701"/>
          <cell r="AX1701"/>
          <cell r="AY1701"/>
          <cell r="AZ1701"/>
        </row>
        <row r="1702">
          <cell r="A1702"/>
          <cell r="B1702"/>
          <cell r="C1702"/>
          <cell r="D1702"/>
          <cell r="E1702"/>
          <cell r="F1702"/>
          <cell r="G1702"/>
          <cell r="H1702"/>
          <cell r="I1702"/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/>
          <cell r="AS1702"/>
          <cell r="AT1702"/>
          <cell r="AU1702"/>
          <cell r="AV1702"/>
          <cell r="AW1702"/>
          <cell r="AX1702"/>
          <cell r="AY1702"/>
          <cell r="AZ1702"/>
        </row>
        <row r="1703">
          <cell r="A1703"/>
          <cell r="B1703"/>
          <cell r="C1703"/>
          <cell r="D1703"/>
          <cell r="E1703"/>
          <cell r="F1703"/>
          <cell r="G1703"/>
          <cell r="H1703"/>
          <cell r="I1703"/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/>
          <cell r="AS1703"/>
          <cell r="AT1703"/>
          <cell r="AU1703"/>
          <cell r="AV1703"/>
          <cell r="AW1703"/>
          <cell r="AX1703"/>
          <cell r="AY1703"/>
          <cell r="AZ1703"/>
        </row>
        <row r="1704">
          <cell r="A1704"/>
          <cell r="B1704"/>
          <cell r="C1704"/>
          <cell r="D1704"/>
          <cell r="E1704"/>
          <cell r="F1704"/>
          <cell r="G1704"/>
          <cell r="H1704"/>
          <cell r="I1704"/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/>
          <cell r="AS1704"/>
          <cell r="AT1704"/>
          <cell r="AU1704"/>
          <cell r="AV1704"/>
          <cell r="AW1704"/>
          <cell r="AX1704"/>
          <cell r="AY1704"/>
          <cell r="AZ1704"/>
        </row>
        <row r="1705">
          <cell r="A1705"/>
          <cell r="B1705"/>
          <cell r="C1705"/>
          <cell r="D1705"/>
          <cell r="E1705"/>
          <cell r="F1705"/>
          <cell r="G1705"/>
          <cell r="H1705"/>
          <cell r="I1705"/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/>
          <cell r="AS1705"/>
          <cell r="AT1705"/>
          <cell r="AU1705"/>
          <cell r="AV1705"/>
          <cell r="AW1705"/>
          <cell r="AX1705"/>
          <cell r="AY1705"/>
          <cell r="AZ1705"/>
        </row>
        <row r="1706">
          <cell r="A1706"/>
          <cell r="B1706"/>
          <cell r="C1706"/>
          <cell r="D1706"/>
          <cell r="E1706"/>
          <cell r="F1706"/>
          <cell r="G1706"/>
          <cell r="H1706"/>
          <cell r="I1706"/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/>
          <cell r="AS1706"/>
          <cell r="AT1706"/>
          <cell r="AU1706"/>
          <cell r="AV1706"/>
          <cell r="AW1706"/>
          <cell r="AX1706"/>
          <cell r="AY1706"/>
          <cell r="AZ1706"/>
        </row>
        <row r="1707">
          <cell r="A1707"/>
          <cell r="B1707"/>
          <cell r="C1707"/>
          <cell r="D1707"/>
          <cell r="E1707"/>
          <cell r="F1707"/>
          <cell r="G1707"/>
          <cell r="H1707"/>
          <cell r="I1707"/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/>
          <cell r="AS1707"/>
          <cell r="AT1707"/>
          <cell r="AU1707"/>
          <cell r="AV1707"/>
          <cell r="AW1707"/>
          <cell r="AX1707"/>
          <cell r="AY1707"/>
          <cell r="AZ1707"/>
        </row>
        <row r="1708">
          <cell r="A1708"/>
          <cell r="B1708"/>
          <cell r="C1708"/>
          <cell r="D1708"/>
          <cell r="E1708"/>
          <cell r="F1708"/>
          <cell r="G1708"/>
          <cell r="H1708"/>
          <cell r="I1708"/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/>
          <cell r="AS1708"/>
          <cell r="AT1708"/>
          <cell r="AU1708"/>
          <cell r="AV1708"/>
          <cell r="AW1708"/>
          <cell r="AX1708"/>
          <cell r="AY1708"/>
          <cell r="AZ1708"/>
        </row>
        <row r="1709">
          <cell r="A1709"/>
          <cell r="B1709"/>
          <cell r="C1709"/>
          <cell r="D1709"/>
          <cell r="E1709"/>
          <cell r="F1709"/>
          <cell r="G1709"/>
          <cell r="H1709"/>
          <cell r="I1709"/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/>
          <cell r="AS1709"/>
          <cell r="AT1709"/>
          <cell r="AU1709"/>
          <cell r="AV1709"/>
          <cell r="AW1709"/>
          <cell r="AX1709"/>
          <cell r="AY1709"/>
          <cell r="AZ1709"/>
        </row>
        <row r="1710">
          <cell r="A1710"/>
          <cell r="B1710"/>
          <cell r="C1710"/>
          <cell r="D1710"/>
          <cell r="E1710"/>
          <cell r="F1710"/>
          <cell r="G1710"/>
          <cell r="H1710"/>
          <cell r="I1710"/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/>
          <cell r="AS1710"/>
          <cell r="AT1710"/>
          <cell r="AU1710"/>
          <cell r="AV1710"/>
          <cell r="AW1710"/>
          <cell r="AX1710"/>
          <cell r="AY1710"/>
          <cell r="AZ1710"/>
        </row>
        <row r="1711">
          <cell r="A1711"/>
          <cell r="B1711"/>
          <cell r="C1711"/>
          <cell r="D1711"/>
          <cell r="E1711"/>
          <cell r="F1711"/>
          <cell r="G1711"/>
          <cell r="H1711"/>
          <cell r="I1711"/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/>
          <cell r="AS1711"/>
          <cell r="AT1711"/>
          <cell r="AU1711"/>
          <cell r="AV1711"/>
          <cell r="AW1711"/>
          <cell r="AX1711"/>
          <cell r="AY1711"/>
          <cell r="AZ1711"/>
        </row>
        <row r="1712">
          <cell r="A1712"/>
          <cell r="B1712"/>
          <cell r="C1712"/>
          <cell r="D1712"/>
          <cell r="E1712"/>
          <cell r="F1712"/>
          <cell r="G1712"/>
          <cell r="H1712"/>
          <cell r="I1712"/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/>
          <cell r="AS1712"/>
          <cell r="AT1712"/>
          <cell r="AU1712"/>
          <cell r="AV1712"/>
          <cell r="AW1712"/>
          <cell r="AX1712"/>
          <cell r="AY1712"/>
          <cell r="AZ1712"/>
        </row>
        <row r="1713">
          <cell r="A1713"/>
          <cell r="B1713"/>
          <cell r="C1713"/>
          <cell r="D1713"/>
          <cell r="E1713"/>
          <cell r="F1713"/>
          <cell r="G1713"/>
          <cell r="H1713"/>
          <cell r="I1713"/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/>
          <cell r="AS1713"/>
          <cell r="AT1713"/>
          <cell r="AU1713"/>
          <cell r="AV1713"/>
          <cell r="AW1713"/>
          <cell r="AX1713"/>
          <cell r="AY1713"/>
          <cell r="AZ1713"/>
        </row>
        <row r="1714">
          <cell r="A1714"/>
          <cell r="B1714"/>
          <cell r="C1714"/>
          <cell r="D1714"/>
          <cell r="E1714"/>
          <cell r="F1714"/>
          <cell r="G1714"/>
          <cell r="H1714"/>
          <cell r="I1714"/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/>
          <cell r="AS1714"/>
          <cell r="AT1714"/>
          <cell r="AU1714"/>
          <cell r="AV1714"/>
          <cell r="AW1714"/>
          <cell r="AX1714"/>
          <cell r="AY1714"/>
          <cell r="AZ1714"/>
        </row>
        <row r="1715">
          <cell r="A1715"/>
          <cell r="B1715"/>
          <cell r="C1715"/>
          <cell r="D1715"/>
          <cell r="E1715"/>
          <cell r="F1715"/>
          <cell r="G1715"/>
          <cell r="H1715"/>
          <cell r="I1715"/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/>
          <cell r="AS1715"/>
          <cell r="AT1715"/>
          <cell r="AU1715"/>
          <cell r="AV1715"/>
          <cell r="AW1715"/>
          <cell r="AX1715"/>
          <cell r="AY1715"/>
          <cell r="AZ1715"/>
        </row>
        <row r="1716">
          <cell r="A1716"/>
          <cell r="B1716"/>
          <cell r="C1716"/>
          <cell r="D1716"/>
          <cell r="E1716"/>
          <cell r="F1716"/>
          <cell r="G1716"/>
          <cell r="H1716"/>
          <cell r="I1716"/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/>
          <cell r="AS1716"/>
          <cell r="AT1716"/>
          <cell r="AU1716"/>
          <cell r="AV1716"/>
          <cell r="AW1716"/>
          <cell r="AX1716"/>
          <cell r="AY1716"/>
          <cell r="AZ1716"/>
        </row>
        <row r="1717">
          <cell r="A1717"/>
          <cell r="B1717"/>
          <cell r="C1717"/>
          <cell r="D1717"/>
          <cell r="E1717"/>
          <cell r="F1717"/>
          <cell r="G1717"/>
          <cell r="H1717"/>
          <cell r="I1717"/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/>
          <cell r="AS1717"/>
          <cell r="AT1717"/>
          <cell r="AU1717"/>
          <cell r="AV1717"/>
          <cell r="AW1717"/>
          <cell r="AX1717"/>
          <cell r="AY1717"/>
          <cell r="AZ1717"/>
        </row>
        <row r="1718">
          <cell r="A1718"/>
          <cell r="B1718"/>
          <cell r="C1718"/>
          <cell r="D1718"/>
          <cell r="E1718"/>
          <cell r="F1718"/>
          <cell r="G1718"/>
          <cell r="H1718"/>
          <cell r="I1718"/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/>
          <cell r="AS1718"/>
          <cell r="AT1718"/>
          <cell r="AU1718"/>
          <cell r="AV1718"/>
          <cell r="AW1718"/>
          <cell r="AX1718"/>
          <cell r="AY1718"/>
          <cell r="AZ1718"/>
        </row>
        <row r="1719">
          <cell r="A1719"/>
          <cell r="B1719"/>
          <cell r="C1719"/>
          <cell r="D1719"/>
          <cell r="E1719"/>
          <cell r="F1719"/>
          <cell r="G1719"/>
          <cell r="H1719"/>
          <cell r="I1719"/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/>
          <cell r="AS1719"/>
          <cell r="AT1719"/>
          <cell r="AU1719"/>
          <cell r="AV1719"/>
          <cell r="AW1719"/>
          <cell r="AX1719"/>
          <cell r="AY1719"/>
          <cell r="AZ1719"/>
        </row>
        <row r="1720">
          <cell r="A1720"/>
          <cell r="B1720"/>
          <cell r="C1720"/>
          <cell r="D1720"/>
          <cell r="E1720"/>
          <cell r="F1720"/>
          <cell r="G1720"/>
          <cell r="H1720"/>
          <cell r="I1720"/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/>
          <cell r="AS1720"/>
          <cell r="AT1720"/>
          <cell r="AU1720"/>
          <cell r="AV1720"/>
          <cell r="AW1720"/>
          <cell r="AX1720"/>
          <cell r="AY1720"/>
          <cell r="AZ1720"/>
        </row>
        <row r="1721">
          <cell r="A1721"/>
          <cell r="B1721"/>
          <cell r="C1721"/>
          <cell r="D1721"/>
          <cell r="E1721"/>
          <cell r="F1721"/>
          <cell r="G1721"/>
          <cell r="H1721"/>
          <cell r="I1721"/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/>
          <cell r="AS1721"/>
          <cell r="AT1721"/>
          <cell r="AU1721"/>
          <cell r="AV1721"/>
          <cell r="AW1721"/>
          <cell r="AX1721"/>
          <cell r="AY1721"/>
          <cell r="AZ1721"/>
        </row>
        <row r="1722">
          <cell r="A1722"/>
          <cell r="B1722"/>
          <cell r="C1722"/>
          <cell r="D1722"/>
          <cell r="E1722"/>
          <cell r="F1722"/>
          <cell r="G1722"/>
          <cell r="H1722"/>
          <cell r="I1722"/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/>
          <cell r="AS1722"/>
          <cell r="AT1722"/>
          <cell r="AU1722"/>
          <cell r="AV1722"/>
          <cell r="AW1722"/>
          <cell r="AX1722"/>
          <cell r="AY1722"/>
          <cell r="AZ1722"/>
        </row>
        <row r="1723">
          <cell r="A1723"/>
          <cell r="B1723"/>
          <cell r="C1723"/>
          <cell r="D1723"/>
          <cell r="E1723"/>
          <cell r="F1723"/>
          <cell r="G1723"/>
          <cell r="H1723"/>
          <cell r="I1723"/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/>
          <cell r="AS1723"/>
          <cell r="AT1723"/>
          <cell r="AU1723"/>
          <cell r="AV1723"/>
          <cell r="AW1723"/>
          <cell r="AX1723"/>
          <cell r="AY1723"/>
          <cell r="AZ1723"/>
        </row>
        <row r="1724">
          <cell r="A1724"/>
          <cell r="B1724"/>
          <cell r="C1724"/>
          <cell r="D1724"/>
          <cell r="E1724"/>
          <cell r="F1724"/>
          <cell r="G1724"/>
          <cell r="H1724"/>
          <cell r="I1724"/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/>
          <cell r="AS1724"/>
          <cell r="AT1724"/>
          <cell r="AU1724"/>
          <cell r="AV1724"/>
          <cell r="AW1724"/>
          <cell r="AX1724"/>
          <cell r="AY1724"/>
          <cell r="AZ1724"/>
        </row>
        <row r="1725">
          <cell r="A1725"/>
          <cell r="B1725"/>
          <cell r="C1725"/>
          <cell r="D1725"/>
          <cell r="E1725"/>
          <cell r="F1725"/>
          <cell r="G1725"/>
          <cell r="H1725"/>
          <cell r="I1725"/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/>
          <cell r="AS1725"/>
          <cell r="AT1725"/>
          <cell r="AU1725"/>
          <cell r="AV1725"/>
          <cell r="AW1725"/>
          <cell r="AX1725"/>
          <cell r="AY1725"/>
          <cell r="AZ1725"/>
        </row>
        <row r="1726">
          <cell r="A1726"/>
          <cell r="B1726"/>
          <cell r="C1726"/>
          <cell r="D1726"/>
          <cell r="E1726"/>
          <cell r="F1726"/>
          <cell r="G1726"/>
          <cell r="H1726"/>
          <cell r="I1726"/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/>
          <cell r="AS1726"/>
          <cell r="AT1726"/>
          <cell r="AU1726"/>
          <cell r="AV1726"/>
          <cell r="AW1726"/>
          <cell r="AX1726"/>
          <cell r="AY1726"/>
          <cell r="AZ1726"/>
        </row>
        <row r="1727">
          <cell r="A1727"/>
          <cell r="B1727"/>
          <cell r="C1727"/>
          <cell r="D1727"/>
          <cell r="E1727"/>
          <cell r="F1727"/>
          <cell r="G1727"/>
          <cell r="H1727"/>
          <cell r="I1727"/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/>
          <cell r="AS1727"/>
          <cell r="AT1727"/>
          <cell r="AU1727"/>
          <cell r="AV1727"/>
          <cell r="AW1727"/>
          <cell r="AX1727"/>
          <cell r="AY1727"/>
          <cell r="AZ1727"/>
        </row>
        <row r="1728">
          <cell r="A1728"/>
          <cell r="B1728"/>
          <cell r="C1728"/>
          <cell r="D1728"/>
          <cell r="E1728"/>
          <cell r="F1728"/>
          <cell r="G1728"/>
          <cell r="H1728"/>
          <cell r="I1728"/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/>
          <cell r="AS1728"/>
          <cell r="AT1728"/>
          <cell r="AU1728"/>
          <cell r="AV1728"/>
          <cell r="AW1728"/>
          <cell r="AX1728"/>
          <cell r="AY1728"/>
          <cell r="AZ1728"/>
        </row>
        <row r="1729">
          <cell r="A1729"/>
          <cell r="B1729"/>
          <cell r="C1729"/>
          <cell r="D1729"/>
          <cell r="E1729"/>
          <cell r="F1729"/>
          <cell r="G1729"/>
          <cell r="H1729"/>
          <cell r="I1729"/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/>
          <cell r="AS1729"/>
          <cell r="AT1729"/>
          <cell r="AU1729"/>
          <cell r="AV1729"/>
          <cell r="AW1729"/>
          <cell r="AX1729"/>
          <cell r="AY1729"/>
          <cell r="AZ1729"/>
        </row>
        <row r="1730">
          <cell r="A1730"/>
          <cell r="B1730"/>
          <cell r="C1730"/>
          <cell r="D1730"/>
          <cell r="E1730"/>
          <cell r="F1730"/>
          <cell r="G1730"/>
          <cell r="H1730"/>
          <cell r="I1730"/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/>
          <cell r="AS1730"/>
          <cell r="AT1730"/>
          <cell r="AU1730"/>
          <cell r="AV1730"/>
          <cell r="AW1730"/>
          <cell r="AX1730"/>
          <cell r="AY1730"/>
          <cell r="AZ1730"/>
        </row>
        <row r="1731">
          <cell r="A1731"/>
          <cell r="B1731"/>
          <cell r="C1731"/>
          <cell r="D1731"/>
          <cell r="E1731"/>
          <cell r="F1731"/>
          <cell r="G1731"/>
          <cell r="H1731"/>
          <cell r="I1731"/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/>
          <cell r="AS1731"/>
          <cell r="AT1731"/>
          <cell r="AU1731"/>
          <cell r="AV1731"/>
          <cell r="AW1731"/>
          <cell r="AX1731"/>
          <cell r="AY1731"/>
          <cell r="AZ1731"/>
        </row>
        <row r="1732">
          <cell r="A1732"/>
          <cell r="B1732"/>
          <cell r="C1732"/>
          <cell r="D1732"/>
          <cell r="E1732"/>
          <cell r="F1732"/>
          <cell r="G1732"/>
          <cell r="H1732"/>
          <cell r="I1732"/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/>
          <cell r="AS1732"/>
          <cell r="AT1732"/>
          <cell r="AU1732"/>
          <cell r="AV1732"/>
          <cell r="AW1732"/>
          <cell r="AX1732"/>
          <cell r="AY1732"/>
          <cell r="AZ1732"/>
        </row>
        <row r="1733">
          <cell r="A1733"/>
          <cell r="B1733"/>
          <cell r="C1733"/>
          <cell r="D1733"/>
          <cell r="E1733"/>
          <cell r="F1733"/>
          <cell r="G1733"/>
          <cell r="H1733"/>
          <cell r="I1733"/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/>
          <cell r="AS1733"/>
          <cell r="AT1733"/>
          <cell r="AU1733"/>
          <cell r="AV1733"/>
          <cell r="AW1733"/>
          <cell r="AX1733"/>
          <cell r="AY1733"/>
          <cell r="AZ1733"/>
        </row>
        <row r="1734">
          <cell r="A1734"/>
          <cell r="B1734"/>
          <cell r="C1734"/>
          <cell r="D1734"/>
          <cell r="E1734"/>
          <cell r="F1734"/>
          <cell r="G1734"/>
          <cell r="H1734"/>
          <cell r="I1734"/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/>
          <cell r="AS1734"/>
          <cell r="AT1734"/>
          <cell r="AU1734"/>
          <cell r="AV1734"/>
          <cell r="AW1734"/>
          <cell r="AX1734"/>
          <cell r="AY1734"/>
          <cell r="AZ1734"/>
        </row>
        <row r="1735">
          <cell r="A1735"/>
          <cell r="B1735"/>
          <cell r="C1735"/>
          <cell r="D1735"/>
          <cell r="E1735"/>
          <cell r="F1735"/>
          <cell r="G1735"/>
          <cell r="H1735"/>
          <cell r="I1735"/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/>
          <cell r="AS1735"/>
          <cell r="AT1735"/>
          <cell r="AU1735"/>
          <cell r="AV1735"/>
          <cell r="AW1735"/>
          <cell r="AX1735"/>
          <cell r="AY1735"/>
          <cell r="AZ1735"/>
        </row>
        <row r="1736">
          <cell r="A1736"/>
          <cell r="B1736"/>
          <cell r="C1736"/>
          <cell r="D1736"/>
          <cell r="E1736"/>
          <cell r="F1736"/>
          <cell r="G1736"/>
          <cell r="H1736"/>
          <cell r="I1736"/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/>
          <cell r="AS1736"/>
          <cell r="AT1736"/>
          <cell r="AU1736"/>
          <cell r="AV1736"/>
          <cell r="AW1736"/>
          <cell r="AX1736"/>
          <cell r="AY1736"/>
          <cell r="AZ1736"/>
        </row>
        <row r="1737">
          <cell r="A1737"/>
          <cell r="B1737"/>
          <cell r="C1737"/>
          <cell r="D1737"/>
          <cell r="E1737"/>
          <cell r="F1737"/>
          <cell r="G1737"/>
          <cell r="H1737"/>
          <cell r="I1737"/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/>
          <cell r="AS1737"/>
          <cell r="AT1737"/>
          <cell r="AU1737"/>
          <cell r="AV1737"/>
          <cell r="AW1737"/>
          <cell r="AX1737"/>
          <cell r="AY1737"/>
          <cell r="AZ1737"/>
        </row>
        <row r="1738">
          <cell r="A1738"/>
          <cell r="B1738"/>
          <cell r="C1738"/>
          <cell r="D1738"/>
          <cell r="E1738"/>
          <cell r="F1738"/>
          <cell r="G1738"/>
          <cell r="H1738"/>
          <cell r="I1738"/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/>
          <cell r="AS1738"/>
          <cell r="AT1738"/>
          <cell r="AU1738"/>
          <cell r="AV1738"/>
          <cell r="AW1738"/>
          <cell r="AX1738"/>
          <cell r="AY1738"/>
          <cell r="AZ1738"/>
        </row>
        <row r="1739">
          <cell r="A1739"/>
          <cell r="B1739"/>
          <cell r="C1739"/>
          <cell r="D1739"/>
          <cell r="E1739"/>
          <cell r="F1739"/>
          <cell r="G1739"/>
          <cell r="H1739"/>
          <cell r="I1739"/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/>
          <cell r="AS1739"/>
          <cell r="AT1739"/>
          <cell r="AU1739"/>
          <cell r="AV1739"/>
          <cell r="AW1739"/>
          <cell r="AX1739"/>
          <cell r="AY1739"/>
          <cell r="AZ1739"/>
        </row>
        <row r="1740">
          <cell r="A1740"/>
          <cell r="B1740"/>
          <cell r="C1740"/>
          <cell r="D1740"/>
          <cell r="E1740"/>
          <cell r="F1740"/>
          <cell r="G1740"/>
          <cell r="H1740"/>
          <cell r="I1740"/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/>
          <cell r="AS1740"/>
          <cell r="AT1740"/>
          <cell r="AU1740"/>
          <cell r="AV1740"/>
          <cell r="AW1740"/>
          <cell r="AX1740"/>
          <cell r="AY1740"/>
          <cell r="AZ1740"/>
        </row>
        <row r="1741">
          <cell r="A1741"/>
          <cell r="B1741"/>
          <cell r="C1741"/>
          <cell r="D1741"/>
          <cell r="E1741"/>
          <cell r="F1741"/>
          <cell r="G1741"/>
          <cell r="H1741"/>
          <cell r="I1741"/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/>
          <cell r="AS1741"/>
          <cell r="AT1741"/>
          <cell r="AU1741"/>
          <cell r="AV1741"/>
          <cell r="AW1741"/>
          <cell r="AX1741"/>
          <cell r="AY1741"/>
          <cell r="AZ1741"/>
        </row>
        <row r="1742">
          <cell r="A1742"/>
          <cell r="B1742"/>
          <cell r="C1742"/>
          <cell r="D1742"/>
          <cell r="E1742"/>
          <cell r="F1742"/>
          <cell r="G1742"/>
          <cell r="H1742"/>
          <cell r="I1742"/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/>
          <cell r="AS1742"/>
          <cell r="AT1742"/>
          <cell r="AU1742"/>
          <cell r="AV1742"/>
          <cell r="AW1742"/>
          <cell r="AX1742"/>
          <cell r="AY1742"/>
          <cell r="AZ1742"/>
        </row>
        <row r="1743">
          <cell r="A1743"/>
          <cell r="B1743"/>
          <cell r="C1743"/>
          <cell r="D1743"/>
          <cell r="E1743"/>
          <cell r="F1743"/>
          <cell r="G1743"/>
          <cell r="H1743"/>
          <cell r="I1743"/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/>
          <cell r="AS1743"/>
          <cell r="AT1743"/>
          <cell r="AU1743"/>
          <cell r="AV1743"/>
          <cell r="AW1743"/>
          <cell r="AX1743"/>
          <cell r="AY1743"/>
          <cell r="AZ1743"/>
        </row>
        <row r="1744">
          <cell r="A1744"/>
          <cell r="B1744"/>
          <cell r="C1744"/>
          <cell r="D1744"/>
          <cell r="E1744"/>
          <cell r="F1744"/>
          <cell r="G1744"/>
          <cell r="H1744"/>
          <cell r="I1744"/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/>
          <cell r="AS1744"/>
          <cell r="AT1744"/>
          <cell r="AU1744"/>
          <cell r="AV1744"/>
          <cell r="AW1744"/>
          <cell r="AX1744"/>
          <cell r="AY1744"/>
          <cell r="AZ1744"/>
        </row>
        <row r="1745">
          <cell r="A1745"/>
          <cell r="B1745"/>
          <cell r="C1745"/>
          <cell r="D1745"/>
          <cell r="E1745"/>
          <cell r="F1745"/>
          <cell r="G1745"/>
          <cell r="H1745"/>
          <cell r="I1745"/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/>
          <cell r="AS1745"/>
          <cell r="AT1745"/>
          <cell r="AU1745"/>
          <cell r="AV1745"/>
          <cell r="AW1745"/>
          <cell r="AX1745"/>
          <cell r="AY1745"/>
          <cell r="AZ1745"/>
        </row>
        <row r="1746">
          <cell r="A1746"/>
          <cell r="B1746"/>
          <cell r="C1746"/>
          <cell r="D1746"/>
          <cell r="E1746"/>
          <cell r="F1746"/>
          <cell r="G1746"/>
          <cell r="H1746"/>
          <cell r="I1746"/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/>
          <cell r="AS1746"/>
          <cell r="AT1746"/>
          <cell r="AU1746"/>
          <cell r="AV1746"/>
          <cell r="AW1746"/>
          <cell r="AX1746"/>
          <cell r="AY1746"/>
          <cell r="AZ1746"/>
        </row>
        <row r="1747">
          <cell r="A1747"/>
          <cell r="B1747"/>
          <cell r="C1747"/>
          <cell r="D1747"/>
          <cell r="E1747"/>
          <cell r="F1747"/>
          <cell r="G1747"/>
          <cell r="H1747"/>
          <cell r="I1747"/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/>
          <cell r="AS1747"/>
          <cell r="AT1747"/>
          <cell r="AU1747"/>
          <cell r="AV1747"/>
          <cell r="AW1747"/>
          <cell r="AX1747"/>
          <cell r="AY1747"/>
          <cell r="AZ1747"/>
        </row>
        <row r="1748">
          <cell r="A1748"/>
          <cell r="B1748"/>
          <cell r="C1748"/>
          <cell r="D1748"/>
          <cell r="E1748"/>
          <cell r="F1748"/>
          <cell r="G1748"/>
          <cell r="H1748"/>
          <cell r="I1748"/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/>
          <cell r="AS1748"/>
          <cell r="AT1748"/>
          <cell r="AU1748"/>
          <cell r="AV1748"/>
          <cell r="AW1748"/>
          <cell r="AX1748"/>
          <cell r="AY1748"/>
          <cell r="AZ1748"/>
        </row>
        <row r="1749">
          <cell r="A1749"/>
          <cell r="B1749"/>
          <cell r="C1749"/>
          <cell r="D1749"/>
          <cell r="E1749"/>
          <cell r="F1749"/>
          <cell r="G1749"/>
          <cell r="H1749"/>
          <cell r="I1749"/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/>
          <cell r="AS1749"/>
          <cell r="AT1749"/>
          <cell r="AU1749"/>
          <cell r="AV1749"/>
          <cell r="AW1749"/>
          <cell r="AX1749"/>
          <cell r="AY1749"/>
          <cell r="AZ1749"/>
        </row>
        <row r="1750">
          <cell r="A1750"/>
          <cell r="B1750"/>
          <cell r="C1750"/>
          <cell r="D1750"/>
          <cell r="E1750"/>
          <cell r="F1750"/>
          <cell r="G1750"/>
          <cell r="H1750"/>
          <cell r="I1750"/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/>
          <cell r="AS1750"/>
          <cell r="AT1750"/>
          <cell r="AU1750"/>
          <cell r="AV1750"/>
          <cell r="AW1750"/>
          <cell r="AX1750"/>
          <cell r="AY1750"/>
          <cell r="AZ1750"/>
        </row>
        <row r="1751">
          <cell r="A1751"/>
          <cell r="B1751"/>
          <cell r="C1751"/>
          <cell r="D1751"/>
          <cell r="E1751"/>
          <cell r="F1751"/>
          <cell r="G1751"/>
          <cell r="H1751"/>
          <cell r="I1751"/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/>
          <cell r="AS1751"/>
          <cell r="AT1751"/>
          <cell r="AU1751"/>
          <cell r="AV1751"/>
          <cell r="AW1751"/>
          <cell r="AX1751"/>
          <cell r="AY1751"/>
          <cell r="AZ1751"/>
        </row>
        <row r="1752">
          <cell r="A1752"/>
          <cell r="B1752"/>
          <cell r="C1752"/>
          <cell r="D1752"/>
          <cell r="E1752"/>
          <cell r="F1752"/>
          <cell r="G1752"/>
          <cell r="H1752"/>
          <cell r="I1752"/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/>
          <cell r="AS1752"/>
          <cell r="AT1752"/>
          <cell r="AU1752"/>
          <cell r="AV1752"/>
          <cell r="AW1752"/>
          <cell r="AX1752"/>
          <cell r="AY1752"/>
          <cell r="AZ1752"/>
        </row>
        <row r="1753">
          <cell r="A1753"/>
          <cell r="B1753"/>
          <cell r="C1753"/>
          <cell r="D1753"/>
          <cell r="E1753"/>
          <cell r="F1753"/>
          <cell r="G1753"/>
          <cell r="H1753"/>
          <cell r="I1753"/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/>
          <cell r="AS1753"/>
          <cell r="AT1753"/>
          <cell r="AU1753"/>
          <cell r="AV1753"/>
          <cell r="AW1753"/>
          <cell r="AX1753"/>
          <cell r="AY1753"/>
          <cell r="AZ1753"/>
        </row>
        <row r="1754">
          <cell r="A1754"/>
          <cell r="B1754"/>
          <cell r="C1754"/>
          <cell r="D1754"/>
          <cell r="E1754"/>
          <cell r="F1754"/>
          <cell r="G1754"/>
          <cell r="H1754"/>
          <cell r="I1754"/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/>
          <cell r="AS1754"/>
          <cell r="AT1754"/>
          <cell r="AU1754"/>
          <cell r="AV1754"/>
          <cell r="AW1754"/>
          <cell r="AX1754"/>
          <cell r="AY1754"/>
          <cell r="AZ1754"/>
        </row>
        <row r="1755">
          <cell r="A1755"/>
          <cell r="B1755"/>
          <cell r="C1755"/>
          <cell r="D1755"/>
          <cell r="E1755"/>
          <cell r="F1755"/>
          <cell r="G1755"/>
          <cell r="H1755"/>
          <cell r="I1755"/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/>
          <cell r="AS1755"/>
          <cell r="AT1755"/>
          <cell r="AU1755"/>
          <cell r="AV1755"/>
          <cell r="AW1755"/>
          <cell r="AX1755"/>
          <cell r="AY1755"/>
          <cell r="AZ1755"/>
        </row>
        <row r="1756">
          <cell r="A1756"/>
          <cell r="B1756"/>
          <cell r="C1756"/>
          <cell r="D1756"/>
          <cell r="E1756"/>
          <cell r="F1756"/>
          <cell r="G1756"/>
          <cell r="H1756"/>
          <cell r="I1756"/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/>
          <cell r="AS1756"/>
          <cell r="AT1756"/>
          <cell r="AU1756"/>
          <cell r="AV1756"/>
          <cell r="AW1756"/>
          <cell r="AX1756"/>
          <cell r="AY1756"/>
          <cell r="AZ1756"/>
        </row>
        <row r="1757">
          <cell r="A1757"/>
          <cell r="B1757"/>
          <cell r="C1757"/>
          <cell r="D1757"/>
          <cell r="E1757"/>
          <cell r="F1757"/>
          <cell r="G1757"/>
          <cell r="H1757"/>
          <cell r="I1757"/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/>
          <cell r="AS1757"/>
          <cell r="AT1757"/>
          <cell r="AU1757"/>
          <cell r="AV1757"/>
          <cell r="AW1757"/>
          <cell r="AX1757"/>
          <cell r="AY1757"/>
          <cell r="AZ1757"/>
        </row>
        <row r="1758">
          <cell r="A1758"/>
          <cell r="B1758"/>
          <cell r="C1758"/>
          <cell r="D1758"/>
          <cell r="E1758"/>
          <cell r="F1758"/>
          <cell r="G1758"/>
          <cell r="H1758"/>
          <cell r="I1758"/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/>
          <cell r="AS1758"/>
          <cell r="AT1758"/>
          <cell r="AU1758"/>
          <cell r="AV1758"/>
          <cell r="AW1758"/>
          <cell r="AX1758"/>
          <cell r="AY1758"/>
          <cell r="AZ1758"/>
        </row>
        <row r="1759">
          <cell r="A1759"/>
          <cell r="B1759"/>
          <cell r="C1759"/>
          <cell r="D1759"/>
          <cell r="E1759"/>
          <cell r="F1759"/>
          <cell r="G1759"/>
          <cell r="H1759"/>
          <cell r="I1759"/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/>
          <cell r="AS1759"/>
          <cell r="AT1759"/>
          <cell r="AU1759"/>
          <cell r="AV1759"/>
          <cell r="AW1759"/>
          <cell r="AX1759"/>
          <cell r="AY1759"/>
          <cell r="AZ1759"/>
        </row>
        <row r="1760">
          <cell r="A1760"/>
          <cell r="B1760"/>
          <cell r="C1760"/>
          <cell r="D1760"/>
          <cell r="E1760"/>
          <cell r="F1760"/>
          <cell r="G1760"/>
          <cell r="H1760"/>
          <cell r="I1760"/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/>
          <cell r="AS1760"/>
          <cell r="AT1760"/>
          <cell r="AU1760"/>
          <cell r="AV1760"/>
          <cell r="AW1760"/>
          <cell r="AX1760"/>
          <cell r="AY1760"/>
          <cell r="AZ1760"/>
        </row>
        <row r="1761">
          <cell r="A1761"/>
          <cell r="B1761"/>
          <cell r="C1761"/>
          <cell r="D1761"/>
          <cell r="E1761"/>
          <cell r="F1761"/>
          <cell r="G1761"/>
          <cell r="H1761"/>
          <cell r="I1761"/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/>
          <cell r="AS1761"/>
          <cell r="AT1761"/>
          <cell r="AU1761"/>
          <cell r="AV1761"/>
          <cell r="AW1761"/>
          <cell r="AX1761"/>
          <cell r="AY1761"/>
          <cell r="AZ1761"/>
        </row>
        <row r="1762">
          <cell r="A1762"/>
          <cell r="B1762"/>
          <cell r="C1762"/>
          <cell r="D1762"/>
          <cell r="E1762"/>
          <cell r="F1762"/>
          <cell r="G1762"/>
          <cell r="H1762"/>
          <cell r="I1762"/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/>
          <cell r="AS1762"/>
          <cell r="AT1762"/>
          <cell r="AU1762"/>
          <cell r="AV1762"/>
          <cell r="AW1762"/>
          <cell r="AX1762"/>
          <cell r="AY1762"/>
          <cell r="AZ1762"/>
        </row>
        <row r="1763">
          <cell r="A1763"/>
          <cell r="B1763"/>
          <cell r="C1763"/>
          <cell r="D1763"/>
          <cell r="E1763"/>
          <cell r="F1763"/>
          <cell r="G1763"/>
          <cell r="H1763"/>
          <cell r="I1763"/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/>
          <cell r="AS1763"/>
          <cell r="AT1763"/>
          <cell r="AU1763"/>
          <cell r="AV1763"/>
          <cell r="AW1763"/>
          <cell r="AX1763"/>
          <cell r="AY1763"/>
          <cell r="AZ1763"/>
        </row>
        <row r="1764">
          <cell r="A1764"/>
          <cell r="B1764"/>
          <cell r="C1764"/>
          <cell r="D1764"/>
          <cell r="E1764"/>
          <cell r="F1764"/>
          <cell r="G1764"/>
          <cell r="H1764"/>
          <cell r="I1764"/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/>
          <cell r="AS1764"/>
          <cell r="AT1764"/>
          <cell r="AU1764"/>
          <cell r="AV1764"/>
          <cell r="AW1764"/>
          <cell r="AX1764"/>
          <cell r="AY1764"/>
          <cell r="AZ1764"/>
        </row>
        <row r="1765">
          <cell r="A1765"/>
          <cell r="B1765"/>
          <cell r="C1765"/>
          <cell r="D1765"/>
          <cell r="E1765"/>
          <cell r="F1765"/>
          <cell r="G1765"/>
          <cell r="H1765"/>
          <cell r="I1765"/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/>
          <cell r="AS1765"/>
          <cell r="AT1765"/>
          <cell r="AU1765"/>
          <cell r="AV1765"/>
          <cell r="AW1765"/>
          <cell r="AX1765"/>
          <cell r="AY1765"/>
          <cell r="AZ1765"/>
        </row>
        <row r="1766">
          <cell r="A1766"/>
          <cell r="B1766"/>
          <cell r="C1766"/>
          <cell r="D1766"/>
          <cell r="E1766"/>
          <cell r="F1766"/>
          <cell r="G1766"/>
          <cell r="H1766"/>
          <cell r="I1766"/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/>
          <cell r="AS1766"/>
          <cell r="AT1766"/>
          <cell r="AU1766"/>
          <cell r="AV1766"/>
          <cell r="AW1766"/>
          <cell r="AX1766"/>
          <cell r="AY1766"/>
          <cell r="AZ1766"/>
        </row>
        <row r="1767">
          <cell r="A1767"/>
          <cell r="B1767"/>
          <cell r="C1767"/>
          <cell r="D1767"/>
          <cell r="E1767"/>
          <cell r="F1767"/>
          <cell r="G1767"/>
          <cell r="H1767"/>
          <cell r="I1767"/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/>
          <cell r="AS1767"/>
          <cell r="AT1767"/>
          <cell r="AU1767"/>
          <cell r="AV1767"/>
          <cell r="AW1767"/>
          <cell r="AX1767"/>
          <cell r="AY1767"/>
          <cell r="AZ1767"/>
        </row>
        <row r="1768">
          <cell r="A1768"/>
          <cell r="B1768"/>
          <cell r="C1768"/>
          <cell r="D1768"/>
          <cell r="E1768"/>
          <cell r="F1768"/>
          <cell r="G1768"/>
          <cell r="H1768"/>
          <cell r="I1768"/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/>
          <cell r="AS1768"/>
          <cell r="AT1768"/>
          <cell r="AU1768"/>
          <cell r="AV1768"/>
          <cell r="AW1768"/>
          <cell r="AX1768"/>
          <cell r="AY1768"/>
          <cell r="AZ1768"/>
        </row>
        <row r="1769">
          <cell r="A1769"/>
          <cell r="B1769"/>
          <cell r="C1769"/>
          <cell r="D1769"/>
          <cell r="E1769"/>
          <cell r="F1769"/>
          <cell r="G1769"/>
          <cell r="H1769"/>
          <cell r="I1769"/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/>
          <cell r="AS1769"/>
          <cell r="AT1769"/>
          <cell r="AU1769"/>
          <cell r="AV1769"/>
          <cell r="AW1769"/>
          <cell r="AX1769"/>
          <cell r="AY1769"/>
          <cell r="AZ1769"/>
        </row>
        <row r="1770">
          <cell r="A1770"/>
          <cell r="B1770"/>
          <cell r="C1770"/>
          <cell r="D1770"/>
          <cell r="E1770"/>
          <cell r="F1770"/>
          <cell r="G1770"/>
          <cell r="H1770"/>
          <cell r="I1770"/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/>
          <cell r="AS1770"/>
          <cell r="AT1770"/>
          <cell r="AU1770"/>
          <cell r="AV1770"/>
          <cell r="AW1770"/>
          <cell r="AX1770"/>
          <cell r="AY1770"/>
          <cell r="AZ1770"/>
        </row>
        <row r="1771">
          <cell r="A1771"/>
          <cell r="B1771"/>
          <cell r="C1771"/>
          <cell r="D1771"/>
          <cell r="E1771"/>
          <cell r="F1771"/>
          <cell r="G1771"/>
          <cell r="H1771"/>
          <cell r="I1771"/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/>
          <cell r="AS1771"/>
          <cell r="AT1771"/>
          <cell r="AU1771"/>
          <cell r="AV1771"/>
          <cell r="AW1771"/>
          <cell r="AX1771"/>
          <cell r="AY1771"/>
          <cell r="AZ1771"/>
        </row>
        <row r="1772">
          <cell r="A1772"/>
          <cell r="B1772"/>
          <cell r="C1772"/>
          <cell r="D1772"/>
          <cell r="E1772"/>
          <cell r="F1772"/>
          <cell r="G1772"/>
          <cell r="H1772"/>
          <cell r="I1772"/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/>
          <cell r="AS1772"/>
          <cell r="AT1772"/>
          <cell r="AU1772"/>
          <cell r="AV1772"/>
          <cell r="AW1772"/>
          <cell r="AX1772"/>
          <cell r="AY1772"/>
          <cell r="AZ1772"/>
        </row>
        <row r="1773">
          <cell r="A1773"/>
          <cell r="B1773"/>
          <cell r="C1773"/>
          <cell r="D1773"/>
          <cell r="E1773"/>
          <cell r="F1773"/>
          <cell r="G1773"/>
          <cell r="H1773"/>
          <cell r="I1773"/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/>
          <cell r="AS1773"/>
          <cell r="AT1773"/>
          <cell r="AU1773"/>
          <cell r="AV1773"/>
          <cell r="AW1773"/>
          <cell r="AX1773"/>
          <cell r="AY1773"/>
          <cell r="AZ1773"/>
        </row>
        <row r="1774">
          <cell r="A1774"/>
          <cell r="B1774"/>
          <cell r="C1774"/>
          <cell r="D1774"/>
          <cell r="E1774"/>
          <cell r="F1774"/>
          <cell r="G1774"/>
          <cell r="H1774"/>
          <cell r="I1774"/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/>
          <cell r="AS1774"/>
          <cell r="AT1774"/>
          <cell r="AU1774"/>
          <cell r="AV1774"/>
          <cell r="AW1774"/>
          <cell r="AX1774"/>
          <cell r="AY1774"/>
          <cell r="AZ1774"/>
        </row>
        <row r="1775">
          <cell r="A1775"/>
          <cell r="B1775"/>
          <cell r="C1775"/>
          <cell r="D1775"/>
          <cell r="E1775"/>
          <cell r="F1775"/>
          <cell r="G1775"/>
          <cell r="H1775"/>
          <cell r="I1775"/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/>
          <cell r="AS1775"/>
          <cell r="AT1775"/>
          <cell r="AU1775"/>
          <cell r="AV1775"/>
          <cell r="AW1775"/>
          <cell r="AX1775"/>
          <cell r="AY1775"/>
          <cell r="AZ1775"/>
        </row>
        <row r="1776">
          <cell r="A1776"/>
          <cell r="B1776"/>
          <cell r="C1776"/>
          <cell r="D1776"/>
          <cell r="E1776"/>
          <cell r="F1776"/>
          <cell r="G1776"/>
          <cell r="H1776"/>
          <cell r="I1776"/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/>
          <cell r="AS1776"/>
          <cell r="AT1776"/>
          <cell r="AU1776"/>
          <cell r="AV1776"/>
          <cell r="AW1776"/>
          <cell r="AX1776"/>
          <cell r="AY1776"/>
          <cell r="AZ1776"/>
        </row>
        <row r="1777">
          <cell r="A1777"/>
          <cell r="B1777"/>
          <cell r="C1777"/>
          <cell r="D1777"/>
          <cell r="E1777"/>
          <cell r="F1777"/>
          <cell r="G1777"/>
          <cell r="H1777"/>
          <cell r="I1777"/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/>
          <cell r="AS1777"/>
          <cell r="AT1777"/>
          <cell r="AU1777"/>
          <cell r="AV1777"/>
          <cell r="AW1777"/>
          <cell r="AX1777"/>
          <cell r="AY1777"/>
          <cell r="AZ1777"/>
        </row>
        <row r="1778">
          <cell r="A1778"/>
          <cell r="B1778"/>
          <cell r="C1778"/>
          <cell r="D1778"/>
          <cell r="E1778"/>
          <cell r="F1778"/>
          <cell r="G1778"/>
          <cell r="H1778"/>
          <cell r="I1778"/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/>
          <cell r="AS1778"/>
          <cell r="AT1778"/>
          <cell r="AU1778"/>
          <cell r="AV1778"/>
          <cell r="AW1778"/>
          <cell r="AX1778"/>
          <cell r="AY1778"/>
          <cell r="AZ1778"/>
        </row>
        <row r="1779">
          <cell r="A1779"/>
          <cell r="B1779"/>
          <cell r="C1779"/>
          <cell r="D1779"/>
          <cell r="E1779"/>
          <cell r="F1779"/>
          <cell r="G1779"/>
          <cell r="H1779"/>
          <cell r="I1779"/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/>
          <cell r="AS1779"/>
          <cell r="AT1779"/>
          <cell r="AU1779"/>
          <cell r="AV1779"/>
          <cell r="AW1779"/>
          <cell r="AX1779"/>
          <cell r="AY1779"/>
          <cell r="AZ1779"/>
        </row>
        <row r="1780">
          <cell r="A1780"/>
          <cell r="B1780"/>
          <cell r="C1780"/>
          <cell r="D1780"/>
          <cell r="E1780"/>
          <cell r="F1780"/>
          <cell r="G1780"/>
          <cell r="H1780"/>
          <cell r="I1780"/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/>
          <cell r="AS1780"/>
          <cell r="AT1780"/>
          <cell r="AU1780"/>
          <cell r="AV1780"/>
          <cell r="AW1780"/>
          <cell r="AX1780"/>
          <cell r="AY1780"/>
          <cell r="AZ1780"/>
        </row>
        <row r="1781">
          <cell r="A1781"/>
          <cell r="B1781"/>
          <cell r="C1781"/>
          <cell r="D1781"/>
          <cell r="E1781"/>
          <cell r="F1781"/>
          <cell r="G1781"/>
          <cell r="H1781"/>
          <cell r="I1781"/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/>
          <cell r="AS1781"/>
          <cell r="AT1781"/>
          <cell r="AU1781"/>
          <cell r="AV1781"/>
          <cell r="AW1781"/>
          <cell r="AX1781"/>
          <cell r="AY1781"/>
          <cell r="AZ1781"/>
        </row>
        <row r="1782">
          <cell r="A1782"/>
          <cell r="B1782"/>
          <cell r="C1782"/>
          <cell r="D1782"/>
          <cell r="E1782"/>
          <cell r="F1782"/>
          <cell r="G1782"/>
          <cell r="H1782"/>
          <cell r="I1782"/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/>
          <cell r="AS1782"/>
          <cell r="AT1782"/>
          <cell r="AU1782"/>
          <cell r="AV1782"/>
          <cell r="AW1782"/>
          <cell r="AX1782"/>
          <cell r="AY1782"/>
          <cell r="AZ1782"/>
        </row>
        <row r="1783">
          <cell r="A1783"/>
          <cell r="B1783"/>
          <cell r="C1783"/>
          <cell r="D1783"/>
          <cell r="E1783"/>
          <cell r="F1783"/>
          <cell r="G1783"/>
          <cell r="H1783"/>
          <cell r="I1783"/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/>
          <cell r="AS1783"/>
          <cell r="AT1783"/>
          <cell r="AU1783"/>
          <cell r="AV1783"/>
          <cell r="AW1783"/>
          <cell r="AX1783"/>
          <cell r="AY1783"/>
          <cell r="AZ1783"/>
        </row>
        <row r="1784">
          <cell r="A1784"/>
          <cell r="B1784"/>
          <cell r="C1784"/>
          <cell r="D1784"/>
          <cell r="E1784"/>
          <cell r="F1784"/>
          <cell r="G1784"/>
          <cell r="H1784"/>
          <cell r="I1784"/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/>
          <cell r="AS1784"/>
          <cell r="AT1784"/>
          <cell r="AU1784"/>
          <cell r="AV1784"/>
          <cell r="AW1784"/>
          <cell r="AX1784"/>
          <cell r="AY1784"/>
          <cell r="AZ1784"/>
        </row>
        <row r="1785">
          <cell r="A1785"/>
          <cell r="B1785"/>
          <cell r="C1785"/>
          <cell r="D1785"/>
          <cell r="E1785"/>
          <cell r="F1785"/>
          <cell r="G1785"/>
          <cell r="H1785"/>
          <cell r="I1785"/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/>
          <cell r="AS1785"/>
          <cell r="AT1785"/>
          <cell r="AU1785"/>
          <cell r="AV1785"/>
          <cell r="AW1785"/>
          <cell r="AX1785"/>
          <cell r="AY1785"/>
          <cell r="AZ1785"/>
        </row>
        <row r="1786">
          <cell r="A1786"/>
          <cell r="B1786"/>
          <cell r="C1786"/>
          <cell r="D1786"/>
          <cell r="E1786"/>
          <cell r="F1786"/>
          <cell r="G1786"/>
          <cell r="H1786"/>
          <cell r="I1786"/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/>
          <cell r="AS1786"/>
          <cell r="AT1786"/>
          <cell r="AU1786"/>
          <cell r="AV1786"/>
          <cell r="AW1786"/>
          <cell r="AX1786"/>
          <cell r="AY1786"/>
          <cell r="AZ1786"/>
        </row>
        <row r="1787">
          <cell r="A1787"/>
          <cell r="B1787"/>
          <cell r="C1787"/>
          <cell r="D1787"/>
          <cell r="E1787"/>
          <cell r="F1787"/>
          <cell r="G1787"/>
          <cell r="H1787"/>
          <cell r="I1787"/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/>
          <cell r="AS1787"/>
          <cell r="AT1787"/>
          <cell r="AU1787"/>
          <cell r="AV1787"/>
          <cell r="AW1787"/>
          <cell r="AX1787"/>
          <cell r="AY1787"/>
          <cell r="AZ1787"/>
        </row>
        <row r="1788">
          <cell r="A1788"/>
          <cell r="B1788"/>
          <cell r="C1788"/>
          <cell r="D1788"/>
          <cell r="E1788"/>
          <cell r="F1788"/>
          <cell r="G1788"/>
          <cell r="H1788"/>
          <cell r="I1788"/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/>
          <cell r="AS1788"/>
          <cell r="AT1788"/>
          <cell r="AU1788"/>
          <cell r="AV1788"/>
          <cell r="AW1788"/>
          <cell r="AX1788"/>
          <cell r="AY1788"/>
          <cell r="AZ1788"/>
        </row>
        <row r="1789">
          <cell r="A1789"/>
          <cell r="B1789"/>
          <cell r="C1789"/>
          <cell r="D1789"/>
          <cell r="E1789"/>
          <cell r="F1789"/>
          <cell r="G1789"/>
          <cell r="H1789"/>
          <cell r="I1789"/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/>
          <cell r="AS1789"/>
          <cell r="AT1789"/>
          <cell r="AU1789"/>
          <cell r="AV1789"/>
          <cell r="AW1789"/>
          <cell r="AX1789"/>
          <cell r="AY1789"/>
          <cell r="AZ1789"/>
        </row>
        <row r="1790">
          <cell r="A1790"/>
          <cell r="B1790"/>
          <cell r="C1790"/>
          <cell r="D1790"/>
          <cell r="E1790"/>
          <cell r="F1790"/>
          <cell r="G1790"/>
          <cell r="H1790"/>
          <cell r="I1790"/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/>
          <cell r="AS1790"/>
          <cell r="AT1790"/>
          <cell r="AU1790"/>
          <cell r="AV1790"/>
          <cell r="AW1790"/>
          <cell r="AX1790"/>
          <cell r="AY1790"/>
          <cell r="AZ1790"/>
        </row>
        <row r="1791">
          <cell r="A1791"/>
          <cell r="B1791"/>
          <cell r="C1791"/>
          <cell r="D1791"/>
          <cell r="E1791"/>
          <cell r="F1791"/>
          <cell r="G1791"/>
          <cell r="H1791"/>
          <cell r="I1791"/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/>
          <cell r="AS1791"/>
          <cell r="AT1791"/>
          <cell r="AU1791"/>
          <cell r="AV1791"/>
          <cell r="AW1791"/>
          <cell r="AX1791"/>
          <cell r="AY1791"/>
          <cell r="AZ1791"/>
        </row>
        <row r="1792">
          <cell r="A1792"/>
          <cell r="B1792"/>
          <cell r="C1792"/>
          <cell r="D1792"/>
          <cell r="E1792"/>
          <cell r="F1792"/>
          <cell r="G1792"/>
          <cell r="H1792"/>
          <cell r="I1792"/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/>
          <cell r="AS1792"/>
          <cell r="AT1792"/>
          <cell r="AU1792"/>
          <cell r="AV1792"/>
          <cell r="AW1792"/>
          <cell r="AX1792"/>
          <cell r="AY1792"/>
          <cell r="AZ1792"/>
        </row>
        <row r="1793">
          <cell r="A1793"/>
          <cell r="B1793"/>
          <cell r="C1793"/>
          <cell r="D1793"/>
          <cell r="E1793"/>
          <cell r="F1793"/>
          <cell r="G1793"/>
          <cell r="H1793"/>
          <cell r="I1793"/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/>
          <cell r="AS1793"/>
          <cell r="AT1793"/>
          <cell r="AU1793"/>
          <cell r="AV1793"/>
          <cell r="AW1793"/>
          <cell r="AX1793"/>
          <cell r="AY1793"/>
          <cell r="AZ1793"/>
        </row>
        <row r="1794">
          <cell r="A1794"/>
          <cell r="B1794"/>
          <cell r="C1794"/>
          <cell r="D1794"/>
          <cell r="E1794"/>
          <cell r="F1794"/>
          <cell r="G1794"/>
          <cell r="H1794"/>
          <cell r="I1794"/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/>
          <cell r="AS1794"/>
          <cell r="AT1794"/>
          <cell r="AU1794"/>
          <cell r="AV1794"/>
          <cell r="AW1794"/>
          <cell r="AX1794"/>
          <cell r="AY1794"/>
          <cell r="AZ1794"/>
        </row>
        <row r="1795">
          <cell r="A1795"/>
          <cell r="B1795"/>
          <cell r="C1795"/>
          <cell r="D1795"/>
          <cell r="E1795"/>
          <cell r="F1795"/>
          <cell r="G1795"/>
          <cell r="H1795"/>
          <cell r="I1795"/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/>
          <cell r="AS1795"/>
          <cell r="AT1795"/>
          <cell r="AU1795"/>
          <cell r="AV1795"/>
          <cell r="AW1795"/>
          <cell r="AX1795"/>
          <cell r="AY1795"/>
          <cell r="AZ1795"/>
        </row>
        <row r="1796">
          <cell r="A1796"/>
          <cell r="B1796"/>
          <cell r="C1796"/>
          <cell r="D1796"/>
          <cell r="E1796"/>
          <cell r="F1796"/>
          <cell r="G1796"/>
          <cell r="H1796"/>
          <cell r="I1796"/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/>
          <cell r="AS1796"/>
          <cell r="AT1796"/>
          <cell r="AU1796"/>
          <cell r="AV1796"/>
          <cell r="AW1796"/>
          <cell r="AX1796"/>
          <cell r="AY1796"/>
          <cell r="AZ1796"/>
        </row>
        <row r="1797">
          <cell r="A1797"/>
          <cell r="B1797"/>
          <cell r="C1797"/>
          <cell r="D1797"/>
          <cell r="E1797"/>
          <cell r="F1797"/>
          <cell r="G1797"/>
          <cell r="H1797"/>
          <cell r="I1797"/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/>
          <cell r="AS1797"/>
          <cell r="AT1797"/>
          <cell r="AU1797"/>
          <cell r="AV1797"/>
          <cell r="AW1797"/>
          <cell r="AX1797"/>
          <cell r="AY1797"/>
          <cell r="AZ1797"/>
        </row>
        <row r="1798">
          <cell r="A1798"/>
          <cell r="B1798"/>
          <cell r="C1798"/>
          <cell r="D1798"/>
          <cell r="E1798"/>
          <cell r="F1798"/>
          <cell r="G1798"/>
          <cell r="H1798"/>
          <cell r="I1798"/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/>
          <cell r="AS1798"/>
          <cell r="AT1798"/>
          <cell r="AU1798"/>
          <cell r="AV1798"/>
          <cell r="AW1798"/>
          <cell r="AX1798"/>
          <cell r="AY1798"/>
          <cell r="AZ1798"/>
        </row>
        <row r="1799">
          <cell r="A1799"/>
          <cell r="B1799"/>
          <cell r="C1799"/>
          <cell r="D1799"/>
          <cell r="E1799"/>
          <cell r="F1799"/>
          <cell r="G1799"/>
          <cell r="H1799"/>
          <cell r="I1799"/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/>
          <cell r="AS1799"/>
          <cell r="AT1799"/>
          <cell r="AU1799"/>
          <cell r="AV1799"/>
          <cell r="AW1799"/>
          <cell r="AX1799"/>
          <cell r="AY1799"/>
          <cell r="AZ1799"/>
        </row>
        <row r="1800">
          <cell r="A1800"/>
          <cell r="B1800"/>
          <cell r="C1800"/>
          <cell r="D1800"/>
          <cell r="E1800"/>
          <cell r="F1800"/>
          <cell r="G1800"/>
          <cell r="H1800"/>
          <cell r="I1800"/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/>
          <cell r="AS1800"/>
          <cell r="AT1800"/>
          <cell r="AU1800"/>
          <cell r="AV1800"/>
          <cell r="AW1800"/>
          <cell r="AX1800"/>
          <cell r="AY1800"/>
          <cell r="AZ1800"/>
        </row>
        <row r="1801">
          <cell r="A1801"/>
          <cell r="B1801"/>
          <cell r="C1801"/>
          <cell r="D1801"/>
          <cell r="E1801"/>
          <cell r="F1801"/>
          <cell r="G1801"/>
          <cell r="H1801"/>
          <cell r="I1801"/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/>
          <cell r="AS1801"/>
          <cell r="AT1801"/>
          <cell r="AU1801"/>
          <cell r="AV1801"/>
          <cell r="AW1801"/>
          <cell r="AX1801"/>
          <cell r="AY1801"/>
          <cell r="AZ1801"/>
        </row>
        <row r="1802">
          <cell r="A1802"/>
          <cell r="B1802"/>
          <cell r="C1802"/>
          <cell r="D1802"/>
          <cell r="E1802"/>
          <cell r="F1802"/>
          <cell r="G1802"/>
          <cell r="H1802"/>
          <cell r="I1802"/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/>
          <cell r="AS1802"/>
          <cell r="AT1802"/>
          <cell r="AU1802"/>
          <cell r="AV1802"/>
          <cell r="AW1802"/>
          <cell r="AX1802"/>
          <cell r="AY1802"/>
          <cell r="AZ1802"/>
        </row>
        <row r="1803">
          <cell r="A1803"/>
          <cell r="B1803"/>
          <cell r="C1803"/>
          <cell r="D1803"/>
          <cell r="E1803"/>
          <cell r="F1803"/>
          <cell r="G1803"/>
          <cell r="H1803"/>
          <cell r="I1803"/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/>
          <cell r="AS1803"/>
          <cell r="AT1803"/>
          <cell r="AU1803"/>
          <cell r="AV1803"/>
          <cell r="AW1803"/>
          <cell r="AX1803"/>
          <cell r="AY1803"/>
          <cell r="AZ1803"/>
        </row>
        <row r="1804">
          <cell r="A1804"/>
          <cell r="B1804"/>
          <cell r="C1804"/>
          <cell r="D1804"/>
          <cell r="E1804"/>
          <cell r="F1804"/>
          <cell r="G1804"/>
          <cell r="H1804"/>
          <cell r="I1804"/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/>
          <cell r="AS1804"/>
          <cell r="AT1804"/>
          <cell r="AU1804"/>
          <cell r="AV1804"/>
          <cell r="AW1804"/>
          <cell r="AX1804"/>
          <cell r="AY1804"/>
          <cell r="AZ1804"/>
        </row>
        <row r="1805">
          <cell r="A1805"/>
          <cell r="B1805"/>
          <cell r="C1805"/>
          <cell r="D1805"/>
          <cell r="E1805"/>
          <cell r="F1805"/>
          <cell r="G1805"/>
          <cell r="H1805"/>
          <cell r="I1805"/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/>
          <cell r="AS1805"/>
          <cell r="AT1805"/>
          <cell r="AU1805"/>
          <cell r="AV1805"/>
          <cell r="AW1805"/>
          <cell r="AX1805"/>
          <cell r="AY1805"/>
          <cell r="AZ1805"/>
        </row>
        <row r="1806">
          <cell r="A1806"/>
          <cell r="B1806"/>
          <cell r="C1806"/>
          <cell r="D1806"/>
          <cell r="E1806"/>
          <cell r="F1806"/>
          <cell r="G1806"/>
          <cell r="H1806"/>
          <cell r="I1806"/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/>
          <cell r="AS1806"/>
          <cell r="AT1806"/>
          <cell r="AU1806"/>
          <cell r="AV1806"/>
          <cell r="AW1806"/>
          <cell r="AX1806"/>
          <cell r="AY1806"/>
          <cell r="AZ1806"/>
        </row>
        <row r="1807">
          <cell r="A1807"/>
          <cell r="B1807"/>
          <cell r="C1807"/>
          <cell r="D1807"/>
          <cell r="E1807"/>
          <cell r="F1807"/>
          <cell r="G1807"/>
          <cell r="H1807"/>
          <cell r="I1807"/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/>
          <cell r="AS1807"/>
          <cell r="AT1807"/>
          <cell r="AU1807"/>
          <cell r="AV1807"/>
          <cell r="AW1807"/>
          <cell r="AX1807"/>
          <cell r="AY1807"/>
          <cell r="AZ1807"/>
        </row>
        <row r="1808">
          <cell r="A1808"/>
          <cell r="B1808"/>
          <cell r="C1808"/>
          <cell r="D1808"/>
          <cell r="E1808"/>
          <cell r="F1808"/>
          <cell r="G1808"/>
          <cell r="H1808"/>
          <cell r="I1808"/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/>
          <cell r="AS1808"/>
          <cell r="AT1808"/>
          <cell r="AU1808"/>
          <cell r="AV1808"/>
          <cell r="AW1808"/>
          <cell r="AX1808"/>
          <cell r="AY1808"/>
          <cell r="AZ1808"/>
        </row>
        <row r="1809">
          <cell r="A1809"/>
          <cell r="B1809"/>
          <cell r="C1809"/>
          <cell r="D1809"/>
          <cell r="E1809"/>
          <cell r="F1809"/>
          <cell r="G1809"/>
          <cell r="H1809"/>
          <cell r="I1809"/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/>
          <cell r="AS1809"/>
          <cell r="AT1809"/>
          <cell r="AU1809"/>
          <cell r="AV1809"/>
          <cell r="AW1809"/>
          <cell r="AX1809"/>
          <cell r="AY1809"/>
          <cell r="AZ1809"/>
        </row>
        <row r="1810">
          <cell r="A1810"/>
          <cell r="B1810"/>
          <cell r="C1810"/>
          <cell r="D1810"/>
          <cell r="E1810"/>
          <cell r="F1810"/>
          <cell r="G1810"/>
          <cell r="H1810"/>
          <cell r="I1810"/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/>
          <cell r="AS1810"/>
          <cell r="AT1810"/>
          <cell r="AU1810"/>
          <cell r="AV1810"/>
          <cell r="AW1810"/>
          <cell r="AX1810"/>
          <cell r="AY1810"/>
          <cell r="AZ1810"/>
        </row>
        <row r="1811">
          <cell r="A1811"/>
          <cell r="B1811"/>
          <cell r="C1811"/>
          <cell r="D1811"/>
          <cell r="E1811"/>
          <cell r="F1811"/>
          <cell r="G1811"/>
          <cell r="H1811"/>
          <cell r="I1811"/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/>
          <cell r="AS1811"/>
          <cell r="AT1811"/>
          <cell r="AU1811"/>
          <cell r="AV1811"/>
          <cell r="AW1811"/>
          <cell r="AX1811"/>
          <cell r="AY1811"/>
          <cell r="AZ1811"/>
        </row>
        <row r="1812">
          <cell r="A1812"/>
          <cell r="B1812"/>
          <cell r="C1812"/>
          <cell r="D1812"/>
          <cell r="E1812"/>
          <cell r="F1812"/>
          <cell r="G1812"/>
          <cell r="H1812"/>
          <cell r="I1812"/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/>
          <cell r="AS1812"/>
          <cell r="AT1812"/>
          <cell r="AU1812"/>
          <cell r="AV1812"/>
          <cell r="AW1812"/>
          <cell r="AX1812"/>
          <cell r="AY1812"/>
          <cell r="AZ1812"/>
        </row>
        <row r="1813">
          <cell r="A1813"/>
          <cell r="B1813"/>
          <cell r="C1813"/>
          <cell r="D1813"/>
          <cell r="E1813"/>
          <cell r="F1813"/>
          <cell r="G1813"/>
          <cell r="H1813"/>
          <cell r="I1813"/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/>
          <cell r="AS1813"/>
          <cell r="AT1813"/>
          <cell r="AU1813"/>
          <cell r="AV1813"/>
          <cell r="AW1813"/>
          <cell r="AX1813"/>
          <cell r="AY1813"/>
          <cell r="AZ1813"/>
        </row>
        <row r="1814">
          <cell r="A1814"/>
          <cell r="B1814"/>
          <cell r="C1814"/>
          <cell r="D1814"/>
          <cell r="E1814"/>
          <cell r="F1814"/>
          <cell r="G1814"/>
          <cell r="H1814"/>
          <cell r="I1814"/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/>
          <cell r="AS1814"/>
          <cell r="AT1814"/>
          <cell r="AU1814"/>
          <cell r="AV1814"/>
          <cell r="AW1814"/>
          <cell r="AX1814"/>
          <cell r="AY1814"/>
          <cell r="AZ1814"/>
        </row>
        <row r="1815">
          <cell r="A1815"/>
          <cell r="B1815"/>
          <cell r="C1815"/>
          <cell r="D1815"/>
          <cell r="E1815"/>
          <cell r="F1815"/>
          <cell r="G1815"/>
          <cell r="H1815"/>
          <cell r="I1815"/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/>
          <cell r="AS1815"/>
          <cell r="AT1815"/>
          <cell r="AU1815"/>
          <cell r="AV1815"/>
          <cell r="AW1815"/>
          <cell r="AX1815"/>
          <cell r="AY1815"/>
          <cell r="AZ1815"/>
        </row>
        <row r="1816">
          <cell r="A1816"/>
          <cell r="B1816"/>
          <cell r="C1816"/>
          <cell r="D1816"/>
          <cell r="E1816"/>
          <cell r="F1816"/>
          <cell r="G1816"/>
          <cell r="H1816"/>
          <cell r="I1816"/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/>
          <cell r="AS1816"/>
          <cell r="AT1816"/>
          <cell r="AU1816"/>
          <cell r="AV1816"/>
          <cell r="AW1816"/>
          <cell r="AX1816"/>
          <cell r="AY1816"/>
          <cell r="AZ1816"/>
        </row>
        <row r="1817">
          <cell r="A1817"/>
          <cell r="B1817"/>
          <cell r="C1817"/>
          <cell r="D1817"/>
          <cell r="E1817"/>
          <cell r="F1817"/>
          <cell r="G1817"/>
          <cell r="H1817"/>
          <cell r="I1817"/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/>
          <cell r="AS1817"/>
          <cell r="AT1817"/>
          <cell r="AU1817"/>
          <cell r="AV1817"/>
          <cell r="AW1817"/>
          <cell r="AX1817"/>
          <cell r="AY1817"/>
          <cell r="AZ1817"/>
        </row>
        <row r="1818">
          <cell r="A1818"/>
          <cell r="B1818"/>
          <cell r="C1818"/>
          <cell r="D1818"/>
          <cell r="E1818"/>
          <cell r="F1818"/>
          <cell r="G1818"/>
          <cell r="H1818"/>
          <cell r="I1818"/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/>
          <cell r="AS1818"/>
          <cell r="AT1818"/>
          <cell r="AU1818"/>
          <cell r="AV1818"/>
          <cell r="AW1818"/>
          <cell r="AX1818"/>
          <cell r="AY1818"/>
          <cell r="AZ1818"/>
        </row>
        <row r="1819">
          <cell r="A1819"/>
          <cell r="B1819"/>
          <cell r="C1819"/>
          <cell r="D1819"/>
          <cell r="E1819"/>
          <cell r="F1819"/>
          <cell r="G1819"/>
          <cell r="H1819"/>
          <cell r="I1819"/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/>
          <cell r="AS1819"/>
          <cell r="AT1819"/>
          <cell r="AU1819"/>
          <cell r="AV1819"/>
          <cell r="AW1819"/>
          <cell r="AX1819"/>
          <cell r="AY1819"/>
          <cell r="AZ1819"/>
        </row>
        <row r="1820">
          <cell r="A1820"/>
          <cell r="B1820"/>
          <cell r="C1820"/>
          <cell r="D1820"/>
          <cell r="E1820"/>
          <cell r="F1820"/>
          <cell r="G1820"/>
          <cell r="H1820"/>
          <cell r="I1820"/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/>
          <cell r="AS1820"/>
          <cell r="AT1820"/>
          <cell r="AU1820"/>
          <cell r="AV1820"/>
          <cell r="AW1820"/>
          <cell r="AX1820"/>
          <cell r="AY1820"/>
          <cell r="AZ1820"/>
        </row>
        <row r="1821">
          <cell r="A1821"/>
          <cell r="B1821"/>
          <cell r="C1821"/>
          <cell r="D1821"/>
          <cell r="E1821"/>
          <cell r="F1821"/>
          <cell r="G1821"/>
          <cell r="H1821"/>
          <cell r="I1821"/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/>
          <cell r="AS1821"/>
          <cell r="AT1821"/>
          <cell r="AU1821"/>
          <cell r="AV1821"/>
          <cell r="AW1821"/>
          <cell r="AX1821"/>
          <cell r="AY1821"/>
          <cell r="AZ1821"/>
        </row>
        <row r="1822">
          <cell r="A1822"/>
          <cell r="B1822"/>
          <cell r="C1822"/>
          <cell r="D1822"/>
          <cell r="E1822"/>
          <cell r="F1822"/>
          <cell r="G1822"/>
          <cell r="H1822"/>
          <cell r="I1822"/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/>
          <cell r="AS1822"/>
          <cell r="AT1822"/>
          <cell r="AU1822"/>
          <cell r="AV1822"/>
          <cell r="AW1822"/>
          <cell r="AX1822"/>
          <cell r="AY1822"/>
          <cell r="AZ1822"/>
        </row>
        <row r="1823">
          <cell r="A1823"/>
          <cell r="B1823"/>
          <cell r="C1823"/>
          <cell r="D1823"/>
          <cell r="E1823"/>
          <cell r="F1823"/>
          <cell r="G1823"/>
          <cell r="H1823"/>
          <cell r="I1823"/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/>
          <cell r="AS1823"/>
          <cell r="AT1823"/>
          <cell r="AU1823"/>
          <cell r="AV1823"/>
          <cell r="AW1823"/>
          <cell r="AX1823"/>
          <cell r="AY1823"/>
          <cell r="AZ1823"/>
        </row>
        <row r="1824">
          <cell r="A1824"/>
          <cell r="B1824"/>
          <cell r="C1824"/>
          <cell r="D1824"/>
          <cell r="E1824"/>
          <cell r="F1824"/>
          <cell r="G1824"/>
          <cell r="H1824"/>
          <cell r="I1824"/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/>
          <cell r="AS1824"/>
          <cell r="AT1824"/>
          <cell r="AU1824"/>
          <cell r="AV1824"/>
          <cell r="AW1824"/>
          <cell r="AX1824"/>
          <cell r="AY1824"/>
          <cell r="AZ1824"/>
        </row>
        <row r="1825">
          <cell r="A1825"/>
          <cell r="B1825"/>
          <cell r="C1825"/>
          <cell r="D1825"/>
          <cell r="E1825"/>
          <cell r="F1825"/>
          <cell r="G1825"/>
          <cell r="H1825"/>
          <cell r="I1825"/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/>
          <cell r="AS1825"/>
          <cell r="AT1825"/>
          <cell r="AU1825"/>
          <cell r="AV1825"/>
          <cell r="AW1825"/>
          <cell r="AX1825"/>
          <cell r="AY1825"/>
          <cell r="AZ1825"/>
        </row>
        <row r="1826">
          <cell r="A1826"/>
          <cell r="B1826"/>
          <cell r="C1826"/>
          <cell r="D1826"/>
          <cell r="E1826"/>
          <cell r="F1826"/>
          <cell r="G1826"/>
          <cell r="H1826"/>
          <cell r="I1826"/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/>
          <cell r="AS1826"/>
          <cell r="AT1826"/>
          <cell r="AU1826"/>
          <cell r="AV1826"/>
          <cell r="AW1826"/>
          <cell r="AX1826"/>
          <cell r="AY1826"/>
          <cell r="AZ1826"/>
        </row>
        <row r="1827">
          <cell r="A1827"/>
          <cell r="B1827"/>
          <cell r="C1827"/>
          <cell r="D1827"/>
          <cell r="E1827"/>
          <cell r="F1827"/>
          <cell r="G1827"/>
          <cell r="H1827"/>
          <cell r="I1827"/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/>
          <cell r="AS1827"/>
          <cell r="AT1827"/>
          <cell r="AU1827"/>
          <cell r="AV1827"/>
          <cell r="AW1827"/>
          <cell r="AX1827"/>
          <cell r="AY1827"/>
          <cell r="AZ1827"/>
        </row>
        <row r="1828">
          <cell r="A1828"/>
          <cell r="B1828"/>
          <cell r="C1828"/>
          <cell r="D1828"/>
          <cell r="E1828"/>
          <cell r="F1828"/>
          <cell r="G1828"/>
          <cell r="H1828"/>
          <cell r="I1828"/>
          <cell r="J1828"/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/>
          <cell r="AS1828"/>
          <cell r="AT1828"/>
          <cell r="AU1828"/>
          <cell r="AV1828"/>
          <cell r="AW1828"/>
          <cell r="AX1828"/>
          <cell r="AY1828"/>
          <cell r="AZ1828"/>
        </row>
        <row r="1829">
          <cell r="A1829"/>
          <cell r="B1829"/>
          <cell r="C1829"/>
          <cell r="D1829"/>
          <cell r="E1829"/>
          <cell r="F1829"/>
          <cell r="G1829"/>
          <cell r="H1829"/>
          <cell r="I1829"/>
          <cell r="J1829"/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/>
          <cell r="AS1829"/>
          <cell r="AT1829"/>
          <cell r="AU1829"/>
          <cell r="AV1829"/>
          <cell r="AW1829"/>
          <cell r="AX1829"/>
          <cell r="AY1829"/>
          <cell r="AZ1829"/>
        </row>
        <row r="1830">
          <cell r="A1830"/>
          <cell r="B1830"/>
          <cell r="C1830"/>
          <cell r="D1830"/>
          <cell r="E1830"/>
          <cell r="F1830"/>
          <cell r="G1830"/>
          <cell r="H1830"/>
          <cell r="I1830"/>
          <cell r="J1830"/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/>
          <cell r="AS1830"/>
          <cell r="AT1830"/>
          <cell r="AU1830"/>
          <cell r="AV1830"/>
          <cell r="AW1830"/>
          <cell r="AX1830"/>
          <cell r="AY1830"/>
          <cell r="AZ1830"/>
        </row>
        <row r="1831">
          <cell r="A1831"/>
          <cell r="B1831"/>
          <cell r="C1831"/>
          <cell r="D1831"/>
          <cell r="E1831"/>
          <cell r="F1831"/>
          <cell r="G1831"/>
          <cell r="H1831"/>
          <cell r="I1831"/>
          <cell r="J1831"/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/>
          <cell r="AS1831"/>
          <cell r="AT1831"/>
          <cell r="AU1831"/>
          <cell r="AV1831"/>
          <cell r="AW1831"/>
          <cell r="AX1831"/>
          <cell r="AY1831"/>
          <cell r="AZ1831"/>
        </row>
        <row r="1832">
          <cell r="A1832"/>
          <cell r="B1832"/>
          <cell r="C1832"/>
          <cell r="D1832"/>
          <cell r="E1832"/>
          <cell r="F1832"/>
          <cell r="G1832"/>
          <cell r="H1832"/>
          <cell r="I1832"/>
          <cell r="J1832"/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/>
          <cell r="AS1832"/>
          <cell r="AT1832"/>
          <cell r="AU1832"/>
          <cell r="AV1832"/>
          <cell r="AW1832"/>
          <cell r="AX1832"/>
          <cell r="AY1832"/>
          <cell r="AZ1832"/>
        </row>
        <row r="1833">
          <cell r="A1833"/>
          <cell r="B1833"/>
          <cell r="C1833"/>
          <cell r="D1833"/>
          <cell r="E1833"/>
          <cell r="F1833"/>
          <cell r="G1833"/>
          <cell r="H1833"/>
          <cell r="I1833"/>
          <cell r="J1833"/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/>
          <cell r="AS1833"/>
          <cell r="AT1833"/>
          <cell r="AU1833"/>
          <cell r="AV1833"/>
          <cell r="AW1833"/>
          <cell r="AX1833"/>
          <cell r="AY1833"/>
          <cell r="AZ1833"/>
        </row>
        <row r="1834">
          <cell r="A1834"/>
          <cell r="B1834"/>
          <cell r="C1834"/>
          <cell r="D1834"/>
          <cell r="E1834"/>
          <cell r="F1834"/>
          <cell r="G1834"/>
          <cell r="H1834"/>
          <cell r="I1834"/>
          <cell r="J1834"/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/>
          <cell r="AS1834"/>
          <cell r="AT1834"/>
          <cell r="AU1834"/>
          <cell r="AV1834"/>
          <cell r="AW1834"/>
          <cell r="AX1834"/>
          <cell r="AY1834"/>
          <cell r="AZ1834"/>
        </row>
        <row r="1835">
          <cell r="A1835"/>
          <cell r="B1835"/>
          <cell r="C1835"/>
          <cell r="D1835"/>
          <cell r="E1835"/>
          <cell r="F1835"/>
          <cell r="G1835"/>
          <cell r="H1835"/>
          <cell r="I1835"/>
          <cell r="J1835"/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/>
          <cell r="AS1835"/>
          <cell r="AT1835"/>
          <cell r="AU1835"/>
          <cell r="AV1835"/>
          <cell r="AW1835"/>
          <cell r="AX1835"/>
          <cell r="AY1835"/>
          <cell r="AZ1835"/>
        </row>
        <row r="1836">
          <cell r="A1836"/>
          <cell r="B1836"/>
          <cell r="C1836"/>
          <cell r="D1836"/>
          <cell r="E1836"/>
          <cell r="F1836"/>
          <cell r="G1836"/>
          <cell r="H1836"/>
          <cell r="I1836"/>
          <cell r="J1836"/>
          <cell r="K1836"/>
          <cell r="L1836"/>
          <cell r="M1836"/>
          <cell r="N1836"/>
          <cell r="O1836"/>
          <cell r="P1836"/>
          <cell r="Q1836"/>
          <cell r="R1836"/>
          <cell r="S1836"/>
          <cell r="T1836"/>
          <cell r="U1836"/>
          <cell r="V1836"/>
          <cell r="W1836"/>
          <cell r="X1836"/>
          <cell r="Y1836"/>
          <cell r="Z1836"/>
          <cell r="AA1836"/>
          <cell r="AB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/>
          <cell r="AS1836"/>
          <cell r="AT1836"/>
          <cell r="AU1836"/>
          <cell r="AV1836"/>
          <cell r="AW1836"/>
          <cell r="AX1836"/>
          <cell r="AY1836"/>
          <cell r="AZ1836"/>
        </row>
        <row r="1837">
          <cell r="A1837"/>
          <cell r="B1837"/>
          <cell r="C1837"/>
          <cell r="D1837"/>
          <cell r="E1837"/>
          <cell r="F1837"/>
          <cell r="G1837"/>
          <cell r="H1837"/>
          <cell r="I1837"/>
          <cell r="J1837"/>
          <cell r="K1837"/>
          <cell r="L1837"/>
          <cell r="M1837"/>
          <cell r="N1837"/>
          <cell r="O1837"/>
          <cell r="P1837"/>
          <cell r="Q1837"/>
          <cell r="R1837"/>
          <cell r="S1837"/>
          <cell r="T1837"/>
          <cell r="U1837"/>
          <cell r="V1837"/>
          <cell r="W1837"/>
          <cell r="X1837"/>
          <cell r="Y1837"/>
          <cell r="Z1837"/>
          <cell r="AA1837"/>
          <cell r="AB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/>
          <cell r="AS1837"/>
          <cell r="AT1837"/>
          <cell r="AU1837"/>
          <cell r="AV1837"/>
          <cell r="AW1837"/>
          <cell r="AX1837"/>
          <cell r="AY1837"/>
          <cell r="AZ1837"/>
        </row>
        <row r="1838">
          <cell r="A1838"/>
          <cell r="B1838"/>
          <cell r="C1838"/>
          <cell r="D1838"/>
          <cell r="E1838"/>
          <cell r="F1838"/>
          <cell r="G1838"/>
          <cell r="H1838"/>
          <cell r="I1838"/>
          <cell r="J1838"/>
          <cell r="K1838"/>
          <cell r="L1838"/>
          <cell r="M1838"/>
          <cell r="N1838"/>
          <cell r="O1838"/>
          <cell r="P1838"/>
          <cell r="Q1838"/>
          <cell r="R1838"/>
          <cell r="S1838"/>
          <cell r="T1838"/>
          <cell r="U1838"/>
          <cell r="V1838"/>
          <cell r="W1838"/>
          <cell r="X1838"/>
          <cell r="Y1838"/>
          <cell r="Z1838"/>
          <cell r="AA1838"/>
          <cell r="AB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/>
          <cell r="AS1838"/>
          <cell r="AT1838"/>
          <cell r="AU1838"/>
          <cell r="AV1838"/>
          <cell r="AW1838"/>
          <cell r="AX1838"/>
          <cell r="AY1838"/>
          <cell r="AZ1838"/>
        </row>
        <row r="1839">
          <cell r="A1839"/>
          <cell r="B1839"/>
          <cell r="C1839"/>
          <cell r="D1839"/>
          <cell r="E1839"/>
          <cell r="F1839"/>
          <cell r="G1839"/>
          <cell r="H1839"/>
          <cell r="I1839"/>
          <cell r="J1839"/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/>
          <cell r="AS1839"/>
          <cell r="AT1839"/>
          <cell r="AU1839"/>
          <cell r="AV1839"/>
          <cell r="AW1839"/>
          <cell r="AX1839"/>
          <cell r="AY1839"/>
          <cell r="AZ1839"/>
        </row>
        <row r="1840">
          <cell r="A1840"/>
          <cell r="B1840"/>
          <cell r="C1840"/>
          <cell r="D1840"/>
          <cell r="E1840"/>
          <cell r="F1840"/>
          <cell r="G1840"/>
          <cell r="H1840"/>
          <cell r="I1840"/>
          <cell r="J1840"/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/>
          <cell r="AS1840"/>
          <cell r="AT1840"/>
          <cell r="AU1840"/>
          <cell r="AV1840"/>
          <cell r="AW1840"/>
          <cell r="AX1840"/>
          <cell r="AY1840"/>
          <cell r="AZ1840"/>
        </row>
        <row r="1841">
          <cell r="A1841"/>
          <cell r="B1841"/>
          <cell r="C1841"/>
          <cell r="D1841"/>
          <cell r="E1841"/>
          <cell r="F1841"/>
          <cell r="G1841"/>
          <cell r="H1841"/>
          <cell r="I1841"/>
          <cell r="J1841"/>
          <cell r="K1841"/>
          <cell r="L1841"/>
          <cell r="M1841"/>
          <cell r="N1841"/>
          <cell r="O1841"/>
          <cell r="P1841"/>
          <cell r="Q1841"/>
          <cell r="R1841"/>
          <cell r="S1841"/>
          <cell r="T1841"/>
          <cell r="U1841"/>
          <cell r="V1841"/>
          <cell r="W1841"/>
          <cell r="X1841"/>
          <cell r="Y1841"/>
          <cell r="Z1841"/>
          <cell r="AA1841"/>
          <cell r="AB1841"/>
          <cell r="AC1841"/>
          <cell r="AD1841"/>
          <cell r="AE1841"/>
          <cell r="AF1841"/>
          <cell r="AG1841"/>
          <cell r="AH1841"/>
          <cell r="AI1841"/>
          <cell r="AJ1841"/>
          <cell r="AK1841"/>
          <cell r="AL1841"/>
          <cell r="AM1841"/>
          <cell r="AN1841"/>
          <cell r="AO1841"/>
          <cell r="AP1841"/>
          <cell r="AQ1841"/>
          <cell r="AR1841"/>
          <cell r="AS1841"/>
          <cell r="AT1841"/>
          <cell r="AU1841"/>
          <cell r="AV1841"/>
          <cell r="AW1841"/>
          <cell r="AX1841"/>
          <cell r="AY1841"/>
          <cell r="AZ1841"/>
        </row>
        <row r="1842">
          <cell r="A1842"/>
          <cell r="B1842"/>
          <cell r="C1842"/>
          <cell r="D1842"/>
          <cell r="E1842"/>
          <cell r="F1842"/>
          <cell r="G1842"/>
          <cell r="H1842"/>
          <cell r="I1842"/>
          <cell r="J1842"/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  <cell r="AV1842"/>
          <cell r="AW1842"/>
          <cell r="AX1842"/>
          <cell r="AY1842"/>
          <cell r="AZ1842"/>
        </row>
        <row r="1843">
          <cell r="A1843"/>
          <cell r="B1843"/>
          <cell r="C1843"/>
          <cell r="D1843"/>
          <cell r="E1843"/>
          <cell r="F1843"/>
          <cell r="G1843"/>
          <cell r="H1843"/>
          <cell r="I1843"/>
          <cell r="J1843"/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  <cell r="AV1843"/>
          <cell r="AW1843"/>
          <cell r="AX1843"/>
          <cell r="AY1843"/>
          <cell r="AZ1843"/>
        </row>
        <row r="1844">
          <cell r="A1844"/>
          <cell r="B1844"/>
          <cell r="C1844"/>
          <cell r="D1844"/>
          <cell r="E1844"/>
          <cell r="F1844"/>
          <cell r="G1844"/>
          <cell r="H1844"/>
          <cell r="I1844"/>
          <cell r="J1844"/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/>
          <cell r="AS1844"/>
          <cell r="AT1844"/>
          <cell r="AU1844"/>
          <cell r="AV1844"/>
          <cell r="AW1844"/>
          <cell r="AX1844"/>
          <cell r="AY1844"/>
          <cell r="AZ1844"/>
        </row>
        <row r="1845">
          <cell r="A1845"/>
          <cell r="B1845"/>
          <cell r="C1845"/>
          <cell r="D1845"/>
          <cell r="E1845"/>
          <cell r="F1845"/>
          <cell r="G1845"/>
          <cell r="H1845"/>
          <cell r="I1845"/>
          <cell r="J1845"/>
          <cell r="K1845"/>
          <cell r="L1845"/>
          <cell r="M1845"/>
          <cell r="N1845"/>
          <cell r="O1845"/>
          <cell r="P1845"/>
          <cell r="Q1845"/>
          <cell r="R1845"/>
          <cell r="S1845"/>
          <cell r="T1845"/>
          <cell r="U1845"/>
          <cell r="V1845"/>
          <cell r="W1845"/>
          <cell r="X1845"/>
          <cell r="Y1845"/>
          <cell r="Z1845"/>
          <cell r="AA1845"/>
          <cell r="AB1845"/>
          <cell r="AC1845"/>
          <cell r="AD1845"/>
          <cell r="AE1845"/>
          <cell r="AF1845"/>
          <cell r="AG1845"/>
          <cell r="AH1845"/>
          <cell r="AI1845"/>
          <cell r="AJ1845"/>
          <cell r="AK1845"/>
          <cell r="AL1845"/>
          <cell r="AM1845"/>
          <cell r="AN1845"/>
          <cell r="AO1845"/>
          <cell r="AP1845"/>
          <cell r="AQ1845"/>
          <cell r="AR1845"/>
          <cell r="AS1845"/>
          <cell r="AT1845"/>
          <cell r="AU1845"/>
          <cell r="AV1845"/>
          <cell r="AW1845"/>
          <cell r="AX1845"/>
          <cell r="AY1845"/>
          <cell r="AZ1845"/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111PC@G10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S111PC@G10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ustomProperty" Target="../customProperty3.bin"/><Relationship Id="rId2" Type="http://schemas.openxmlformats.org/officeDocument/2006/relationships/customProperty" Target="../customProperty2.bin"/><Relationship Id="rId1" Type="http://schemas.openxmlformats.org/officeDocument/2006/relationships/customProperty" Target="../customProperty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mailto:N112XUSV@G10" TargetMode="External"/><Relationship Id="rId2" Type="http://schemas.openxmlformats.org/officeDocument/2006/relationships/hyperlink" Target="mailto:D7BT@UK" TargetMode="External"/><Relationship Id="rId1" Type="http://schemas.openxmlformats.org/officeDocument/2006/relationships/hyperlink" Target="mailto:UNBEDR@U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S186"/>
  <sheetViews>
    <sheetView showGridLines="0"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Q2" sqref="Q1:Q1048576"/>
    </sheetView>
  </sheetViews>
  <sheetFormatPr baseColWidth="10" defaultRowHeight="14.5" x14ac:dyDescent="0.35"/>
  <cols>
    <col min="6" max="7" width="10.90625" style="19"/>
    <col min="9" max="9" width="10.90625" style="19"/>
    <col min="17" max="18" width="10.90625" style="5"/>
  </cols>
  <sheetData>
    <row r="1" spans="1:19" s="6" customFormat="1" x14ac:dyDescent="0.35">
      <c r="A1" s="6" t="s">
        <v>215</v>
      </c>
      <c r="B1" s="6" t="s">
        <v>212</v>
      </c>
      <c r="C1" s="6" t="s">
        <v>213</v>
      </c>
      <c r="D1" s="6" t="s">
        <v>1153</v>
      </c>
      <c r="E1" s="6" t="s">
        <v>214</v>
      </c>
      <c r="F1" s="17" t="s">
        <v>524</v>
      </c>
      <c r="G1" s="17" t="s">
        <v>525</v>
      </c>
      <c r="H1" s="6" t="s">
        <v>1154</v>
      </c>
      <c r="I1" s="17" t="s">
        <v>526</v>
      </c>
      <c r="J1" s="6" t="s">
        <v>216</v>
      </c>
      <c r="K1" s="6" t="s">
        <v>217</v>
      </c>
      <c r="L1" s="6" t="s">
        <v>1155</v>
      </c>
      <c r="M1" s="6" t="s">
        <v>218</v>
      </c>
      <c r="N1" s="6" t="s">
        <v>521</v>
      </c>
      <c r="O1" s="6" t="s">
        <v>1156</v>
      </c>
      <c r="P1" s="6" t="s">
        <v>522</v>
      </c>
      <c r="Q1" s="6" t="s">
        <v>563</v>
      </c>
      <c r="R1" s="6" t="s">
        <v>582</v>
      </c>
      <c r="S1" s="6" t="s">
        <v>583</v>
      </c>
    </row>
    <row r="2" spans="1:19" x14ac:dyDescent="0.35">
      <c r="A2" s="4">
        <v>29281</v>
      </c>
      <c r="B2" s="13">
        <f>AWM!B42</f>
        <v>1561462.487377974</v>
      </c>
      <c r="C2" s="7">
        <f>Haver!D12</f>
        <v>1835.4</v>
      </c>
      <c r="D2" s="7">
        <f>UK_HAVER!C14</f>
        <v>290378</v>
      </c>
      <c r="E2" s="13">
        <f>E3/(OEM!E8/OEM!E7)</f>
        <v>711.6311933566019</v>
      </c>
      <c r="F2" s="13">
        <f>AWM!D42</f>
        <v>33.126531488386952</v>
      </c>
      <c r="G2" s="18">
        <f>Haver!N12</f>
        <v>79.033333333333331</v>
      </c>
      <c r="H2" s="7" t="e">
        <f>UK_HAVER!E14</f>
        <v>#N/A</v>
      </c>
      <c r="I2" s="13"/>
      <c r="J2" s="13">
        <f>AWM!C42</f>
        <v>12.735106889000001</v>
      </c>
      <c r="K2" s="13">
        <f>OEM!D7</f>
        <v>13.93896</v>
      </c>
      <c r="L2" s="7">
        <f>UK_HAVER!D14</f>
        <v>17</v>
      </c>
      <c r="M2" s="13">
        <f>M3/(OEM_aux!B8/OEM_aux!B7)</f>
        <v>4.4873494911634397</v>
      </c>
      <c r="N2" s="7">
        <f>Haver!J12</f>
        <v>0.70891484042326947</v>
      </c>
      <c r="O2" s="7">
        <f>1/UK_HAVER!F14</f>
        <v>0.44393802625153528</v>
      </c>
      <c r="P2" s="28">
        <f>1/ '[2]Exchange rate'!$C7</f>
        <v>5.8788256457889968E-3</v>
      </c>
      <c r="Q2" s="7"/>
      <c r="R2" s="7"/>
      <c r="S2" s="7"/>
    </row>
    <row r="3" spans="1:19" x14ac:dyDescent="0.35">
      <c r="A3" s="4">
        <v>29373</v>
      </c>
      <c r="B3" s="13">
        <f>AWM!B43</f>
        <v>1554130.5401179057</v>
      </c>
      <c r="C3" s="7">
        <f>Haver!D13</f>
        <v>1797.6</v>
      </c>
      <c r="D3" s="7">
        <f>UK_HAVER!C15</f>
        <v>284713</v>
      </c>
      <c r="E3" s="13">
        <f>E4/(OEM!E9/OEM!E8)</f>
        <v>726.11643177594465</v>
      </c>
      <c r="F3" s="13">
        <f>AWM!D43</f>
        <v>33.986161276285088</v>
      </c>
      <c r="G3" s="18">
        <f>Haver!N13</f>
        <v>81.7</v>
      </c>
      <c r="H3" s="7" t="e">
        <f>UK_HAVER!E15</f>
        <v>#N/A</v>
      </c>
      <c r="I3" s="13"/>
      <c r="J3" s="13">
        <f>AWM!C43</f>
        <v>13.237090305000001</v>
      </c>
      <c r="K3" s="13">
        <f>OEM!D8</f>
        <v>11.742599999999999</v>
      </c>
      <c r="L3" s="7">
        <f>UK_HAVER!D15</f>
        <v>17</v>
      </c>
      <c r="M3" s="13">
        <f>M4/(OEM_aux!B9/OEM_aux!B8)</f>
        <v>4.4873494911634397</v>
      </c>
      <c r="N3" s="7">
        <f>Haver!J13</f>
        <v>0.71904683152013682</v>
      </c>
      <c r="O3" s="7">
        <f>1/UK_HAVER!F15</f>
        <v>0.43812889752165085</v>
      </c>
      <c r="P3" s="28">
        <f>1/ '[2]Exchange rate'!$C8</f>
        <v>5.8106630315158747E-3</v>
      </c>
      <c r="Q3" s="7"/>
      <c r="R3" s="7"/>
      <c r="S3" s="7">
        <f>Mater_Q!B4</f>
        <v>8.711333333333334</v>
      </c>
    </row>
    <row r="4" spans="1:19" x14ac:dyDescent="0.35">
      <c r="A4" s="4">
        <v>29465</v>
      </c>
      <c r="B4" s="13">
        <f>AWM!B44</f>
        <v>1553244.609704728</v>
      </c>
      <c r="C4" s="7">
        <f>Haver!D14</f>
        <v>1795.4</v>
      </c>
      <c r="D4" s="7">
        <f>UK_HAVER!C16</f>
        <v>284402</v>
      </c>
      <c r="E4" s="13">
        <f>E5/(OEM!E10/OEM!E9)</f>
        <v>740.12672002920726</v>
      </c>
      <c r="F4" s="13">
        <f>AWM!D44</f>
        <v>34.76756715672056</v>
      </c>
      <c r="G4" s="18">
        <f>Haver!N14</f>
        <v>83.233333333333334</v>
      </c>
      <c r="H4" s="7" t="e">
        <f>UK_HAVER!E16</f>
        <v>#N/A</v>
      </c>
      <c r="I4" s="13"/>
      <c r="J4" s="13">
        <f>AWM!C44</f>
        <v>12.239029242999999</v>
      </c>
      <c r="K4" s="13">
        <f>OEM!D9</f>
        <v>9.0943629999999995</v>
      </c>
      <c r="L4" s="7">
        <f>UK_HAVER!D16</f>
        <v>16.03</v>
      </c>
      <c r="M4" s="13">
        <f>M5/(OEM_aux!B10/OEM_aux!B9)</f>
        <v>4.4873494911634397</v>
      </c>
      <c r="N4" s="7">
        <f>Haver!J14</f>
        <v>0.70283288508213781</v>
      </c>
      <c r="O4" s="7">
        <f>1/UK_HAVER!F16</f>
        <v>0.41988579106483032</v>
      </c>
      <c r="P4" s="28">
        <f>1/ '[2]Exchange rate'!$C9</f>
        <v>5.741882843770833E-3</v>
      </c>
      <c r="Q4" s="7"/>
      <c r="R4" s="7"/>
      <c r="S4" s="7">
        <f>Mater_Q!B5</f>
        <v>7.9889999999999999</v>
      </c>
    </row>
    <row r="5" spans="1:19" x14ac:dyDescent="0.35">
      <c r="A5" s="4">
        <v>29556</v>
      </c>
      <c r="B5" s="13">
        <f>AWM!B45</f>
        <v>1553974.2135924825</v>
      </c>
      <c r="C5" s="7">
        <f>Haver!D15</f>
        <v>1828.9</v>
      </c>
      <c r="D5" s="7">
        <f>UK_HAVER!C17</f>
        <v>281496</v>
      </c>
      <c r="E5" s="13">
        <f>E6/(OEM!E11/OEM!E10)</f>
        <v>755.51459120224183</v>
      </c>
      <c r="F5" s="13">
        <f>AWM!D45</f>
        <v>35.62130128113607</v>
      </c>
      <c r="G5" s="18">
        <f>Haver!N15</f>
        <v>85.566666666666677</v>
      </c>
      <c r="H5" s="7" t="e">
        <f>UK_HAVER!E17</f>
        <v>#N/A</v>
      </c>
      <c r="I5" s="13"/>
      <c r="J5" s="13">
        <f>AWM!C45</f>
        <v>12.663299259</v>
      </c>
      <c r="K5" s="13">
        <f>OEM!D10</f>
        <v>14.729990000000001</v>
      </c>
      <c r="L5" s="7">
        <f>UK_HAVER!D17</f>
        <v>15.200000000000001</v>
      </c>
      <c r="M5" s="13">
        <f>M6/(OEM_aux!B11/OEM_aux!B10)</f>
        <v>4.4873494911634397</v>
      </c>
      <c r="N5" s="7">
        <f>Haver!J15</f>
        <v>0.74632620923504034</v>
      </c>
      <c r="O5" s="7">
        <f>1/UK_HAVER!F17</f>
        <v>0.41919932928107317</v>
      </c>
      <c r="P5" s="28">
        <f>1/ '[2]Exchange rate'!$C10</f>
        <v>5.8378513437858121E-3</v>
      </c>
      <c r="Q5" s="7"/>
      <c r="R5" s="7"/>
      <c r="S5" s="7">
        <f>Mater_Q!B6</f>
        <v>8.6420000000000012</v>
      </c>
    </row>
    <row r="6" spans="1:19" x14ac:dyDescent="0.35">
      <c r="A6" s="4">
        <v>29646</v>
      </c>
      <c r="B6" s="13">
        <f>AWM!B46</f>
        <v>1555473.6087437088</v>
      </c>
      <c r="C6" s="7">
        <f>Haver!D16</f>
        <v>1864.8</v>
      </c>
      <c r="D6" s="7">
        <f>UK_HAVER!C18</f>
        <v>281257</v>
      </c>
      <c r="E6" s="13">
        <f>E7/(OEM!E12/OEM!E11)</f>
        <v>746.28871141982279</v>
      </c>
      <c r="F6" s="13">
        <f>AWM!D46</f>
        <v>36.784819553342679</v>
      </c>
      <c r="G6" s="18">
        <f>Haver!N16</f>
        <v>87.933333333333323</v>
      </c>
      <c r="H6" s="7" t="e">
        <f>UK_HAVER!E18</f>
        <v>#N/A</v>
      </c>
      <c r="I6" s="13"/>
      <c r="J6" s="13">
        <f>AWM!C46</f>
        <v>13.432882043999999</v>
      </c>
      <c r="K6" s="13">
        <f>OEM!D11</f>
        <v>15.40231</v>
      </c>
      <c r="L6" s="7">
        <f>UK_HAVER!D18</f>
        <v>13.546666666666667</v>
      </c>
      <c r="M6" s="13">
        <f>M7/(OEM_aux!B12/OEM_aux!B11)</f>
        <v>4.4873494911634397</v>
      </c>
      <c r="N6" s="7">
        <f>Haver!J16</f>
        <v>0.8111089481539161</v>
      </c>
      <c r="O6" s="7">
        <f>1/UK_HAVER!F18</f>
        <v>0.43296915816363357</v>
      </c>
      <c r="P6" s="28">
        <f>1/ '[2]Exchange rate'!$C11</f>
        <v>6.0103991926831806E-3</v>
      </c>
      <c r="Q6" s="7"/>
      <c r="R6" s="7"/>
      <c r="S6" s="7">
        <f>Mater_Q!B7</f>
        <v>9.6076666666666668</v>
      </c>
    </row>
    <row r="7" spans="1:19" x14ac:dyDescent="0.35">
      <c r="A7" s="4">
        <v>29738</v>
      </c>
      <c r="B7" s="13">
        <f>AWM!B47</f>
        <v>1560133.1094051495</v>
      </c>
      <c r="C7" s="7">
        <f>Haver!D17</f>
        <v>1850.9</v>
      </c>
      <c r="D7" s="7">
        <f>UK_HAVER!C19</f>
        <v>282155</v>
      </c>
      <c r="E7" s="13">
        <f>E8/(OEM!E13/OEM!E12)</f>
        <v>762.6004758682451</v>
      </c>
      <c r="F7" s="13">
        <f>AWM!D47</f>
        <v>37.768239052343084</v>
      </c>
      <c r="G7" s="18">
        <f>Haver!N17</f>
        <v>89.766666666666666</v>
      </c>
      <c r="H7" s="7" t="e">
        <f>UK_HAVER!E19</f>
        <v>#N/A</v>
      </c>
      <c r="I7" s="13"/>
      <c r="J7" s="13">
        <f>AWM!C47</f>
        <v>15.507875287999999</v>
      </c>
      <c r="K7" s="13">
        <f>OEM!D12</f>
        <v>16.518730000000001</v>
      </c>
      <c r="L7" s="7">
        <f>UK_HAVER!D19</f>
        <v>12</v>
      </c>
      <c r="M7" s="13">
        <f>M8/(OEM_aux!B13/OEM_aux!B12)</f>
        <v>4.4873494911634397</v>
      </c>
      <c r="N7" s="7">
        <f>Haver!J17</f>
        <v>0.89624205705476923</v>
      </c>
      <c r="O7" s="7">
        <f>1/UK_HAVER!F19</f>
        <v>0.48096192384769543</v>
      </c>
      <c r="P7" s="28">
        <f>1/ '[2]Exchange rate'!$C12</f>
        <v>6.1633813789456421E-3</v>
      </c>
      <c r="Q7" s="7"/>
      <c r="R7" s="7"/>
      <c r="S7" s="7">
        <f>Mater_Q!B8</f>
        <v>10.304333333333332</v>
      </c>
    </row>
    <row r="8" spans="1:19" x14ac:dyDescent="0.35">
      <c r="A8" s="4">
        <v>29830</v>
      </c>
      <c r="B8" s="13">
        <f>AWM!B48</f>
        <v>1564437.4935357058</v>
      </c>
      <c r="C8" s="7">
        <f>Haver!D18</f>
        <v>1873.1</v>
      </c>
      <c r="D8" s="7">
        <f>UK_HAVER!C20</f>
        <v>285437</v>
      </c>
      <c r="E8" s="13">
        <f>E9/(OEM!E14/OEM!E13)</f>
        <v>778.4717025298911</v>
      </c>
      <c r="F8" s="13">
        <f>AWM!D48</f>
        <v>38.724472045988897</v>
      </c>
      <c r="G8" s="18">
        <f>Haver!N18</f>
        <v>92.266666666666652</v>
      </c>
      <c r="H8" s="7" t="e">
        <f>UK_HAVER!E20</f>
        <v>#N/A</v>
      </c>
      <c r="I8" s="13"/>
      <c r="J8" s="13">
        <f>AWM!C48</f>
        <v>16.133415178</v>
      </c>
      <c r="K8" s="13">
        <f>OEM!D13</f>
        <v>16.470780000000001</v>
      </c>
      <c r="L8" s="7">
        <f>UK_HAVER!D20</f>
        <v>12.513333333333334</v>
      </c>
      <c r="M8" s="13">
        <f>M9/(OEM_aux!B14/OEM_aux!B13)</f>
        <v>4.4873494911634397</v>
      </c>
      <c r="N8" s="7">
        <f>Haver!J18</f>
        <v>0.96849798875251014</v>
      </c>
      <c r="O8" s="7">
        <f>1/UK_HAVER!F20</f>
        <v>0.54460298442435473</v>
      </c>
      <c r="P8" s="28">
        <f>1/ '[2]Exchange rate'!$C13</f>
        <v>6.0817410321687606E-3</v>
      </c>
      <c r="Q8" s="7"/>
      <c r="R8" s="7"/>
      <c r="S8" s="7">
        <f>Mater_Q!B9</f>
        <v>10.558666666666667</v>
      </c>
    </row>
    <row r="9" spans="1:19" x14ac:dyDescent="0.35">
      <c r="A9" s="4">
        <v>29921</v>
      </c>
      <c r="B9" s="13">
        <f>AWM!B49</f>
        <v>1568108.3618959098</v>
      </c>
      <c r="C9" s="7">
        <f>Haver!D19</f>
        <v>1852.7</v>
      </c>
      <c r="D9" s="7">
        <f>UK_HAVER!C21</f>
        <v>285814</v>
      </c>
      <c r="E9" s="13">
        <f>E10/(OEM!E15/OEM!E14)</f>
        <v>795.75611112438173</v>
      </c>
      <c r="F9" s="13">
        <f>AWM!D49</f>
        <v>39.74534672277855</v>
      </c>
      <c r="G9" s="18">
        <f>Haver!N19</f>
        <v>93.766666666666652</v>
      </c>
      <c r="H9" s="7" t="e">
        <f>UK_HAVER!E21</f>
        <v>#N/A</v>
      </c>
      <c r="I9" s="13"/>
      <c r="J9" s="13">
        <f>AWM!C49</f>
        <v>15.426309166999999</v>
      </c>
      <c r="K9" s="13">
        <f>OEM!D14</f>
        <v>12.665609999999999</v>
      </c>
      <c r="L9" s="7">
        <f>UK_HAVER!D21</f>
        <v>14.61</v>
      </c>
      <c r="M9" s="13">
        <f>M10/(OEM_aux!B15/OEM_aux!B14)</f>
        <v>4.4873494911634397</v>
      </c>
      <c r="N9" s="7">
        <f>Haver!J19</f>
        <v>0.91801512888932413</v>
      </c>
      <c r="O9" s="7">
        <f>1/UK_HAVER!F21</f>
        <v>0.5313025768174976</v>
      </c>
      <c r="P9" s="28">
        <f>1/ '[2]Exchange rate'!$C14</f>
        <v>6.0732605270861339E-3</v>
      </c>
      <c r="Q9" s="7"/>
      <c r="R9" s="7"/>
      <c r="S9" s="7">
        <f>Mater_Q!B10</f>
        <v>9.9646666666666661</v>
      </c>
    </row>
    <row r="10" spans="1:19" x14ac:dyDescent="0.35">
      <c r="A10" s="4">
        <v>30011</v>
      </c>
      <c r="B10" s="13">
        <f>AWM!B50</f>
        <v>1574589.0983518937</v>
      </c>
      <c r="C10" s="7">
        <f>Haver!D20</f>
        <v>1823.9</v>
      </c>
      <c r="D10" s="7">
        <f>UK_HAVER!C22</f>
        <v>286275</v>
      </c>
      <c r="E10" s="13">
        <f>E11/(OEM!E16/OEM!E15)</f>
        <v>811.15802413035044</v>
      </c>
      <c r="F10" s="13">
        <f>AWM!D50</f>
        <v>40.729083560444835</v>
      </c>
      <c r="G10" s="18">
        <f>Haver!N20</f>
        <v>94.600000000000009</v>
      </c>
      <c r="H10" s="7" t="e">
        <f>UK_HAVER!E22</f>
        <v>#N/A</v>
      </c>
      <c r="I10" s="13"/>
      <c r="J10" s="13">
        <f>AWM!C50</f>
        <v>14.331319171000001</v>
      </c>
      <c r="K10" s="13">
        <f>OEM!D15</f>
        <v>13.27632</v>
      </c>
      <c r="L10" s="7">
        <f>UK_HAVER!D22</f>
        <v>13.793333333333331</v>
      </c>
      <c r="M10" s="13">
        <f>M11/(OEM_aux!B16/OEM_aux!B15)</f>
        <v>7.2833131360456944</v>
      </c>
      <c r="N10" s="7">
        <f>Haver!J20</f>
        <v>0.96385851842094261</v>
      </c>
      <c r="O10" s="7">
        <f>1/UK_HAVER!F22</f>
        <v>0.54168246573858414</v>
      </c>
      <c r="P10" s="28">
        <f>1/ '[2]Exchange rate'!$C15</f>
        <v>6.069961158318548E-3</v>
      </c>
      <c r="Q10" s="7"/>
      <c r="R10" s="7"/>
      <c r="S10" s="7">
        <f>Mater_Q!B11</f>
        <v>9.6733333333333338</v>
      </c>
    </row>
    <row r="11" spans="1:19" x14ac:dyDescent="0.35">
      <c r="A11" s="4">
        <v>30103</v>
      </c>
      <c r="B11" s="13">
        <f>AWM!B51</f>
        <v>1576706.9489732159</v>
      </c>
      <c r="C11" s="7">
        <f>Haver!D21</f>
        <v>1832.2</v>
      </c>
      <c r="D11" s="7">
        <f>UK_HAVER!C23</f>
        <v>289232</v>
      </c>
      <c r="E11" s="13">
        <f>E12/(OEM!E17/OEM!E16)</f>
        <v>829.90070674091146</v>
      </c>
      <c r="F11" s="13">
        <f>AWM!D51</f>
        <v>41.674783197493255</v>
      </c>
      <c r="G11" s="18">
        <f>Haver!N21</f>
        <v>95.966666666666654</v>
      </c>
      <c r="H11" s="7" t="e">
        <f>UK_HAVER!E23</f>
        <v>#N/A</v>
      </c>
      <c r="I11" s="13"/>
      <c r="J11" s="13">
        <f>AWM!C51</f>
        <v>14.400041219</v>
      </c>
      <c r="K11" s="13">
        <f>OEM!D16</f>
        <v>13.511889999999999</v>
      </c>
      <c r="L11" s="7">
        <f>UK_HAVER!D23</f>
        <v>13.016666666666667</v>
      </c>
      <c r="M11" s="13">
        <f>M12/(OEM_aux!B17/OEM_aux!B16)</f>
        <v>7.2833131360456944</v>
      </c>
      <c r="N11" s="7">
        <f>Haver!J21</f>
        <v>0.99683736731263939</v>
      </c>
      <c r="O11" s="7">
        <f>1/UK_HAVER!F23</f>
        <v>0.56193455335568587</v>
      </c>
      <c r="P11" s="28">
        <f>1/ '[2]Exchange rate'!$C16</f>
        <v>6.0194258912361969E-3</v>
      </c>
      <c r="Q11" s="7"/>
      <c r="R11" s="7"/>
      <c r="S11" s="7">
        <f>Mater_Q!B12</f>
        <v>8.9833333333333325</v>
      </c>
    </row>
    <row r="12" spans="1:19" x14ac:dyDescent="0.35">
      <c r="A12" s="4">
        <v>30195</v>
      </c>
      <c r="B12" s="13">
        <f>AWM!B52</f>
        <v>1568297.1372394122</v>
      </c>
      <c r="C12" s="7">
        <f>Haver!D22</f>
        <v>1825.2</v>
      </c>
      <c r="D12" s="7">
        <f>UK_HAVER!C24</f>
        <v>289852</v>
      </c>
      <c r="E12" s="13">
        <f>E13/(OEM!E18/OEM!E17)</f>
        <v>849.51645514708412</v>
      </c>
      <c r="F12" s="13">
        <f>AWM!D52</f>
        <v>42.478199268187538</v>
      </c>
      <c r="G12" s="18">
        <f>Haver!N22</f>
        <v>97.633333333333326</v>
      </c>
      <c r="H12" s="7" t="e">
        <f>UK_HAVER!E24</f>
        <v>#N/A</v>
      </c>
      <c r="I12" s="13"/>
      <c r="J12" s="13">
        <f>AWM!C52</f>
        <v>13.349537282</v>
      </c>
      <c r="K12" s="7">
        <f>Haver!H22</f>
        <v>10.25</v>
      </c>
      <c r="L12" s="7">
        <f>UK_HAVER!D24</f>
        <v>11.353333333333333</v>
      </c>
      <c r="M12" s="13">
        <f>M13/(OEM_aux!B18/OEM_aux!B17)</f>
        <v>7.2833131360456944</v>
      </c>
      <c r="N12" s="7">
        <f>Haver!J22</f>
        <v>1.0519221773947534</v>
      </c>
      <c r="O12" s="7">
        <f>1/UK_HAVER!F24</f>
        <v>0.58000154667079118</v>
      </c>
      <c r="P12" s="28">
        <f>1/ '[2]Exchange rate'!$C17</f>
        <v>6.0098970985418788E-3</v>
      </c>
      <c r="Q12" s="7"/>
      <c r="R12" s="7"/>
      <c r="S12" s="7">
        <f>Mater_Q!B13</f>
        <v>8.9873333333333338</v>
      </c>
    </row>
    <row r="13" spans="1:19" x14ac:dyDescent="0.35">
      <c r="A13" s="4">
        <v>30286</v>
      </c>
      <c r="B13" s="13">
        <f>AWM!B53</f>
        <v>1568969.9546161648</v>
      </c>
      <c r="C13" s="7">
        <f>Haver!D23</f>
        <v>1826</v>
      </c>
      <c r="D13" s="7">
        <f>UK_HAVER!C25</f>
        <v>291832</v>
      </c>
      <c r="E13" s="13">
        <f>E14/(OEM!E19/OEM!E18)</f>
        <v>869.93506018419703</v>
      </c>
      <c r="F13" s="13">
        <f>AWM!D53</f>
        <v>43.293676331706997</v>
      </c>
      <c r="G13" s="18">
        <f>Haver!N23</f>
        <v>97.933333333333337</v>
      </c>
      <c r="H13" s="7" t="e">
        <f>UK_HAVER!E25</f>
        <v>#N/A</v>
      </c>
      <c r="I13" s="13"/>
      <c r="J13" s="13">
        <f>AWM!C53</f>
        <v>12.606617089</v>
      </c>
      <c r="K13" s="7">
        <f>Haver!H23</f>
        <v>8.5</v>
      </c>
      <c r="L13" s="7">
        <f>UK_HAVER!D25</f>
        <v>9.6833333333333318</v>
      </c>
      <c r="M13" s="13">
        <f>M14/(OEM_aux!B19/OEM_aux!B18)</f>
        <v>7.2833131360456944</v>
      </c>
      <c r="N13" s="7">
        <f>Haver!J23</f>
        <v>1.0711848768690837</v>
      </c>
      <c r="O13" s="7">
        <f>1/UK_HAVER!F25</f>
        <v>0.60675929858625077</v>
      </c>
      <c r="P13" s="28">
        <f>1/ '[2]Exchange rate'!$C18</f>
        <v>5.995146329531611E-3</v>
      </c>
      <c r="Q13" s="7"/>
      <c r="R13" s="7"/>
      <c r="S13" s="7">
        <f>Mater_Q!B14</f>
        <v>8.2193333333333332</v>
      </c>
    </row>
    <row r="14" spans="1:19" x14ac:dyDescent="0.35">
      <c r="A14" s="4">
        <v>30376</v>
      </c>
      <c r="B14" s="13">
        <f>AWM!B54</f>
        <v>1579416.3818735306</v>
      </c>
      <c r="C14" s="7">
        <f>Haver!D24</f>
        <v>1850</v>
      </c>
      <c r="D14" s="7">
        <f>UK_HAVER!C26</f>
        <v>297563</v>
      </c>
      <c r="E14" s="13">
        <f>E15/(OEM!E20/OEM!E19)</f>
        <v>895.49386605058703</v>
      </c>
      <c r="F14" s="13">
        <f>AWM!D54</f>
        <v>44.173742425290897</v>
      </c>
      <c r="G14" s="18">
        <f>Haver!N24</f>
        <v>98</v>
      </c>
      <c r="H14" s="7" t="e">
        <f>UK_HAVER!E26</f>
        <v>#N/A</v>
      </c>
      <c r="I14" s="13"/>
      <c r="J14" s="13">
        <f>AWM!C54</f>
        <v>11.886461701</v>
      </c>
      <c r="K14" s="7">
        <f>Haver!H24</f>
        <v>8.625</v>
      </c>
      <c r="L14" s="7">
        <f>UK_HAVER!D26</f>
        <v>10.816666666666668</v>
      </c>
      <c r="M14" s="13">
        <f>M15/(OEM_aux!B20/OEM_aux!B19)</f>
        <v>7.2833131360456944</v>
      </c>
      <c r="N14" s="7">
        <f>Haver!J24</f>
        <v>1.0548207947371475</v>
      </c>
      <c r="O14" s="7">
        <f>1/UK_HAVER!F26</f>
        <v>0.65238664781994127</v>
      </c>
      <c r="P14" s="28">
        <f>1/ '[2]Exchange rate'!$C19</f>
        <v>5.9405599452993238E-3</v>
      </c>
      <c r="Q14" s="7"/>
      <c r="R14" s="7"/>
      <c r="S14" s="7">
        <f>Mater_Q!B15</f>
        <v>7.6146666666666674</v>
      </c>
    </row>
    <row r="15" spans="1:19" x14ac:dyDescent="0.35">
      <c r="A15" s="4">
        <v>30468</v>
      </c>
      <c r="B15" s="13">
        <f>AWM!B55</f>
        <v>1589751.0502129178</v>
      </c>
      <c r="C15" s="7">
        <f>Haver!D25</f>
        <v>1892.1</v>
      </c>
      <c r="D15" s="7">
        <f>UK_HAVER!C27</f>
        <v>299623</v>
      </c>
      <c r="E15" s="13">
        <f>E16/(OEM!E21/OEM!E20)</f>
        <v>918.24915075134277</v>
      </c>
      <c r="F15" s="13">
        <f>AWM!D55</f>
        <v>44.935484711245664</v>
      </c>
      <c r="G15" s="18">
        <f>Haver!N25</f>
        <v>99.133333333333326</v>
      </c>
      <c r="H15" s="7" t="e">
        <f>UK_HAVER!E27</f>
        <v>#N/A</v>
      </c>
      <c r="I15" s="13"/>
      <c r="J15" s="13">
        <f>AWM!C55</f>
        <v>11.847544911</v>
      </c>
      <c r="K15" s="7">
        <f>Haver!H25</f>
        <v>9</v>
      </c>
      <c r="L15" s="7">
        <f>UK_HAVER!D27</f>
        <v>10.016666666666666</v>
      </c>
      <c r="M15" s="13">
        <f>M16/(OEM_aux!B21/OEM_aux!B20)</f>
        <v>7.2833131360456944</v>
      </c>
      <c r="N15" s="7">
        <f>Haver!J25</f>
        <v>1.0964134853011154</v>
      </c>
      <c r="O15" s="7">
        <f>1/UK_HAVER!F27</f>
        <v>0.64428838348044581</v>
      </c>
      <c r="P15" s="28">
        <f>1/ '[2]Exchange rate'!$C20</f>
        <v>5.8727630645487132E-3</v>
      </c>
      <c r="Q15" s="7"/>
      <c r="R15" s="7"/>
      <c r="S15" s="7">
        <f>Mater_Q!B16</f>
        <v>7.7703333333333333</v>
      </c>
    </row>
    <row r="16" spans="1:19" x14ac:dyDescent="0.35">
      <c r="A16" s="4">
        <v>30560</v>
      </c>
      <c r="B16" s="13">
        <f>AWM!B56</f>
        <v>1593881.1794279974</v>
      </c>
      <c r="C16" s="7">
        <f>Haver!D26</f>
        <v>1929.9</v>
      </c>
      <c r="D16" s="7">
        <f>UK_HAVER!C28</f>
        <v>303085</v>
      </c>
      <c r="E16" s="13">
        <f>E17/(OEM!E22/OEM!E21)</f>
        <v>942.61390638758098</v>
      </c>
      <c r="F16" s="13">
        <f>AWM!D56</f>
        <v>45.68737029716921</v>
      </c>
      <c r="G16" s="18">
        <f>Haver!N26</f>
        <v>100.09999999999998</v>
      </c>
      <c r="H16" s="7" t="e">
        <f>UK_HAVER!E28</f>
        <v>#N/A</v>
      </c>
      <c r="I16" s="13"/>
      <c r="J16" s="13">
        <f>AWM!C56</f>
        <v>12.218649981</v>
      </c>
      <c r="K16" s="7">
        <f>Haver!H26</f>
        <v>9.375</v>
      </c>
      <c r="L16" s="7">
        <f>UK_HAVER!D28</f>
        <v>9.56</v>
      </c>
      <c r="M16" s="13">
        <f>M17/(OEM_aux!B22/OEM_aux!B21)</f>
        <v>7.2833131360456944</v>
      </c>
      <c r="N16" s="7">
        <f>Haver!J26</f>
        <v>1.161321490950983</v>
      </c>
      <c r="O16" s="7">
        <f>1/UK_HAVER!F28</f>
        <v>0.66247101689301091</v>
      </c>
      <c r="P16" s="28">
        <f>1/ '[2]Exchange rate'!$C21</f>
        <v>5.6806013711835591E-3</v>
      </c>
      <c r="Q16" s="7"/>
      <c r="R16" s="7"/>
      <c r="S16" s="7">
        <f>Mater_Q!B17</f>
        <v>8.3609999999999989</v>
      </c>
    </row>
    <row r="17" spans="1:19" x14ac:dyDescent="0.35">
      <c r="A17" s="4">
        <v>30651</v>
      </c>
      <c r="B17" s="13">
        <f>AWM!B57</f>
        <v>1611312.4549781117</v>
      </c>
      <c r="C17" s="7">
        <f>Haver!D27</f>
        <v>1970.2</v>
      </c>
      <c r="D17" s="7">
        <f>UK_HAVER!C29</f>
        <v>305361</v>
      </c>
      <c r="E17" s="13">
        <f>E18/(OEM!E23/OEM!E22)</f>
        <v>965.495963129335</v>
      </c>
      <c r="F17" s="13">
        <f>AWM!D57</f>
        <v>46.475520685125673</v>
      </c>
      <c r="G17" s="18">
        <f>Haver!N27</f>
        <v>101.09999999999998</v>
      </c>
      <c r="H17" s="7" t="e">
        <f>UK_HAVER!E29</f>
        <v>#N/A</v>
      </c>
      <c r="I17" s="13"/>
      <c r="J17" s="13">
        <f>AWM!C57</f>
        <v>12.169143466</v>
      </c>
      <c r="K17" s="7">
        <f>Haver!H27</f>
        <v>9.375</v>
      </c>
      <c r="L17" s="7">
        <f>UK_HAVER!D29</f>
        <v>9.06</v>
      </c>
      <c r="M17" s="13">
        <f>M18/(OEM_aux!B23/OEM_aux!B22)</f>
        <v>7.2833131360456944</v>
      </c>
      <c r="N17" s="7">
        <f>Haver!J27</f>
        <v>1.1850185218394962</v>
      </c>
      <c r="O17" s="7">
        <f>1/UK_HAVER!F29</f>
        <v>0.68068885712340899</v>
      </c>
      <c r="P17" s="28">
        <f>1/ '[2]Exchange rate'!$C22</f>
        <v>5.5921405819405181E-3</v>
      </c>
      <c r="Q17" s="7"/>
      <c r="R17" s="7"/>
      <c r="S17" s="7">
        <f>Mater_Q!B18</f>
        <v>8.3263333333333343</v>
      </c>
    </row>
    <row r="18" spans="1:19" x14ac:dyDescent="0.35">
      <c r="A18" s="4">
        <v>30742</v>
      </c>
      <c r="B18" s="13">
        <f>AWM!B58</f>
        <v>1625156.0780541741</v>
      </c>
      <c r="C18" s="7">
        <f>Haver!D28</f>
        <v>2008.7</v>
      </c>
      <c r="D18" s="7">
        <f>UK_HAVER!C30</f>
        <v>307964</v>
      </c>
      <c r="E18" s="13">
        <f>E19/(OEM!E24/OEM!E23)</f>
        <v>1029.5956449544569</v>
      </c>
      <c r="F18" s="13">
        <f>AWM!D58</f>
        <v>47.308976460958007</v>
      </c>
      <c r="G18" s="18">
        <f>Haver!N28</f>
        <v>102.53333333333335</v>
      </c>
      <c r="H18" s="7" t="e">
        <f>UK_HAVER!E30</f>
        <v>#N/A</v>
      </c>
      <c r="I18" s="13"/>
      <c r="J18" s="13">
        <f>AWM!C58</f>
        <v>11.431690392</v>
      </c>
      <c r="K18" s="7">
        <f>Haver!H28</f>
        <v>10.5</v>
      </c>
      <c r="L18" s="7">
        <f>UK_HAVER!D30</f>
        <v>8.9433333333333334</v>
      </c>
      <c r="M18" s="13">
        <f>M19/(OEM_aux!B24/OEM_aux!B23)</f>
        <v>7.2833131360456944</v>
      </c>
      <c r="N18" s="7">
        <f>Haver!J28</f>
        <v>1.2024317980684134</v>
      </c>
      <c r="O18" s="7">
        <f>1/UK_HAVER!F30</f>
        <v>0.69686411149825789</v>
      </c>
      <c r="P18" s="28">
        <f>1/ '[2]Exchange rate'!$C23</f>
        <v>5.724232795389016E-3</v>
      </c>
      <c r="Q18" s="7"/>
      <c r="R18" s="7"/>
      <c r="S18" s="7">
        <f>Mater_Q!B19</f>
        <v>8.2333333333333343</v>
      </c>
    </row>
    <row r="19" spans="1:19" x14ac:dyDescent="0.35">
      <c r="A19" s="4">
        <v>30834</v>
      </c>
      <c r="B19" s="13">
        <f>AWM!B59</f>
        <v>1617476.4568480845</v>
      </c>
      <c r="C19" s="7">
        <f>Haver!D29</f>
        <v>2043.4</v>
      </c>
      <c r="D19" s="7">
        <f>UK_HAVER!C31</f>
        <v>304892</v>
      </c>
      <c r="E19" s="13">
        <f>E20/(OEM!E25/OEM!E24)</f>
        <v>1056.887232782168</v>
      </c>
      <c r="F19" s="13">
        <f>AWM!D59</f>
        <v>47.937613802410482</v>
      </c>
      <c r="G19" s="18">
        <f>Haver!N29</f>
        <v>103.5</v>
      </c>
      <c r="H19" s="7" t="e">
        <f>UK_HAVER!E31</f>
        <v>#N/A</v>
      </c>
      <c r="I19" s="13">
        <f>reconstruct_levels_ch!D19</f>
        <v>16.953213401739614</v>
      </c>
      <c r="J19" s="13">
        <f>AWM!C59</f>
        <v>10.857933396</v>
      </c>
      <c r="K19" s="7">
        <f>Haver!H29</f>
        <v>10.5</v>
      </c>
      <c r="L19" s="7">
        <f>UK_HAVER!D31</f>
        <v>8.8433333333333337</v>
      </c>
      <c r="M19" s="13">
        <f>M20/(OEM_aux!B25/OEM_aux!B24)</f>
        <v>7.2833131360456944</v>
      </c>
      <c r="N19" s="7">
        <f>Haver!J29</f>
        <v>1.211697729884303</v>
      </c>
      <c r="O19" s="7">
        <f>1/UK_HAVER!F31</f>
        <v>0.71643501934374543</v>
      </c>
      <c r="P19" s="28">
        <f>1/ '[2]Exchange rate'!$C24</f>
        <v>5.9476263915215401E-3</v>
      </c>
      <c r="Q19" s="7"/>
      <c r="R19" s="7"/>
      <c r="S19" s="7">
        <f>Mater_Q!B20</f>
        <v>8.1880000000000006</v>
      </c>
    </row>
    <row r="20" spans="1:19" x14ac:dyDescent="0.35">
      <c r="A20" s="4">
        <v>30926</v>
      </c>
      <c r="B20" s="13">
        <f>AWM!B60</f>
        <v>1634152.5776949411</v>
      </c>
      <c r="C20" s="7">
        <f>Haver!D30</f>
        <v>2063.1</v>
      </c>
      <c r="D20" s="7">
        <f>UK_HAVER!C32</f>
        <v>307122</v>
      </c>
      <c r="E20" s="13">
        <f>E21/(OEM!E26/OEM!E25)</f>
        <v>1086.3048727795078</v>
      </c>
      <c r="F20" s="13">
        <f>AWM!D60</f>
        <v>48.424677675799494</v>
      </c>
      <c r="G20" s="18">
        <f>Haver!N30</f>
        <v>104.39999999999999</v>
      </c>
      <c r="H20" s="7" t="e">
        <f>UK_HAVER!E32</f>
        <v>#N/A</v>
      </c>
      <c r="I20" s="13">
        <f>reconstruct_levels_ch!D20</f>
        <v>17.05616990723351</v>
      </c>
      <c r="J20" s="13">
        <f>AWM!C60</f>
        <v>10.413572545999999</v>
      </c>
      <c r="K20" s="7">
        <f>Haver!H30</f>
        <v>11</v>
      </c>
      <c r="L20" s="7">
        <f>UK_HAVER!D32</f>
        <v>10.89</v>
      </c>
      <c r="M20" s="13">
        <f>M21/(OEM_aux!B26/OEM_aux!B25)</f>
        <v>7.2833131360456944</v>
      </c>
      <c r="N20" s="7">
        <f>Haver!J30</f>
        <v>1.3025972486540913</v>
      </c>
      <c r="O20" s="7">
        <f>1/UK_HAVER!F32</f>
        <v>0.77130736598534522</v>
      </c>
      <c r="P20" s="28">
        <f>1/ '[2]Exchange rate'!$C25</f>
        <v>6.3096259653727723E-3</v>
      </c>
      <c r="Q20" s="7"/>
      <c r="R20" s="7"/>
      <c r="S20" s="7">
        <f>Mater_Q!B21</f>
        <v>8.0836666666666677</v>
      </c>
    </row>
    <row r="21" spans="1:19" x14ac:dyDescent="0.35">
      <c r="A21" s="4">
        <v>31017</v>
      </c>
      <c r="B21" s="13">
        <f>AWM!B61</f>
        <v>1642515.4883158489</v>
      </c>
      <c r="C21" s="7">
        <f>Haver!D31</f>
        <v>2080.1</v>
      </c>
      <c r="D21" s="7">
        <f>UK_HAVER!C33</f>
        <v>312697</v>
      </c>
      <c r="E21" s="13">
        <f>E22/(OEM!E27/OEM!E26)</f>
        <v>1113.467908615567</v>
      </c>
      <c r="F21" s="13">
        <f>AWM!D61</f>
        <v>49.042148406359757</v>
      </c>
      <c r="G21" s="18">
        <f>Haver!N31</f>
        <v>105.3</v>
      </c>
      <c r="H21" s="7" t="e">
        <f>UK_HAVER!E33</f>
        <v>#N/A</v>
      </c>
      <c r="I21" s="13">
        <f>reconstruct_levels_ch!D21</f>
        <v>17.20984721147008</v>
      </c>
      <c r="J21" s="13">
        <f>AWM!C61</f>
        <v>10.128110652</v>
      </c>
      <c r="K21" s="7">
        <f>Haver!H31</f>
        <v>8.125</v>
      </c>
      <c r="L21" s="7">
        <f>UK_HAVER!D33</f>
        <v>9.9533333333333331</v>
      </c>
      <c r="M21" s="13">
        <f>M22/(OEM_aux!B27/OEM_aux!B26)</f>
        <v>7.2833131360456944</v>
      </c>
      <c r="N21" s="7">
        <f>Haver!J31</f>
        <v>1.367300729591669</v>
      </c>
      <c r="O21" s="7">
        <f>1/UK_HAVER!F33</f>
        <v>0.82306784822628887</v>
      </c>
      <c r="P21" s="28">
        <f>1/ '[2]Exchange rate'!$C26</f>
        <v>6.799020940984498E-3</v>
      </c>
      <c r="Q21" s="7"/>
      <c r="R21" s="7"/>
      <c r="S21" s="7">
        <f>Mater_Q!B22</f>
        <v>7.29</v>
      </c>
    </row>
    <row r="22" spans="1:19" x14ac:dyDescent="0.35">
      <c r="A22" s="4">
        <v>31107</v>
      </c>
      <c r="B22" s="13">
        <f>AWM!B62</f>
        <v>1646206.3611413599</v>
      </c>
      <c r="C22" s="7">
        <f>Haver!D32</f>
        <v>2100.1999999999998</v>
      </c>
      <c r="D22" s="7">
        <f>UK_HAVER!C34</f>
        <v>315753</v>
      </c>
      <c r="E22" s="13">
        <f>E23/(OEM!E28/OEM!E27)</f>
        <v>1166.2879442624089</v>
      </c>
      <c r="F22" s="13">
        <f>AWM!D62</f>
        <v>49.862985357454754</v>
      </c>
      <c r="G22" s="18">
        <f>Haver!N32</f>
        <v>106.26666666666667</v>
      </c>
      <c r="H22" s="7" t="e">
        <f>UK_HAVER!E34</f>
        <v>#N/A</v>
      </c>
      <c r="I22" s="13">
        <f>reconstruct_levels_ch!D22</f>
        <v>17.915297124762777</v>
      </c>
      <c r="J22" s="13">
        <f>AWM!C62</f>
        <v>9.8634286150000001</v>
      </c>
      <c r="K22" s="7">
        <f>Haver!H32</f>
        <v>8.5</v>
      </c>
      <c r="L22" s="7">
        <f>UK_HAVER!D34</f>
        <v>12.966666666666669</v>
      </c>
      <c r="M22" s="13">
        <f>M23/(OEM_aux!B28/OEM_aux!B27)</f>
        <v>7.2833131360456944</v>
      </c>
      <c r="N22" s="7">
        <f>Haver!J32</f>
        <v>1.4618728930756928</v>
      </c>
      <c r="O22" s="7">
        <f>1/UK_HAVER!F34</f>
        <v>0.8967269466447465</v>
      </c>
      <c r="P22" s="28">
        <f>1/ '[2]Exchange rate'!$C27</f>
        <v>6.8723043386231756E-3</v>
      </c>
      <c r="Q22" s="7"/>
      <c r="R22" s="7"/>
      <c r="S22" s="7">
        <f>Mater_Q!B23</f>
        <v>7.4443333333333328</v>
      </c>
    </row>
    <row r="23" spans="1:19" x14ac:dyDescent="0.35">
      <c r="A23" s="4">
        <v>31199</v>
      </c>
      <c r="B23" s="13">
        <f>AWM!B63</f>
        <v>1661914.2837128765</v>
      </c>
      <c r="C23" s="7">
        <f>Haver!D33</f>
        <v>2118.6999999999998</v>
      </c>
      <c r="D23" s="7">
        <f>UK_HAVER!C35</f>
        <v>322451</v>
      </c>
      <c r="E23" s="13">
        <f>E24/(OEM!E29/OEM!E28)</f>
        <v>1199.0291476746891</v>
      </c>
      <c r="F23" s="13">
        <f>AWM!D63</f>
        <v>50.535071728305624</v>
      </c>
      <c r="G23" s="18">
        <f>Haver!N33</f>
        <v>107.23333333333333</v>
      </c>
      <c r="H23" s="7" t="e">
        <f>UK_HAVER!E35</f>
        <v>#N/A</v>
      </c>
      <c r="I23" s="13">
        <f>reconstruct_levels_ch!D23</f>
        <v>18.539499418740604</v>
      </c>
      <c r="J23" s="13">
        <f>AWM!C63</f>
        <v>9.9615893779999993</v>
      </c>
      <c r="K23" s="7">
        <f>Haver!H33</f>
        <v>7.75</v>
      </c>
      <c r="L23" s="7">
        <f>UK_HAVER!D35</f>
        <v>12.480000000000002</v>
      </c>
      <c r="M23" s="13">
        <f>M24/(OEM_aux!B29/OEM_aux!B28)</f>
        <v>8.2153010176731129</v>
      </c>
      <c r="N23" s="7">
        <f>Haver!J33</f>
        <v>1.3773756861052637</v>
      </c>
      <c r="O23" s="7">
        <f>1/UK_HAVER!F35</f>
        <v>0.79643198470850585</v>
      </c>
      <c r="P23" s="28">
        <f>1/ '[2]Exchange rate'!$C28</f>
        <v>6.9632936936234336E-3</v>
      </c>
      <c r="Q23" s="7"/>
      <c r="R23" s="7"/>
      <c r="S23" s="7">
        <f>Mater_Q!B24</f>
        <v>7.1856666666666662</v>
      </c>
    </row>
    <row r="24" spans="1:19" x14ac:dyDescent="0.35">
      <c r="A24" s="4">
        <v>31291</v>
      </c>
      <c r="B24" s="13">
        <f>AWM!B64</f>
        <v>1675982.6719326738</v>
      </c>
      <c r="C24" s="7">
        <f>Haver!D34</f>
        <v>2151.1</v>
      </c>
      <c r="D24" s="7">
        <f>UK_HAVER!C36</f>
        <v>322392</v>
      </c>
      <c r="E24" s="13">
        <f>E25/(OEM!E30/OEM!E29)</f>
        <v>1231.7110193985143</v>
      </c>
      <c r="F24" s="13">
        <f>AWM!D64</f>
        <v>50.788389569476479</v>
      </c>
      <c r="G24" s="18">
        <f>Haver!N34</f>
        <v>107.90000000000002</v>
      </c>
      <c r="H24" s="7" t="e">
        <f>UK_HAVER!E36</f>
        <v>#N/A</v>
      </c>
      <c r="I24" s="13">
        <f>reconstruct_levels_ch!D24</f>
        <v>18.959104585730174</v>
      </c>
      <c r="J24" s="13">
        <f>AWM!C64</f>
        <v>9.3468044579999994</v>
      </c>
      <c r="K24" s="7">
        <f>Haver!H34</f>
        <v>8</v>
      </c>
      <c r="L24" s="7">
        <f>UK_HAVER!D36</f>
        <v>11.573333333333336</v>
      </c>
      <c r="M24" s="13">
        <f>M25/(OEM_aux!B30/OEM_aux!B29)</f>
        <v>8.2153010176731129</v>
      </c>
      <c r="N24" s="7">
        <f>Haver!J34</f>
        <v>1.2739994963455323</v>
      </c>
      <c r="O24" s="7">
        <f>1/UK_HAVER!F36</f>
        <v>0.72656817631387738</v>
      </c>
      <c r="P24" s="28">
        <f>1/ '[2]Exchange rate'!$C29</f>
        <v>7.2136800227952293E-3</v>
      </c>
      <c r="Q24" s="7"/>
      <c r="R24" s="7"/>
      <c r="S24" s="7">
        <f>Mater_Q!B25</f>
        <v>6.6159999999999997</v>
      </c>
    </row>
    <row r="25" spans="1:19" x14ac:dyDescent="0.35">
      <c r="A25" s="4">
        <v>31382</v>
      </c>
      <c r="B25" s="13">
        <f>AWM!B65</f>
        <v>1685974.6596246576</v>
      </c>
      <c r="C25" s="7">
        <f>Haver!D35</f>
        <v>2167.1</v>
      </c>
      <c r="D25" s="7">
        <f>UK_HAVER!C37</f>
        <v>322604</v>
      </c>
      <c r="E25" s="13">
        <f>E26/(OEM!E31/OEM!E30)</f>
        <v>1261.5479366609343</v>
      </c>
      <c r="F25" s="13">
        <f>AWM!D65</f>
        <v>51.210371328714643</v>
      </c>
      <c r="G25" s="18">
        <f>Haver!N35</f>
        <v>109</v>
      </c>
      <c r="H25" s="7" t="e">
        <f>UK_HAVER!E37</f>
        <v>#N/A</v>
      </c>
      <c r="I25" s="13">
        <f>reconstruct_levels_ch!D25</f>
        <v>19.139531559944626</v>
      </c>
      <c r="J25" s="13">
        <f>AWM!C65</f>
        <v>8.6279720340000008</v>
      </c>
      <c r="K25" s="7">
        <f>Haver!H35</f>
        <v>7.75</v>
      </c>
      <c r="L25" s="7">
        <f>UK_HAVER!D37</f>
        <v>11.38</v>
      </c>
      <c r="M25" s="13">
        <f>M26/(OEM_aux!B31/OEM_aux!B30)</f>
        <v>8.2153010176731129</v>
      </c>
      <c r="N25" s="7">
        <f>Haver!J35</f>
        <v>1.1713135930552037</v>
      </c>
      <c r="O25" s="7">
        <f>1/UK_HAVER!F37</f>
        <v>0.69673463700125426</v>
      </c>
      <c r="P25" s="28">
        <f>1/ '[2]Exchange rate'!$C30</f>
        <v>8.071500580744467E-3</v>
      </c>
      <c r="Q25" s="7"/>
      <c r="R25" s="7"/>
      <c r="S25" s="7">
        <f>Mater_Q!B26</f>
        <v>6.5403333333333329</v>
      </c>
    </row>
    <row r="26" spans="1:19" x14ac:dyDescent="0.35">
      <c r="A26" s="4">
        <v>31472</v>
      </c>
      <c r="B26" s="13">
        <f>AWM!B66</f>
        <v>1680223.011803088</v>
      </c>
      <c r="C26" s="7">
        <f>Haver!D36</f>
        <v>2187.3000000000002</v>
      </c>
      <c r="D26" s="7">
        <f>UK_HAVER!C38</f>
        <v>325968</v>
      </c>
      <c r="E26" s="13">
        <f>E27/(OEM!E32/OEM!E31)</f>
        <v>1271.5710365638902</v>
      </c>
      <c r="F26" s="13">
        <f>AWM!D66</f>
        <v>51.615763263984391</v>
      </c>
      <c r="G26" s="18">
        <f>Haver!N36</f>
        <v>109.56666666666668</v>
      </c>
      <c r="H26" s="7" t="e">
        <f>UK_HAVER!E38</f>
        <v>#N/A</v>
      </c>
      <c r="I26" s="13">
        <f>reconstruct_levels_ch!D26</f>
        <v>19.36993498342823</v>
      </c>
      <c r="J26" s="13">
        <f>AWM!C66</f>
        <v>8.7486201890000004</v>
      </c>
      <c r="K26" s="7">
        <f>Haver!H36</f>
        <v>7.25</v>
      </c>
      <c r="L26" s="7">
        <f>UK_HAVER!D38</f>
        <v>12.12</v>
      </c>
      <c r="M26" s="13">
        <f>M27/(OEM_aux!B32/OEM_aux!B31)</f>
        <v>8.2153010176731129</v>
      </c>
      <c r="N26" s="7">
        <f>Haver!J36</f>
        <v>1.0817094470733992</v>
      </c>
      <c r="O26" s="7">
        <f>1/UK_HAVER!F38</f>
        <v>0.69420340159666782</v>
      </c>
      <c r="P26" s="28">
        <f>1/ '[2]Exchange rate'!$C31</f>
        <v>8.3729092845516474E-3</v>
      </c>
      <c r="Q26" s="7"/>
      <c r="R26" s="7"/>
      <c r="S26" s="7">
        <f>Mater_Q!B27</f>
        <v>6.0949999999999998</v>
      </c>
    </row>
    <row r="27" spans="1:19" x14ac:dyDescent="0.35">
      <c r="A27" s="4">
        <v>31564</v>
      </c>
      <c r="B27" s="13">
        <f>AWM!B67</f>
        <v>1711030.4031301639</v>
      </c>
      <c r="C27" s="7">
        <f>Haver!D37</f>
        <v>2197.1</v>
      </c>
      <c r="D27" s="7">
        <f>UK_HAVER!C39</f>
        <v>328872</v>
      </c>
      <c r="E27" s="13">
        <f>E28/(OEM!E33/OEM!E32)</f>
        <v>1306.9910657099022</v>
      </c>
      <c r="F27" s="13">
        <f>AWM!D67</f>
        <v>51.818958008209471</v>
      </c>
      <c r="G27" s="18">
        <f>Haver!N37</f>
        <v>109.03333333333335</v>
      </c>
      <c r="H27" s="7" t="e">
        <f>UK_HAVER!E39</f>
        <v>#N/A</v>
      </c>
      <c r="I27" s="13">
        <f>reconstruct_levels_ch!D27</f>
        <v>19.422582842817196</v>
      </c>
      <c r="J27" s="13">
        <f>AWM!C67</f>
        <v>8.0283936950000001</v>
      </c>
      <c r="K27" s="7">
        <f>Haver!H37</f>
        <v>6.875</v>
      </c>
      <c r="L27" s="7">
        <f>UK_HAVER!D39</f>
        <v>10.326666666666668</v>
      </c>
      <c r="M27" s="13">
        <f>M28/(OEM_aux!B33/OEM_aux!B32)</f>
        <v>8.2153010176731129</v>
      </c>
      <c r="N27" s="7">
        <f>Haver!J37</f>
        <v>1.0427981751031936</v>
      </c>
      <c r="O27" s="7">
        <f>1/UK_HAVER!F39</f>
        <v>0.66252953777522583</v>
      </c>
      <c r="P27" s="28">
        <f>1/ '[2]Exchange rate'!$C32</f>
        <v>8.4876602151961363E-3</v>
      </c>
      <c r="Q27" s="7"/>
      <c r="R27" s="7"/>
      <c r="S27" s="7">
        <f>Mater_Q!B28</f>
        <v>5.6593333333333335</v>
      </c>
    </row>
    <row r="28" spans="1:19" x14ac:dyDescent="0.35">
      <c r="A28" s="4">
        <v>31656</v>
      </c>
      <c r="B28" s="13">
        <f>AWM!B68</f>
        <v>1719722.7107344619</v>
      </c>
      <c r="C28" s="7">
        <f>Haver!D38</f>
        <v>2218.1999999999998</v>
      </c>
      <c r="D28" s="7">
        <f>UK_HAVER!C40</f>
        <v>330966</v>
      </c>
      <c r="E28" s="13">
        <f>E29/(OEM!E34/OEM!E33)</f>
        <v>1340.2187889675113</v>
      </c>
      <c r="F28" s="13">
        <f>AWM!D68</f>
        <v>51.961722561768042</v>
      </c>
      <c r="G28" s="18">
        <f>Haver!N38</f>
        <v>109.7</v>
      </c>
      <c r="H28" s="7" t="e">
        <f>UK_HAVER!E40</f>
        <v>#N/A</v>
      </c>
      <c r="I28" s="13">
        <f>reconstruct_levels_ch!D28</f>
        <v>19.737391464021147</v>
      </c>
      <c r="J28" s="13">
        <f>AWM!C68</f>
        <v>7.7533412579999998</v>
      </c>
      <c r="K28" s="7">
        <f>Haver!H38</f>
        <v>5.875</v>
      </c>
      <c r="L28" s="7">
        <f>UK_HAVER!D40</f>
        <v>9.8800000000000008</v>
      </c>
      <c r="M28" s="13">
        <f>M29/(OEM_aux!B34/OEM_aux!B33)</f>
        <v>8.2153010176731129</v>
      </c>
      <c r="N28" s="7">
        <f>Haver!J38</f>
        <v>0.98696515124747464</v>
      </c>
      <c r="O28" s="7">
        <f>1/UK_HAVER!F40</f>
        <v>0.67219359175442528</v>
      </c>
      <c r="P28" s="28">
        <f>1/ '[2]Exchange rate'!$C33</f>
        <v>9.9288794365956657E-3</v>
      </c>
      <c r="Q28" s="7"/>
      <c r="R28" s="7">
        <f>Haver!R38</f>
        <v>12.316666666666668</v>
      </c>
      <c r="S28" s="7">
        <f>Mater_Q!B29</f>
        <v>5.730999999999999</v>
      </c>
    </row>
    <row r="29" spans="1:19" x14ac:dyDescent="0.35">
      <c r="A29" s="4">
        <v>31747</v>
      </c>
      <c r="B29" s="13">
        <f>AWM!B69</f>
        <v>1723981.416325998</v>
      </c>
      <c r="C29" s="7">
        <f>Haver!D39</f>
        <v>2230.1</v>
      </c>
      <c r="D29" s="7">
        <f>UK_HAVER!C41</f>
        <v>337367</v>
      </c>
      <c r="E29" s="13">
        <f>E30/(OEM!E35/OEM!E34)</f>
        <v>1371.7743474721706</v>
      </c>
      <c r="F29" s="13">
        <f>AWM!D69</f>
        <v>52.142784021969419</v>
      </c>
      <c r="G29" s="18">
        <f>Haver!N39</f>
        <v>110.46666666666668</v>
      </c>
      <c r="H29" s="7" t="e">
        <f>UK_HAVER!E41</f>
        <v>#N/A</v>
      </c>
      <c r="I29" s="13">
        <f>reconstruct_levels_ch!D29</f>
        <v>20.219317395584689</v>
      </c>
      <c r="J29" s="13">
        <f>AWM!C69</f>
        <v>7.8747735780000001</v>
      </c>
      <c r="K29" s="7">
        <f>Haver!H39</f>
        <v>5.875</v>
      </c>
      <c r="L29" s="7">
        <f>UK_HAVER!D41</f>
        <v>10.733333333333334</v>
      </c>
      <c r="M29" s="13">
        <f>M30/(OEM_aux!B35/OEM_aux!B34)</f>
        <v>8.2153010176731129</v>
      </c>
      <c r="N29" s="7">
        <f>Haver!J39</f>
        <v>0.96334163947902485</v>
      </c>
      <c r="O29" s="7">
        <f>1/UK_HAVER!F41</f>
        <v>0.69938221237906506</v>
      </c>
      <c r="P29" s="28">
        <f>1/ '[2]Exchange rate'!$C34</f>
        <v>9.9319265752532138E-3</v>
      </c>
      <c r="Q29" s="7"/>
      <c r="R29" s="7">
        <f>Haver!R39</f>
        <v>14.676666666666668</v>
      </c>
      <c r="S29" s="7">
        <f>Mater_Q!B30</f>
        <v>6.0893333333333333</v>
      </c>
    </row>
    <row r="30" spans="1:19" x14ac:dyDescent="0.35">
      <c r="A30" s="4">
        <v>31837</v>
      </c>
      <c r="B30" s="13">
        <f>AWM!B70</f>
        <v>1715707.5697683725</v>
      </c>
      <c r="C30" s="7">
        <f>Haver!D40</f>
        <v>2246.6</v>
      </c>
      <c r="D30" s="7">
        <f>UK_HAVER!C42</f>
        <v>339754</v>
      </c>
      <c r="E30" s="13">
        <f>E31/(OEM!E36/OEM!E35)</f>
        <v>1422.7640005301832</v>
      </c>
      <c r="F30" s="13">
        <f>AWM!D70</f>
        <v>52.62228656177475</v>
      </c>
      <c r="G30" s="18">
        <f>Haver!N40</f>
        <v>111.8</v>
      </c>
      <c r="H30" s="7" t="e">
        <f>UK_HAVER!E42</f>
        <v>#N/A</v>
      </c>
      <c r="I30" s="13">
        <f>reconstruct_levels_ch!D30</f>
        <v>20.472642227918882</v>
      </c>
      <c r="J30" s="13">
        <f>AWM!C70</f>
        <v>8.1053529750000006</v>
      </c>
      <c r="K30" s="7">
        <f>Haver!H40</f>
        <v>6</v>
      </c>
      <c r="L30" s="7">
        <f>UK_HAVER!D42</f>
        <v>10.673333333333334</v>
      </c>
      <c r="M30" s="13">
        <f>M31/(OEM_aux!B36/OEM_aux!B35)</f>
        <v>8.2153010176731129</v>
      </c>
      <c r="N30" s="7">
        <f>Haver!J40</f>
        <v>0.88926303807824347</v>
      </c>
      <c r="O30" s="7">
        <f>1/UK_HAVER!F42</f>
        <v>0.64855048965561968</v>
      </c>
      <c r="P30" s="28">
        <f>1/ '[2]Exchange rate'!$C35</f>
        <v>1.0162572708126441E-2</v>
      </c>
      <c r="Q30" s="7"/>
      <c r="R30" s="7">
        <f>Haver!R40</f>
        <v>17.87</v>
      </c>
      <c r="S30" s="7">
        <f>Mater_Q!B31</f>
        <v>5.9233333333333329</v>
      </c>
    </row>
    <row r="31" spans="1:19" x14ac:dyDescent="0.35">
      <c r="A31" s="4">
        <v>31929</v>
      </c>
      <c r="B31" s="13">
        <f>AWM!B71</f>
        <v>1744612.9666438829</v>
      </c>
      <c r="C31" s="7">
        <f>Haver!D41</f>
        <v>2270.8000000000002</v>
      </c>
      <c r="D31" s="7">
        <f>UK_HAVER!C43</f>
        <v>344795</v>
      </c>
      <c r="E31" s="13">
        <f>E32/(OEM!E37/OEM!E36)</f>
        <v>1462.3530696516157</v>
      </c>
      <c r="F31" s="13">
        <f>AWM!D71</f>
        <v>52.976874475133542</v>
      </c>
      <c r="G31" s="18">
        <f>Haver!N41</f>
        <v>113.06666666666666</v>
      </c>
      <c r="H31" s="7" t="e">
        <f>UK_HAVER!E43</f>
        <v>#N/A</v>
      </c>
      <c r="I31" s="13">
        <f>reconstruct_levels_ch!D31</f>
        <v>20.903646376660333</v>
      </c>
      <c r="J31" s="13">
        <f>AWM!C71</f>
        <v>8.4258268600000008</v>
      </c>
      <c r="K31" s="7">
        <f>Haver!H41</f>
        <v>6.75</v>
      </c>
      <c r="L31" s="7">
        <f>UK_HAVER!D43</f>
        <v>9.2200000000000006</v>
      </c>
      <c r="M31" s="13">
        <f>M32/(OEM_aux!B37/OEM_aux!B36)</f>
        <v>8.2153010176731129</v>
      </c>
      <c r="N31" s="7">
        <f>Haver!J41</f>
        <v>0.86945685030561415</v>
      </c>
      <c r="O31" s="7">
        <f>1/UK_HAVER!F43</f>
        <v>0.60892686788316719</v>
      </c>
      <c r="P31" s="28">
        <f>1/ '[2]Exchange rate'!$C36</f>
        <v>1.0301682718061898E-2</v>
      </c>
      <c r="Q31" s="7"/>
      <c r="R31" s="7">
        <f>Haver!R41</f>
        <v>18.666666666666668</v>
      </c>
      <c r="S31" s="7">
        <f>Mater_Q!B32</f>
        <v>5.6639999999999988</v>
      </c>
    </row>
    <row r="32" spans="1:19" x14ac:dyDescent="0.35">
      <c r="A32" s="4">
        <v>32021</v>
      </c>
      <c r="B32" s="13">
        <f>AWM!B72</f>
        <v>1763348.5035073687</v>
      </c>
      <c r="C32" s="7">
        <f>Haver!D42</f>
        <v>2290.5</v>
      </c>
      <c r="D32" s="7">
        <f>UK_HAVER!C44</f>
        <v>353365</v>
      </c>
      <c r="E32" s="13">
        <f>E33/(OEM!E38/OEM!E37)</f>
        <v>1495.7587879745888</v>
      </c>
      <c r="F32" s="13">
        <f>AWM!D72</f>
        <v>53.247482987755426</v>
      </c>
      <c r="G32" s="18">
        <f>Haver!N42</f>
        <v>114.26666666666667</v>
      </c>
      <c r="H32" s="7" t="e">
        <f>UK_HAVER!E44</f>
        <v>#N/A</v>
      </c>
      <c r="I32" s="13">
        <f>reconstruct_levels_ch!D32</f>
        <v>21.244331951869594</v>
      </c>
      <c r="J32" s="13">
        <f>AWM!C72</f>
        <v>8.4902365050000004</v>
      </c>
      <c r="K32" s="7">
        <f>Haver!H42</f>
        <v>7.3125</v>
      </c>
      <c r="L32" s="7">
        <f>UK_HAVER!D44</f>
        <v>9.4966666666666679</v>
      </c>
      <c r="M32" s="13">
        <f>M33/(OEM_aux!B38/OEM_aux!B37)</f>
        <v>8.2153010176731129</v>
      </c>
      <c r="N32" s="7">
        <f>Haver!J42</f>
        <v>0.88626292466765133</v>
      </c>
      <c r="O32" s="7">
        <f>1/UK_HAVER!F44</f>
        <v>0.6181488502431387</v>
      </c>
      <c r="P32" s="28">
        <f>1/ '[2]Exchange rate'!$C37</f>
        <v>1.0120804964295318E-2</v>
      </c>
      <c r="Q32" s="7"/>
      <c r="R32" s="7">
        <f>Haver!R42</f>
        <v>19.05</v>
      </c>
      <c r="S32" s="7">
        <f>Mater_Q!B33</f>
        <v>6.4276666666666671</v>
      </c>
    </row>
    <row r="33" spans="1:19" x14ac:dyDescent="0.35">
      <c r="A33" s="4">
        <v>32112</v>
      </c>
      <c r="B33" s="13">
        <f>AWM!B73</f>
        <v>1785825.6936798852</v>
      </c>
      <c r="C33" s="7">
        <f>Haver!D43</f>
        <v>2329.8000000000002</v>
      </c>
      <c r="D33" s="7">
        <f>UK_HAVER!C45</f>
        <v>357439</v>
      </c>
      <c r="E33" s="13">
        <f>E34/(OEM!E39/OEM!E38)</f>
        <v>1528.3625396419486</v>
      </c>
      <c r="F33" s="13">
        <f>AWM!D73</f>
        <v>53.521775755881194</v>
      </c>
      <c r="G33" s="18">
        <f>Haver!N43</f>
        <v>115.33333333333333</v>
      </c>
      <c r="H33" s="7" t="e">
        <f>UK_HAVER!E45</f>
        <v>#N/A</v>
      </c>
      <c r="I33" s="13">
        <f>reconstruct_levels_ch!D33</f>
        <v>21.837013244420593</v>
      </c>
      <c r="J33" s="13">
        <f>AWM!C73</f>
        <v>8.4260121350000006</v>
      </c>
      <c r="K33" s="7">
        <f>Haver!H43</f>
        <v>6.8125</v>
      </c>
      <c r="L33" s="7">
        <f>UK_HAVER!D45</f>
        <v>9.0266666666666655</v>
      </c>
      <c r="M33" s="13">
        <f>M34/(OEM_aux!B39/OEM_aux!B38)</f>
        <v>8.2153010176731129</v>
      </c>
      <c r="N33" s="7">
        <f>Haver!J43</f>
        <v>0.82350389929096313</v>
      </c>
      <c r="O33" s="7">
        <f>1/UK_HAVER!F45</f>
        <v>0.56967073031787629</v>
      </c>
      <c r="P33" s="28">
        <f>1/ '[2]Exchange rate'!$C38</f>
        <v>1.0350157203362683E-2</v>
      </c>
      <c r="Q33" s="7"/>
      <c r="R33" s="7">
        <f>Haver!R43</f>
        <v>17.863333333333333</v>
      </c>
      <c r="S33" s="7">
        <f>Mater_Q!B34</f>
        <v>6.5503333333333336</v>
      </c>
    </row>
    <row r="34" spans="1:19" x14ac:dyDescent="0.35">
      <c r="A34" s="4">
        <v>32203</v>
      </c>
      <c r="B34" s="13">
        <f>AWM!B74</f>
        <v>1795687.0453779509</v>
      </c>
      <c r="C34" s="7">
        <f>Haver!D44</f>
        <v>2341.9</v>
      </c>
      <c r="D34" s="7">
        <f>UK_HAVER!C46</f>
        <v>363267</v>
      </c>
      <c r="E34" s="13">
        <f>E35/(OEM!E40/OEM!E39)</f>
        <v>1586.348387630251</v>
      </c>
      <c r="F34" s="13">
        <f>AWM!D74</f>
        <v>53.896274160989229</v>
      </c>
      <c r="G34" s="18">
        <f>Haver!N44</f>
        <v>116.23333333333333</v>
      </c>
      <c r="H34" s="7">
        <f>UK_HAVER!E46</f>
        <v>48.806511468710831</v>
      </c>
      <c r="I34" s="13">
        <f>reconstruct_levels_ch!D34</f>
        <v>22.669604695598331</v>
      </c>
      <c r="J34" s="13">
        <f>AWM!C74</f>
        <v>7.4535991590000004</v>
      </c>
      <c r="K34" s="7">
        <f>Haver!H44</f>
        <v>6.75</v>
      </c>
      <c r="L34" s="7">
        <f>UK_HAVER!D46</f>
        <v>8.6333333333333346</v>
      </c>
      <c r="M34" s="13">
        <f>M35/(OEM_aux!B40/OEM_aux!B39)</f>
        <v>8.2153010176731129</v>
      </c>
      <c r="N34" s="7">
        <f>Haver!J44</f>
        <v>0.81052822124178325</v>
      </c>
      <c r="O34" s="7">
        <f>1/UK_HAVER!F46</f>
        <v>0.55636950353294634</v>
      </c>
      <c r="P34" s="28">
        <f>1/ '[2]Exchange rate'!$C39</f>
        <v>1.037778779810844E-2</v>
      </c>
      <c r="Q34" s="7"/>
      <c r="R34" s="7">
        <f>Haver!R44</f>
        <v>15.73666666666667</v>
      </c>
      <c r="S34" s="7">
        <f>Mater_Q!B35</f>
        <v>6.319</v>
      </c>
    </row>
    <row r="35" spans="1:19" x14ac:dyDescent="0.35">
      <c r="A35" s="4">
        <v>32295</v>
      </c>
      <c r="B35" s="13">
        <f>AWM!B75</f>
        <v>1812194.2820054181</v>
      </c>
      <c r="C35" s="7">
        <f>Haver!D45</f>
        <v>2372.6999999999998</v>
      </c>
      <c r="D35" s="7">
        <f>UK_HAVER!C47</f>
        <v>365209</v>
      </c>
      <c r="E35" s="13">
        <f>E36/(OEM!E41/OEM!E40)</f>
        <v>1628.4837750478664</v>
      </c>
      <c r="F35" s="13">
        <f>AWM!D75</f>
        <v>54.285819812305753</v>
      </c>
      <c r="G35" s="18">
        <f>Haver!N45</f>
        <v>117.56666666666666</v>
      </c>
      <c r="H35" s="7">
        <f>UK_HAVER!E47</f>
        <v>49.22618380594507</v>
      </c>
      <c r="I35" s="13">
        <f>reconstruct_levels_ch!D35</f>
        <v>23.914080008981358</v>
      </c>
      <c r="J35" s="13">
        <f>AWM!C75</f>
        <v>7.2598364330000003</v>
      </c>
      <c r="K35" s="7">
        <f>Haver!H45</f>
        <v>7.4375</v>
      </c>
      <c r="L35" s="7">
        <f>UK_HAVER!D47</f>
        <v>7.9533333333333331</v>
      </c>
      <c r="M35" s="13">
        <f>M36/(OEM_aux!B41/OEM_aux!B40)</f>
        <v>8.2153010176731129</v>
      </c>
      <c r="N35" s="7">
        <f>Haver!J45</f>
        <v>0.82118886248918765</v>
      </c>
      <c r="O35" s="7">
        <f>1/UK_HAVER!F47</f>
        <v>0.54303556882975834</v>
      </c>
      <c r="P35" s="28">
        <f>1/ '[2]Exchange rate'!$C40</f>
        <v>1.030816358107252E-2</v>
      </c>
      <c r="Q35" s="7"/>
      <c r="R35" s="7">
        <f>Haver!R45</f>
        <v>16.149999999999999</v>
      </c>
      <c r="S35" s="7">
        <f>Mater_Q!B36</f>
        <v>6.4906666666666668</v>
      </c>
    </row>
    <row r="36" spans="1:19" x14ac:dyDescent="0.35">
      <c r="A36" s="4">
        <v>32387</v>
      </c>
      <c r="B36" s="13">
        <f>AWM!B76</f>
        <v>1834640.1861029626</v>
      </c>
      <c r="C36" s="7">
        <f>Haver!D46</f>
        <v>2386.6</v>
      </c>
      <c r="D36" s="7">
        <f>UK_HAVER!C48</f>
        <v>369774</v>
      </c>
      <c r="E36" s="13">
        <f>E37/(OEM!E42/OEM!E41)</f>
        <v>1662.1782409213195</v>
      </c>
      <c r="F36" s="13">
        <f>AWM!D76</f>
        <v>54.701297557981071</v>
      </c>
      <c r="G36" s="18">
        <f>Haver!N46</f>
        <v>119</v>
      </c>
      <c r="H36" s="7">
        <f>UK_HAVER!E48</f>
        <v>49.862457777098626</v>
      </c>
      <c r="I36" s="13">
        <f>reconstruct_levels_ch!D36</f>
        <v>26.066442617043762</v>
      </c>
      <c r="J36" s="13">
        <f>AWM!C76</f>
        <v>7.9743925070000001</v>
      </c>
      <c r="K36" s="7">
        <f>Haver!H46</f>
        <v>8.125</v>
      </c>
      <c r="L36" s="7">
        <f>UK_HAVER!D48</f>
        <v>10.89</v>
      </c>
      <c r="M36" s="13">
        <f>M37/(OEM_aux!B42/OEM_aux!B41)</f>
        <v>8.6812936640592095</v>
      </c>
      <c r="N36" s="7">
        <f>Haver!J46</f>
        <v>0.89768755685354529</v>
      </c>
      <c r="O36" s="7">
        <f>1/UK_HAVER!F48</f>
        <v>0.58990089664936285</v>
      </c>
      <c r="P36" s="28">
        <f>1/ '[2]Exchange rate'!$C41</f>
        <v>9.8432947476179231E-3</v>
      </c>
      <c r="Q36" s="7"/>
      <c r="R36" s="7">
        <f>Haver!R46</f>
        <v>14.326666666666668</v>
      </c>
      <c r="S36" s="7">
        <f>Mater_Q!B37</f>
        <v>6.7166666666666659</v>
      </c>
    </row>
    <row r="37" spans="1:19" x14ac:dyDescent="0.35">
      <c r="A37" s="4">
        <v>32478</v>
      </c>
      <c r="B37" s="13">
        <f>AWM!B77</f>
        <v>1851607.7632941313</v>
      </c>
      <c r="C37" s="7">
        <f>Haver!D47</f>
        <v>2418.4</v>
      </c>
      <c r="D37" s="7">
        <f>UK_HAVER!C49</f>
        <v>372752</v>
      </c>
      <c r="E37" s="13">
        <f>E38/(OEM!E43/OEM!E42)</f>
        <v>1695.8015087686267</v>
      </c>
      <c r="F37" s="13">
        <f>AWM!D77</f>
        <v>55.123778804616045</v>
      </c>
      <c r="G37" s="18">
        <f>Haver!N47</f>
        <v>120.3</v>
      </c>
      <c r="H37" s="7">
        <f>UK_HAVER!E49</f>
        <v>50.533578185111764</v>
      </c>
      <c r="I37" s="13">
        <f>reconstruct_levels_ch!D37</f>
        <v>27.756885625290451</v>
      </c>
      <c r="J37" s="13">
        <f>AWM!C77</f>
        <v>8.4754225069999993</v>
      </c>
      <c r="K37" s="7">
        <f>Haver!H47</f>
        <v>8.6875</v>
      </c>
      <c r="L37" s="7">
        <f>UK_HAVER!D49</f>
        <v>12.273333333333333</v>
      </c>
      <c r="M37" s="13">
        <f>M38/(OEM_aux!B43/OEM_aux!B42)</f>
        <v>9.6132828401142412</v>
      </c>
      <c r="N37" s="7">
        <f>Haver!J47</f>
        <v>0.85469354962778099</v>
      </c>
      <c r="O37" s="7">
        <f>1/UK_HAVER!F49</f>
        <v>0.55833690048575313</v>
      </c>
      <c r="P37" s="28">
        <f>1/ '[2]Exchange rate'!$C42</f>
        <v>9.9897804545949487E-3</v>
      </c>
      <c r="Q37" s="7"/>
      <c r="R37" s="7">
        <f>Haver!R47</f>
        <v>13.58</v>
      </c>
      <c r="S37" s="7">
        <f>Mater_Q!B38</f>
        <v>6.4266666666666667</v>
      </c>
    </row>
    <row r="38" spans="1:19" x14ac:dyDescent="0.35">
      <c r="A38" s="4">
        <v>32568</v>
      </c>
      <c r="B38" s="13">
        <f>AWM!B78</f>
        <v>1873357.2754911156</v>
      </c>
      <c r="C38" s="7">
        <f>Haver!D48</f>
        <v>2442.9</v>
      </c>
      <c r="D38" s="7">
        <f>UK_HAVER!C50</f>
        <v>374612</v>
      </c>
      <c r="E38" s="13">
        <f>E39/(OEM!E44/OEM!E43)</f>
        <v>1656.5506302713864</v>
      </c>
      <c r="F38" s="13">
        <f>AWM!D78</f>
        <v>55.831041350665849</v>
      </c>
      <c r="G38" s="18">
        <f>Haver!N48</f>
        <v>121.66666666666667</v>
      </c>
      <c r="H38" s="7">
        <f>UK_HAVER!E50</f>
        <v>51.259160914373574</v>
      </c>
      <c r="I38" s="13">
        <f>reconstruct_levels_ch!D38</f>
        <v>29.027598632711026</v>
      </c>
      <c r="J38" s="13">
        <f>AWM!C78</f>
        <v>9.5159466239999997</v>
      </c>
      <c r="K38" s="7">
        <f>Haver!H48</f>
        <v>9.75</v>
      </c>
      <c r="L38" s="7">
        <f>UK_HAVER!D50</f>
        <v>12.88</v>
      </c>
      <c r="M38" s="13">
        <f>M39/(OEM_aux!B44/OEM_aux!B43)</f>
        <v>11.632589916973648</v>
      </c>
      <c r="N38" s="7">
        <f>Haver!J48</f>
        <v>0.88794175102113315</v>
      </c>
      <c r="O38" s="7">
        <f>1/UK_HAVER!F50</f>
        <v>0.57246445949813951</v>
      </c>
      <c r="P38" s="28">
        <f>1/ '[2]Exchange rate'!$C43</f>
        <v>9.7782871178889851E-3</v>
      </c>
      <c r="Q38" s="7"/>
      <c r="R38" s="7">
        <f>Haver!R48</f>
        <v>17.58666666666667</v>
      </c>
      <c r="S38" s="7">
        <f>Mater_Q!B39</f>
        <v>6.801333333333333</v>
      </c>
    </row>
    <row r="39" spans="1:19" x14ac:dyDescent="0.35">
      <c r="A39" s="4">
        <v>32660</v>
      </c>
      <c r="B39" s="13">
        <f>AWM!B79</f>
        <v>1891166.507143354</v>
      </c>
      <c r="C39" s="7">
        <f>Haver!D49</f>
        <v>2461.6</v>
      </c>
      <c r="D39" s="7">
        <f>UK_HAVER!C51</f>
        <v>376951</v>
      </c>
      <c r="E39" s="13">
        <f>E40/(OEM!E45/OEM!E44)</f>
        <v>1697.6318913574557</v>
      </c>
      <c r="F39" s="13">
        <f>AWM!D79</f>
        <v>56.474651228530455</v>
      </c>
      <c r="G39" s="18">
        <f>Haver!N49</f>
        <v>123.63333333333333</v>
      </c>
      <c r="H39" s="7">
        <f>UK_HAVER!E51</f>
        <v>51.840860739459139</v>
      </c>
      <c r="I39" s="13">
        <f>reconstruct_levels_ch!D39</f>
        <v>29.809874316855819</v>
      </c>
      <c r="J39" s="13">
        <f>AWM!C79</f>
        <v>9.6913450809999997</v>
      </c>
      <c r="K39" s="7">
        <f>Haver!H49</f>
        <v>9.5625</v>
      </c>
      <c r="L39" s="7">
        <f>UK_HAVER!D51</f>
        <v>13.223333333333334</v>
      </c>
      <c r="M39" s="13">
        <f>M40/(OEM_aux!B45/OEM_aux!B44)</f>
        <v>12.642242160975737</v>
      </c>
      <c r="N39" s="7">
        <f>Haver!J49</f>
        <v>0.93001915839466287</v>
      </c>
      <c r="O39" s="7">
        <f>1/UK_HAVER!F51</f>
        <v>0.61418773671819016</v>
      </c>
      <c r="P39" s="28">
        <f>1/ '[2]Exchange rate'!$C44</f>
        <v>9.4009613423068645E-3</v>
      </c>
      <c r="Q39" s="7"/>
      <c r="R39" s="7">
        <f>Haver!R49</f>
        <v>18.873333333333335</v>
      </c>
      <c r="S39" s="7">
        <f>Mater_Q!B40</f>
        <v>6.8639999999999999</v>
      </c>
    </row>
    <row r="40" spans="1:19" x14ac:dyDescent="0.35">
      <c r="A40" s="4">
        <v>32752</v>
      </c>
      <c r="B40" s="13">
        <f>AWM!B80</f>
        <v>1902475.2923999787</v>
      </c>
      <c r="C40" s="7">
        <f>Haver!D50</f>
        <v>2479.8000000000002</v>
      </c>
      <c r="D40" s="7">
        <f>UK_HAVER!C52</f>
        <v>377573</v>
      </c>
      <c r="E40" s="13">
        <f>E41/(OEM!E46/OEM!E45)</f>
        <v>1731.0583757713882</v>
      </c>
      <c r="F40" s="13">
        <f>AWM!D80</f>
        <v>56.86923800643153</v>
      </c>
      <c r="G40" s="18">
        <f>Haver!N50</f>
        <v>124.60000000000001</v>
      </c>
      <c r="H40" s="7">
        <f>UK_HAVER!E52</f>
        <v>52.427737062422061</v>
      </c>
      <c r="I40" s="13">
        <f>reconstruct_levels_ch!D40</f>
        <v>29.978768976593166</v>
      </c>
      <c r="J40" s="13">
        <f>AWM!C80</f>
        <v>10.102045947000001</v>
      </c>
      <c r="K40" s="7">
        <f>Haver!H50</f>
        <v>9.0625</v>
      </c>
      <c r="L40" s="7">
        <f>UK_HAVER!D52</f>
        <v>13.76</v>
      </c>
      <c r="M40" s="13">
        <f>M41/(OEM_aux!B46/OEM_aux!B45)</f>
        <v>12.642242160975737</v>
      </c>
      <c r="N40" s="7">
        <f>Haver!J50</f>
        <v>0.92721658852291311</v>
      </c>
      <c r="O40" s="7">
        <f>1/UK_HAVER!F52</f>
        <v>0.62591278948466522</v>
      </c>
      <c r="P40" s="28">
        <f>1/ '[2]Exchange rate'!$C45</f>
        <v>9.1463358863805577E-3</v>
      </c>
      <c r="Q40" s="7"/>
      <c r="R40" s="7">
        <f>Haver!R50</f>
        <v>17.386666666666667</v>
      </c>
      <c r="S40" s="7">
        <f>Mater_Q!B41</f>
        <v>6.7573333333333325</v>
      </c>
    </row>
    <row r="41" spans="1:19" x14ac:dyDescent="0.35">
      <c r="A41" s="4">
        <v>32843</v>
      </c>
      <c r="B41" s="13">
        <f>AWM!B81</f>
        <v>1922300.012152707</v>
      </c>
      <c r="C41" s="7">
        <f>Haver!D51</f>
        <v>2484.6999999999998</v>
      </c>
      <c r="D41" s="7">
        <f>UK_HAVER!C53</f>
        <v>377508</v>
      </c>
      <c r="E41" s="13">
        <f>E42/(OEM!E47/OEM!E46)</f>
        <v>1768.090249120421</v>
      </c>
      <c r="F41" s="13">
        <f>AWM!D81</f>
        <v>57.38760880328703</v>
      </c>
      <c r="G41" s="18">
        <f>Haver!N51</f>
        <v>125.86666666666667</v>
      </c>
      <c r="H41" s="7">
        <f>UK_HAVER!E53</f>
        <v>53.331517617918131</v>
      </c>
      <c r="I41" s="13">
        <f>reconstruct_levels_ch!D41</f>
        <v>29.838444411940021</v>
      </c>
      <c r="J41" s="13">
        <f>AWM!C81</f>
        <v>11.071902127</v>
      </c>
      <c r="K41" s="7">
        <f>Haver!H51</f>
        <v>8.25</v>
      </c>
      <c r="L41" s="7">
        <f>UK_HAVER!D53</f>
        <v>14.81</v>
      </c>
      <c r="M41" s="13">
        <f>M42/(OEM_aux!B47/OEM_aux!B46)</f>
        <v>12.642242160975737</v>
      </c>
      <c r="N41" s="7">
        <f>Haver!J51</f>
        <v>0.88523255059104022</v>
      </c>
      <c r="O41" s="7">
        <f>1/UK_HAVER!F53</f>
        <v>0.63071586250394196</v>
      </c>
      <c r="P41" s="28">
        <f>1/ '[2]Exchange rate'!$C46</f>
        <v>9.3827466301865479E-3</v>
      </c>
      <c r="Q41" s="7"/>
      <c r="R41" s="7">
        <f>Haver!R51</f>
        <v>19.16</v>
      </c>
      <c r="S41" s="7">
        <f>Mater_Q!B42</f>
        <v>7.1713333333333331</v>
      </c>
    </row>
    <row r="42" spans="1:19" x14ac:dyDescent="0.35">
      <c r="A42" s="4">
        <v>32933</v>
      </c>
      <c r="B42" s="13">
        <f>AWM!B82</f>
        <v>1948361.0169630887</v>
      </c>
      <c r="C42" s="7">
        <f>Haver!D52</f>
        <v>2511.9</v>
      </c>
      <c r="D42" s="7">
        <f>UK_HAVER!C54</f>
        <v>379458</v>
      </c>
      <c r="E42" s="13">
        <f>E43/(OEM!E48/OEM!E47)</f>
        <v>1719.2800467516461</v>
      </c>
      <c r="F42" s="13">
        <f>AWM!D82</f>
        <v>58.106758019778439</v>
      </c>
      <c r="G42" s="18">
        <f>Haver!N52</f>
        <v>128.03333333333333</v>
      </c>
      <c r="H42" s="7">
        <f>UK_HAVER!E54</f>
        <v>54.222591191715075</v>
      </c>
      <c r="I42" s="13">
        <f>reconstruct_levels_ch!D42</f>
        <v>30.307396005793446</v>
      </c>
      <c r="J42" s="13">
        <f>AWM!C82</f>
        <v>11.225662452</v>
      </c>
      <c r="K42" s="7">
        <f>Haver!H52</f>
        <v>8.25</v>
      </c>
      <c r="L42" s="7">
        <f>UK_HAVER!D54</f>
        <v>14.88</v>
      </c>
      <c r="M42" s="13">
        <f>M43/(OEM_aux!B48/OEM_aux!B47)</f>
        <v>12.098582563359743</v>
      </c>
      <c r="N42" s="7">
        <f>Haver!J52</f>
        <v>0.82923781987848888</v>
      </c>
      <c r="O42" s="7">
        <f>1/UK_HAVER!F54</f>
        <v>0.60340319401424036</v>
      </c>
      <c r="P42" s="28">
        <f>1/ '[2]Exchange rate'!$C47</f>
        <v>1.0850803941489427E-2</v>
      </c>
      <c r="Q42" s="7">
        <f>Haver!Q52</f>
        <v>22.223333333333333</v>
      </c>
      <c r="R42" s="7">
        <f>Haver!R52</f>
        <v>19.816666666666666</v>
      </c>
      <c r="S42" s="7">
        <f>Mater_Q!B43</f>
        <v>8.2419999999999991</v>
      </c>
    </row>
    <row r="43" spans="1:19" x14ac:dyDescent="0.35">
      <c r="A43" s="4">
        <v>33025</v>
      </c>
      <c r="B43" s="13">
        <f>AWM!B83</f>
        <v>1957258.1590514842</v>
      </c>
      <c r="C43" s="7">
        <f>Haver!D53</f>
        <v>2521</v>
      </c>
      <c r="D43" s="7">
        <f>UK_HAVER!C55</f>
        <v>381997</v>
      </c>
      <c r="E43" s="13">
        <f>E44/(OEM!E49/OEM!E48)</f>
        <v>1762.4389057951059</v>
      </c>
      <c r="F43" s="13">
        <f>AWM!D83</f>
        <v>58.605873635184572</v>
      </c>
      <c r="G43" s="18">
        <f>Haver!N53</f>
        <v>129.29999999999998</v>
      </c>
      <c r="H43" s="7">
        <f>UK_HAVER!E55</f>
        <v>55.277046962360664</v>
      </c>
      <c r="I43" s="13">
        <f>reconstruct_levels_ch!D43</f>
        <v>30.474692793668595</v>
      </c>
      <c r="J43" s="13">
        <f>AWM!C83</f>
        <v>10.618018136</v>
      </c>
      <c r="K43" s="7">
        <f>Haver!H53</f>
        <v>8.25</v>
      </c>
      <c r="L43" s="7">
        <f>UK_HAVER!D55</f>
        <v>14.88</v>
      </c>
      <c r="M43" s="13">
        <f>M44/(OEM_aux!B49/OEM_aux!B48)</f>
        <v>11.011264662555368</v>
      </c>
      <c r="N43" s="7">
        <f>Haver!J53</f>
        <v>0.81816991752847235</v>
      </c>
      <c r="O43" s="7">
        <f>1/UK_HAVER!F55</f>
        <v>0.59702680650361206</v>
      </c>
      <c r="P43" s="28">
        <f>1/ '[2]Exchange rate'!$C48</f>
        <v>1.0728673248278559E-2</v>
      </c>
      <c r="Q43" s="7">
        <f>Haver!Q53</f>
        <v>18.773333333333333</v>
      </c>
      <c r="R43" s="7">
        <f>Haver!R53</f>
        <v>16.02</v>
      </c>
      <c r="S43" s="7">
        <f>Mater_Q!B44</f>
        <v>8.6920000000000002</v>
      </c>
    </row>
    <row r="44" spans="1:19" x14ac:dyDescent="0.35">
      <c r="A44" s="4">
        <v>33117</v>
      </c>
      <c r="B44" s="13">
        <f>AWM!B84</f>
        <v>1975410.7593247055</v>
      </c>
      <c r="C44" s="7">
        <f>Haver!D54</f>
        <v>2522.6999999999998</v>
      </c>
      <c r="D44" s="7">
        <f>UK_HAVER!C56</f>
        <v>377831</v>
      </c>
      <c r="E44" s="13">
        <f>E45/(OEM!E50/OEM!E49)</f>
        <v>1799.5152779104797</v>
      </c>
      <c r="F44" s="13">
        <f>AWM!D84</f>
        <v>59.146729876778643</v>
      </c>
      <c r="G44" s="18">
        <f>Haver!N54</f>
        <v>131.53333333333333</v>
      </c>
      <c r="H44" s="7">
        <f>UK_HAVER!E56</f>
        <v>56.360326059017105</v>
      </c>
      <c r="I44" s="13">
        <f>reconstruct_levels_ch!D44</f>
        <v>30.564372041624573</v>
      </c>
      <c r="J44" s="13">
        <f>AWM!C84</f>
        <v>10.536336843999999</v>
      </c>
      <c r="K44" s="7">
        <f>Haver!H54</f>
        <v>8</v>
      </c>
      <c r="L44" s="7">
        <f>UK_HAVER!D56</f>
        <v>14.88</v>
      </c>
      <c r="M44" s="13">
        <f>M45/(OEM_aux!B50/OEM_aux!B49)</f>
        <v>10.389939408137089</v>
      </c>
      <c r="N44" s="7">
        <f>Haver!J54</f>
        <v>0.77100804161387404</v>
      </c>
      <c r="O44" s="7">
        <f>1/UK_HAVER!F56</f>
        <v>0.53662463107056613</v>
      </c>
      <c r="P44" s="28">
        <f>1/ '[2]Exchange rate'!$C49</f>
        <v>1.1008940801182272E-2</v>
      </c>
      <c r="Q44" s="7">
        <f>Haver!Q54</f>
        <v>25.22666666666667</v>
      </c>
      <c r="R44" s="7">
        <f>Haver!R54</f>
        <v>26.413333333333338</v>
      </c>
      <c r="S44" s="7">
        <f>Mater_Q!B45</f>
        <v>8.8013333333333339</v>
      </c>
    </row>
    <row r="45" spans="1:19" x14ac:dyDescent="0.35">
      <c r="A45" s="4">
        <v>33208</v>
      </c>
      <c r="B45" s="13">
        <f>AWM!B85</f>
        <v>1986588.9426843303</v>
      </c>
      <c r="C45" s="7">
        <f>Haver!D55</f>
        <v>2499.6999999999998</v>
      </c>
      <c r="D45" s="7">
        <f>UK_HAVER!C57</f>
        <v>375916</v>
      </c>
      <c r="E45" s="13">
        <f>E46/(OEM!E51/OEM!E50)</f>
        <v>1842.8076332529629</v>
      </c>
      <c r="F45" s="13">
        <f>AWM!D85</f>
        <v>59.910068168803988</v>
      </c>
      <c r="G45" s="18">
        <f>Haver!N55</f>
        <v>133.76666666666668</v>
      </c>
      <c r="H45" s="7">
        <f>UK_HAVER!E57</f>
        <v>57.530704335528576</v>
      </c>
      <c r="I45" s="13">
        <f>reconstruct_levels_ch!D45</f>
        <v>30.932343080445907</v>
      </c>
      <c r="J45" s="13">
        <f>AWM!C85</f>
        <v>11.046291095999999</v>
      </c>
      <c r="K45" s="7">
        <f>Haver!H55</f>
        <v>7</v>
      </c>
      <c r="L45" s="7">
        <f>UK_HAVER!D57</f>
        <v>13.950000000000001</v>
      </c>
      <c r="M45" s="13">
        <f>M46/(OEM_aux!B51/OEM_aux!B50)</f>
        <v>10.07927678092795</v>
      </c>
      <c r="N45" s="7">
        <f>Haver!J55</f>
        <v>0.73163593795727233</v>
      </c>
      <c r="O45" s="7">
        <f>1/UK_HAVER!F57</f>
        <v>0.51442975461700702</v>
      </c>
      <c r="P45" s="28">
        <f>1/ '[2]Exchange rate'!$C50</f>
        <v>1.1837786807378492E-2</v>
      </c>
      <c r="Q45" s="7">
        <f>Haver!Q55</f>
        <v>25.959999999999997</v>
      </c>
      <c r="R45" s="7">
        <f>Haver!R55</f>
        <v>32.453333333333333</v>
      </c>
      <c r="S45" s="7">
        <f>Mater_Q!B46</f>
        <v>8.9216666666666669</v>
      </c>
    </row>
    <row r="46" spans="1:19" x14ac:dyDescent="0.35">
      <c r="A46" s="4">
        <v>33298</v>
      </c>
      <c r="B46" s="13">
        <f>AWM!B86</f>
        <v>2000317.4698859446</v>
      </c>
      <c r="C46" s="7">
        <f>Haver!D56</f>
        <v>2488</v>
      </c>
      <c r="D46" s="7">
        <f>UK_HAVER!C58</f>
        <v>374060</v>
      </c>
      <c r="E46" s="13">
        <f>E47/(OEM!E52/OEM!E51)</f>
        <v>1872.5031433245656</v>
      </c>
      <c r="F46" s="13">
        <f>AWM!D86</f>
        <v>60.523557385036177</v>
      </c>
      <c r="G46" s="18">
        <f>Haver!N56</f>
        <v>134.76666666666668</v>
      </c>
      <c r="H46" s="7">
        <f>UK_HAVER!E58</f>
        <v>57.987863329645435</v>
      </c>
      <c r="I46" s="13">
        <f>reconstruct_levels_ch!D46</f>
        <v>30.959507443709889</v>
      </c>
      <c r="J46" s="13">
        <f>AWM!C86</f>
        <v>11.096522687</v>
      </c>
      <c r="K46" s="7">
        <f>Haver!H56</f>
        <v>6</v>
      </c>
      <c r="L46" s="7">
        <f>UK_HAVER!D58</f>
        <v>13.386666666666665</v>
      </c>
      <c r="M46" s="13">
        <f>M47/(OEM_aux!B52/OEM_aux!B51)</f>
        <v>10.07927678092795</v>
      </c>
      <c r="N46" s="7">
        <f>Haver!J56</f>
        <v>0.74585676566672132</v>
      </c>
      <c r="O46" s="7">
        <f>1/UK_HAVER!F58</f>
        <v>0.52446635548329579</v>
      </c>
      <c r="P46" s="28">
        <f>1/ '[2]Exchange rate'!$C51</f>
        <v>1.2126356636148668E-2</v>
      </c>
      <c r="Q46" s="7">
        <f>Haver!Q56</f>
        <v>22.256666666666664</v>
      </c>
      <c r="R46" s="7">
        <f>Haver!R56</f>
        <v>20.73</v>
      </c>
      <c r="S46" s="7">
        <f>Mater_Q!B47</f>
        <v>8.5543333333333322</v>
      </c>
    </row>
    <row r="47" spans="1:19" x14ac:dyDescent="0.35">
      <c r="A47" s="4">
        <v>33390</v>
      </c>
      <c r="B47" s="13">
        <f>AWM!B87</f>
        <v>2006259.1778595182</v>
      </c>
      <c r="C47" s="7">
        <f>Haver!D57</f>
        <v>2507.4</v>
      </c>
      <c r="D47" s="7">
        <f>UK_HAVER!C59</f>
        <v>373608</v>
      </c>
      <c r="E47" s="13">
        <f>E48/(OEM!E53/OEM!E52)</f>
        <v>1924.9098348751729</v>
      </c>
      <c r="F47" s="13">
        <f>AWM!D87</f>
        <v>61.11965386838213</v>
      </c>
      <c r="G47" s="18">
        <f>Haver!N57</f>
        <v>135.56666666666666</v>
      </c>
      <c r="H47" s="7">
        <f>UK_HAVER!E59</f>
        <v>59.907205094854056</v>
      </c>
      <c r="I47" s="13">
        <f>reconstruct_levels_ch!D47</f>
        <v>31.397207430170685</v>
      </c>
      <c r="J47" s="13">
        <f>AWM!C87</f>
        <v>10.461557802</v>
      </c>
      <c r="K47" s="7">
        <f>Haver!H57</f>
        <v>5.75</v>
      </c>
      <c r="L47" s="7">
        <f>UK_HAVER!D59</f>
        <v>11.736666666666666</v>
      </c>
      <c r="M47" s="13">
        <f>M48/(OEM_aux!B53/OEM_aux!B52)</f>
        <v>9.1472888993005323</v>
      </c>
      <c r="N47" s="7">
        <f>Haver!J57</f>
        <v>0.84243869152422435</v>
      </c>
      <c r="O47" s="7">
        <f>1/UK_HAVER!F59</f>
        <v>0.58557151780137418</v>
      </c>
      <c r="P47" s="28">
        <f>1/ '[2]Exchange rate'!$C52</f>
        <v>1.1697630294055031E-2</v>
      </c>
      <c r="Q47" s="7">
        <f>Haver!Q57</f>
        <v>17.146666666666665</v>
      </c>
      <c r="R47" s="7">
        <f>Haver!R57</f>
        <v>18.846666666666668</v>
      </c>
      <c r="S47" s="7">
        <f>Mater_Q!B48</f>
        <v>8.3379999999999992</v>
      </c>
    </row>
    <row r="48" spans="1:19" x14ac:dyDescent="0.35">
      <c r="A48" s="4">
        <v>33482</v>
      </c>
      <c r="B48" s="13">
        <f>AWM!B88</f>
        <v>2005704.9115983665</v>
      </c>
      <c r="C48" s="7">
        <f>Haver!D58</f>
        <v>2520.1</v>
      </c>
      <c r="D48" s="7">
        <f>UK_HAVER!C60</f>
        <v>372878</v>
      </c>
      <c r="E48" s="13">
        <f>E49/(OEM!E54/OEM!E53)</f>
        <v>1971.9697524345329</v>
      </c>
      <c r="F48" s="13">
        <f>AWM!D88</f>
        <v>61.901553573253409</v>
      </c>
      <c r="G48" s="18">
        <f>Haver!N58</f>
        <v>136.6</v>
      </c>
      <c r="H48" s="7">
        <f>UK_HAVER!E60</f>
        <v>60.795959059430075</v>
      </c>
      <c r="I48" s="13">
        <f>reconstruct_levels_ch!D48</f>
        <v>31.960599948710847</v>
      </c>
      <c r="J48" s="13">
        <f>AWM!C88</f>
        <v>10.505995789</v>
      </c>
      <c r="K48" s="7">
        <f>Haver!H58</f>
        <v>5.25</v>
      </c>
      <c r="L48" s="7">
        <f>UK_HAVER!D60</f>
        <v>10.790000000000001</v>
      </c>
      <c r="M48" s="13">
        <f>M49/(OEM_aux!B54/OEM_aux!B53)</f>
        <v>9.1472888993005323</v>
      </c>
      <c r="N48" s="7">
        <f>Haver!J58</f>
        <v>0.84912469396130819</v>
      </c>
      <c r="O48" s="7">
        <f>1/UK_HAVER!F60</f>
        <v>0.59266283411367282</v>
      </c>
      <c r="P48" s="28">
        <f>1/ '[2]Exchange rate'!$C53</f>
        <v>1.161828676510996E-2</v>
      </c>
      <c r="Q48" s="7">
        <f>Haver!Q58</f>
        <v>16.643333333333334</v>
      </c>
      <c r="R48" s="7">
        <f>Haver!R58</f>
        <v>19.89</v>
      </c>
      <c r="S48" s="7">
        <f>Mater_Q!B49</f>
        <v>8.5153333333333325</v>
      </c>
    </row>
    <row r="49" spans="1:19" x14ac:dyDescent="0.35">
      <c r="A49" s="4">
        <v>33573</v>
      </c>
      <c r="B49" s="13">
        <f>AWM!B89</f>
        <v>2024779.1889547959</v>
      </c>
      <c r="C49" s="7">
        <f>Haver!D59</f>
        <v>2528.8000000000002</v>
      </c>
      <c r="D49" s="7">
        <f>UK_HAVER!C61</f>
        <v>373357</v>
      </c>
      <c r="E49" s="13">
        <f>E50/(OEM!E55/OEM!E54)</f>
        <v>2025.5522002780181</v>
      </c>
      <c r="F49" s="13">
        <f>AWM!D89</f>
        <v>62.399618272660952</v>
      </c>
      <c r="G49" s="18">
        <f>Haver!N59</f>
        <v>137.73333333333332</v>
      </c>
      <c r="H49" s="7">
        <f>UK_HAVER!E61</f>
        <v>61.532523361833512</v>
      </c>
      <c r="I49" s="13">
        <f>reconstruct_levels_ch!D49</f>
        <v>32.338295884481411</v>
      </c>
      <c r="J49" s="13">
        <f>AWM!C89</f>
        <v>10.732214710999999</v>
      </c>
      <c r="K49" s="7">
        <f>Haver!H59</f>
        <v>4</v>
      </c>
      <c r="L49" s="7">
        <f>UK_HAVER!D61</f>
        <v>10.38</v>
      </c>
      <c r="M49" s="13">
        <f>M50/(OEM_aux!B55/OEM_aux!B54)</f>
        <v>9.1472888993005323</v>
      </c>
      <c r="N49" s="7">
        <f>Haver!J59</f>
        <v>0.79580874063266804</v>
      </c>
      <c r="O49" s="7">
        <f>1/UK_HAVER!F61</f>
        <v>0.56286234263307</v>
      </c>
      <c r="P49" s="28">
        <f>1/ '[2]Exchange rate'!$C54</f>
        <v>1.172816368388189E-2</v>
      </c>
      <c r="Q49" s="7">
        <f>Haver!Q59</f>
        <v>17.493333333333332</v>
      </c>
      <c r="R49" s="7">
        <f>Haver!R59</f>
        <v>20.576666666666668</v>
      </c>
      <c r="S49" s="7">
        <f>Mater_Q!B50</f>
        <v>8.259666666666666</v>
      </c>
    </row>
    <row r="50" spans="1:19" x14ac:dyDescent="0.35">
      <c r="A50" s="4">
        <v>33664</v>
      </c>
      <c r="B50" s="13">
        <f>AWM!B90</f>
        <v>2055344.3135814895</v>
      </c>
      <c r="C50" s="7">
        <f>Haver!D60</f>
        <v>2559.1</v>
      </c>
      <c r="D50" s="7">
        <f>UK_HAVER!C62</f>
        <v>373317</v>
      </c>
      <c r="E50" s="30">
        <f>reconstruct_levels_ch!I50</f>
        <v>2111.33</v>
      </c>
      <c r="F50" s="13">
        <f>AWM!D90</f>
        <v>63.063435411329401</v>
      </c>
      <c r="G50" s="18">
        <f>Haver!N60</f>
        <v>138.66666666666666</v>
      </c>
      <c r="H50" s="7">
        <f>UK_HAVER!E62</f>
        <v>62.041971285424118</v>
      </c>
      <c r="I50" s="13">
        <f>reconstruct_levels_ch!D50</f>
        <v>32.654093507892213</v>
      </c>
      <c r="J50" s="13">
        <f>AWM!C90</f>
        <v>10.849247498</v>
      </c>
      <c r="K50" s="7">
        <f>Haver!H60</f>
        <v>4</v>
      </c>
      <c r="L50" s="7">
        <f>UK_HAVER!D62</f>
        <v>10.38</v>
      </c>
      <c r="M50" s="13">
        <f>M51/(OEM_aux!B56/OEM_aux!B55)</f>
        <v>9.1472888993005323</v>
      </c>
      <c r="N50" s="7">
        <f>Haver!J60</f>
        <v>0.792001837444263</v>
      </c>
      <c r="O50" s="7">
        <f>1/UK_HAVER!F62</f>
        <v>0.56490792000903856</v>
      </c>
      <c r="P50" s="28">
        <f>1/ '[2]Exchange rate'!$C55</f>
        <v>1.1518829023486662E-2</v>
      </c>
      <c r="Q50" s="7">
        <f>Haver!Q60</f>
        <v>17.559999999999999</v>
      </c>
      <c r="R50" s="7">
        <f>Haver!R60</f>
        <v>17.946666666666669</v>
      </c>
      <c r="S50" s="7">
        <f>Mater_Q!B51</f>
        <v>7.9203333333333328</v>
      </c>
    </row>
    <row r="51" spans="1:19" x14ac:dyDescent="0.35">
      <c r="A51" s="4">
        <v>33756</v>
      </c>
      <c r="B51" s="13">
        <f>AWM!B91</f>
        <v>2039655.3510260149</v>
      </c>
      <c r="C51" s="7">
        <f>Haver!D61</f>
        <v>2586.9</v>
      </c>
      <c r="D51" s="7">
        <f>UK_HAVER!C63</f>
        <v>372751</v>
      </c>
      <c r="E51" s="30">
        <f>reconstruct_levels_ch!I51</f>
        <v>2211.7393436635693</v>
      </c>
      <c r="F51" s="13">
        <f>AWM!D91</f>
        <v>63.705368091710504</v>
      </c>
      <c r="G51" s="18">
        <f>Haver!N61</f>
        <v>139.73333333333335</v>
      </c>
      <c r="H51" s="7">
        <f>UK_HAVER!E63</f>
        <v>62.458774930791293</v>
      </c>
      <c r="I51" s="13">
        <f>reconstruct_levels_ch!D51</f>
        <v>33.150092567642432</v>
      </c>
      <c r="J51" s="13">
        <f>AWM!C91</f>
        <v>10.979088303999999</v>
      </c>
      <c r="K51" s="7">
        <f>Haver!H61</f>
        <v>3.75</v>
      </c>
      <c r="L51" s="7">
        <f>UK_HAVER!D63</f>
        <v>10.053333333333335</v>
      </c>
      <c r="M51" s="13">
        <f>M52/(OEM_aux!B57/OEM_aux!B56)</f>
        <v>9.1472888993005323</v>
      </c>
      <c r="N51" s="7">
        <f>Haver!J61</f>
        <v>0.78663764847785622</v>
      </c>
      <c r="O51" s="7">
        <f>1/UK_HAVER!F63</f>
        <v>0.55338301483066477</v>
      </c>
      <c r="P51" s="28">
        <f>1/ '[2]Exchange rate'!$C56</f>
        <v>1.1469402501476685E-2</v>
      </c>
      <c r="Q51" s="7">
        <f>Haver!Q61</f>
        <v>15.613333333333335</v>
      </c>
      <c r="R51" s="7">
        <f>Haver!R61</f>
        <v>19.989999999999998</v>
      </c>
      <c r="S51" s="7">
        <f>Mater_Q!B52</f>
        <v>8.0080000000000009</v>
      </c>
    </row>
    <row r="52" spans="1:19" x14ac:dyDescent="0.35">
      <c r="A52" s="4">
        <v>33848</v>
      </c>
      <c r="B52" s="13">
        <f>AWM!B92</f>
        <v>2033943.7300427046</v>
      </c>
      <c r="C52" s="7">
        <f>Haver!D62</f>
        <v>2612.4</v>
      </c>
      <c r="D52" s="7">
        <f>UK_HAVER!C64</f>
        <v>374537</v>
      </c>
      <c r="E52" s="30">
        <f>reconstruct_levels_ch!I52</f>
        <v>2293.0166848454642</v>
      </c>
      <c r="F52" s="13">
        <f>AWM!D92</f>
        <v>64.012141409365924</v>
      </c>
      <c r="G52" s="18">
        <f>Haver!N62</f>
        <v>140.79999999999998</v>
      </c>
      <c r="H52" s="7">
        <f>UK_HAVER!E64</f>
        <v>62.701766808449648</v>
      </c>
      <c r="I52" s="13">
        <f>reconstruct_levels_ch!D52</f>
        <v>33.901803030331408</v>
      </c>
      <c r="J52" s="13">
        <f>AWM!C92</f>
        <v>11.928408989999999</v>
      </c>
      <c r="K52" s="7">
        <f>Haver!H62</f>
        <v>3</v>
      </c>
      <c r="L52" s="7">
        <f>UK_HAVER!D64</f>
        <v>9.7733333333333334</v>
      </c>
      <c r="M52" s="13">
        <f>M53/(OEM_aux!B58/OEM_aux!B57)</f>
        <v>9.1472888993005323</v>
      </c>
      <c r="N52" s="7">
        <f>Haver!J62</f>
        <v>0.72128908785781942</v>
      </c>
      <c r="O52" s="7">
        <f>1/UK_HAVER!F64</f>
        <v>0.52561496951433173</v>
      </c>
      <c r="P52" s="28">
        <f>1/ '[2]Exchange rate'!$C57</f>
        <v>1.1480416991705973E-2</v>
      </c>
      <c r="Q52" s="7">
        <f>Haver!Q62</f>
        <v>13.906666666666666</v>
      </c>
      <c r="R52" s="7">
        <f>Haver!R62</f>
        <v>20.083333333333332</v>
      </c>
      <c r="S52" s="7">
        <f>Mater_Q!B53</f>
        <v>7.9239999999999995</v>
      </c>
    </row>
    <row r="53" spans="1:19" x14ac:dyDescent="0.35">
      <c r="A53" s="4">
        <v>33939</v>
      </c>
      <c r="B53" s="13">
        <f>AWM!B93</f>
        <v>2029876.685304441</v>
      </c>
      <c r="C53" s="7">
        <f>Haver!D63</f>
        <v>2639.7</v>
      </c>
      <c r="D53" s="7">
        <f>UK_HAVER!C65</f>
        <v>377418</v>
      </c>
      <c r="E53" s="30">
        <f>reconstruct_levels_ch!I53</f>
        <v>2354.7849649163854</v>
      </c>
      <c r="F53" s="13">
        <f>AWM!D93</f>
        <v>64.439827404072773</v>
      </c>
      <c r="G53" s="18">
        <f>Haver!N63</f>
        <v>142.03333333333333</v>
      </c>
      <c r="H53" s="7">
        <f>UK_HAVER!E65</f>
        <v>63.20453333731443</v>
      </c>
      <c r="I53" s="13">
        <f>reconstruct_levels_ch!D53</f>
        <v>35.034773272477523</v>
      </c>
      <c r="J53" s="13">
        <f>AWM!C93</f>
        <v>11.451664051</v>
      </c>
      <c r="K53" s="7">
        <f>Haver!H63</f>
        <v>3</v>
      </c>
      <c r="L53" s="7">
        <f>UK_HAVER!D65</f>
        <v>7.52</v>
      </c>
      <c r="M53" s="13">
        <f>M54/(OEM_aux!B59/OEM_aux!B58)</f>
        <v>9.1472888993005323</v>
      </c>
      <c r="N53" s="7">
        <f>Haver!J63</f>
        <v>0.7888384616598213</v>
      </c>
      <c r="O53" s="7">
        <f>1/UK_HAVER!F65</f>
        <v>0.63415562178958718</v>
      </c>
      <c r="P53" s="28">
        <f>1/ '[2]Exchange rate'!$C58</f>
        <v>1.1251399814779456E-2</v>
      </c>
      <c r="Q53" s="7">
        <f>Haver!Q63</f>
        <v>14.75</v>
      </c>
      <c r="R53" s="7">
        <f>Haver!R63</f>
        <v>19.203333333333333</v>
      </c>
      <c r="S53" s="7">
        <f>Mater_Q!B54</f>
        <v>7.3296666666666672</v>
      </c>
    </row>
    <row r="54" spans="1:19" x14ac:dyDescent="0.35">
      <c r="A54" s="4">
        <v>34029</v>
      </c>
      <c r="B54" s="13">
        <f>AWM!B94</f>
        <v>2016046.0452915577</v>
      </c>
      <c r="C54" s="7">
        <f>Haver!D64</f>
        <v>2644.1</v>
      </c>
      <c r="D54" s="7">
        <f>UK_HAVER!C66</f>
        <v>379370</v>
      </c>
      <c r="E54" s="30">
        <f>reconstruct_levels_ch!I54</f>
        <v>2430.7798498914049</v>
      </c>
      <c r="F54" s="13">
        <f>AWM!D94</f>
        <v>65.221967723920869</v>
      </c>
      <c r="G54" s="18">
        <f>Haver!N64</f>
        <v>143.06666666666666</v>
      </c>
      <c r="H54" s="7">
        <f>UK_HAVER!E66</f>
        <v>63.522508508576124</v>
      </c>
      <c r="I54" s="13">
        <f>reconstruct_levels_ch!D54</f>
        <v>36.255181165718419</v>
      </c>
      <c r="J54" s="13">
        <f>AWM!C94</f>
        <v>10.706122967000001</v>
      </c>
      <c r="K54" s="7">
        <f>Haver!H64</f>
        <v>3</v>
      </c>
      <c r="L54" s="7">
        <f>UK_HAVER!D66</f>
        <v>6.1466666666666656</v>
      </c>
      <c r="M54" s="13">
        <f>M55/(OEM_aux!B60/OEM_aux!B59)</f>
        <v>9.1472888993005323</v>
      </c>
      <c r="N54" s="7">
        <f>Haver!J64</f>
        <v>0.83958591622611722</v>
      </c>
      <c r="O54" s="7">
        <f>1/UK_HAVER!F66</f>
        <v>0.67663576696664185</v>
      </c>
      <c r="P54" s="28">
        <f>1/ '[2]Exchange rate'!$C59</f>
        <v>1.101527940421438E-2</v>
      </c>
      <c r="Q54" s="7">
        <f>Haver!Q64</f>
        <v>13.246666666666668</v>
      </c>
      <c r="R54" s="7">
        <f>Haver!R64</f>
        <v>18.216666666666665</v>
      </c>
      <c r="S54" s="7">
        <f>Mater_Q!B55</f>
        <v>6.9080000000000004</v>
      </c>
    </row>
    <row r="55" spans="1:19" x14ac:dyDescent="0.35">
      <c r="A55" s="4">
        <v>34121</v>
      </c>
      <c r="B55" s="13">
        <f>AWM!B95</f>
        <v>2017541.4852718085</v>
      </c>
      <c r="C55" s="7">
        <f>Haver!D65</f>
        <v>2659.5</v>
      </c>
      <c r="D55" s="7">
        <f>UK_HAVER!C67</f>
        <v>381045</v>
      </c>
      <c r="E55" s="30">
        <f>reconstruct_levels_ch!I55</f>
        <v>2512.366964268163</v>
      </c>
      <c r="F55" s="13">
        <f>AWM!D95</f>
        <v>65.815692465948672</v>
      </c>
      <c r="G55" s="18">
        <f>Haver!N65</f>
        <v>144.1</v>
      </c>
      <c r="H55" s="7">
        <f>UK_HAVER!E67</f>
        <v>64.066810642587384</v>
      </c>
      <c r="I55" s="13">
        <f>reconstruct_levels_ch!D55</f>
        <v>37.821677584817749</v>
      </c>
      <c r="J55" s="13">
        <f>AWM!C95</f>
        <v>9.0912239360000004</v>
      </c>
      <c r="K55" s="7">
        <f>Haver!H65</f>
        <v>3</v>
      </c>
      <c r="L55" s="7">
        <f>UK_HAVER!D67</f>
        <v>5.88</v>
      </c>
      <c r="M55" s="13">
        <f>M56/(OEM_aux!B61/OEM_aux!B60)</f>
        <v>9.6219114945849764</v>
      </c>
      <c r="N55" s="7">
        <f>Haver!J65</f>
        <v>0.82798820944789742</v>
      </c>
      <c r="O55" s="7">
        <f>1/UK_HAVER!F67</f>
        <v>0.65208885797504668</v>
      </c>
      <c r="P55" s="28">
        <f>1/ '[2]Exchange rate'!$C60</f>
        <v>1.0898051777079915E-2</v>
      </c>
      <c r="Q55" s="7">
        <f>Haver!Q65</f>
        <v>12.99</v>
      </c>
      <c r="R55" s="7">
        <f>Haver!R65</f>
        <v>18.276666666666667</v>
      </c>
      <c r="S55" s="7">
        <f>Mater_Q!B56</f>
        <v>6.75</v>
      </c>
    </row>
    <row r="56" spans="1:19" x14ac:dyDescent="0.35">
      <c r="A56" s="4">
        <v>34213</v>
      </c>
      <c r="B56" s="13">
        <f>AWM!B96</f>
        <v>2025906.4458409215</v>
      </c>
      <c r="C56" s="7">
        <f>Haver!D66</f>
        <v>2672.2</v>
      </c>
      <c r="D56" s="7">
        <f>UK_HAVER!C68</f>
        <v>384524</v>
      </c>
      <c r="E56" s="30">
        <f>reconstruct_levels_ch!I56</f>
        <v>2593.7092341376924</v>
      </c>
      <c r="F56" s="13">
        <f>AWM!D96</f>
        <v>66.241831670734655</v>
      </c>
      <c r="G56" s="18">
        <f>Haver!N66</f>
        <v>144.76666666666668</v>
      </c>
      <c r="H56" s="7">
        <f>UK_HAVER!E68</f>
        <v>64.483438648998103</v>
      </c>
      <c r="I56" s="13">
        <f>reconstruct_levels_ch!D56</f>
        <v>39.337850065900469</v>
      </c>
      <c r="J56" s="13">
        <f>AWM!C96</f>
        <v>8.1200998729999991</v>
      </c>
      <c r="K56" s="7">
        <f>Haver!H66</f>
        <v>3</v>
      </c>
      <c r="L56" s="7">
        <f>UK_HAVER!D68</f>
        <v>5.88</v>
      </c>
      <c r="M56" s="13">
        <f>M57/(OEM_aux!B62/OEM_aux!B61)</f>
        <v>11.951882493081136</v>
      </c>
      <c r="N56" s="7">
        <f>Haver!J66</f>
        <v>0.86936362582589533</v>
      </c>
      <c r="O56" s="7">
        <f>1/UK_HAVER!F68</f>
        <v>0.6649378283130527</v>
      </c>
      <c r="P56" s="28">
        <f>1/ '[2]Exchange rate'!$C61</f>
        <v>1.0701415733092993E-2</v>
      </c>
      <c r="Q56" s="7">
        <f>Haver!Q66</f>
        <v>12.12</v>
      </c>
      <c r="R56" s="7">
        <f>Haver!R66</f>
        <v>16.49666666666667</v>
      </c>
      <c r="S56" s="7">
        <f>Mater_Q!B57</f>
        <v>6.3739999999999997</v>
      </c>
    </row>
    <row r="57" spans="1:19" x14ac:dyDescent="0.35">
      <c r="A57" s="4">
        <v>34304</v>
      </c>
      <c r="B57" s="13">
        <f>AWM!B97</f>
        <v>2031211.4470334593</v>
      </c>
      <c r="C57" s="7">
        <f>Haver!D67</f>
        <v>2708.5</v>
      </c>
      <c r="D57" s="7">
        <f>UK_HAVER!C69</f>
        <v>387143</v>
      </c>
      <c r="E57" s="30">
        <f>reconstruct_levels_ch!I57</f>
        <v>2688.2726920535065</v>
      </c>
      <c r="F57" s="13">
        <f>AWM!D97</f>
        <v>66.574390403160805</v>
      </c>
      <c r="G57" s="18">
        <f>Haver!N67</f>
        <v>145.96666666666667</v>
      </c>
      <c r="H57" s="7">
        <f>UK_HAVER!E69</f>
        <v>64.735459800809252</v>
      </c>
      <c r="I57" s="13">
        <f>reconstruct_levels_ch!D57</f>
        <v>41.054906506999671</v>
      </c>
      <c r="J57" s="13">
        <f>AWM!C97</f>
        <v>7.4121285769999998</v>
      </c>
      <c r="K57" s="7">
        <f>Haver!H67</f>
        <v>3</v>
      </c>
      <c r="L57" s="7">
        <f>UK_HAVER!D69</f>
        <v>5.666666666666667</v>
      </c>
      <c r="M57" s="13">
        <f>M58/(OEM_aux!B63/OEM_aux!B62)</f>
        <v>12.176249514589646</v>
      </c>
      <c r="N57" s="7">
        <f>Haver!J67</f>
        <v>0.87678022919035203</v>
      </c>
      <c r="O57" s="7">
        <f>1/UK_HAVER!F69</f>
        <v>0.67048095834078314</v>
      </c>
      <c r="P57" s="28">
        <f>1/ '[2]Exchange rate'!$C62</f>
        <v>1.0468023224775047E-2</v>
      </c>
      <c r="Q57" s="7">
        <f>Haver!Q67</f>
        <v>12.44</v>
      </c>
      <c r="R57" s="7">
        <f>Haver!R67</f>
        <v>15.18</v>
      </c>
      <c r="S57" s="7">
        <f>Mater_Q!B58</f>
        <v>5.8773333333333326</v>
      </c>
    </row>
    <row r="58" spans="1:19" x14ac:dyDescent="0.35">
      <c r="A58" s="4">
        <v>34394</v>
      </c>
      <c r="B58" s="13">
        <f>AWM!B98</f>
        <v>2050032.9768420418</v>
      </c>
      <c r="C58" s="7">
        <f>Haver!D68</f>
        <v>2734.8</v>
      </c>
      <c r="D58" s="7">
        <f>UK_HAVER!C70</f>
        <v>391026</v>
      </c>
      <c r="E58" s="30">
        <f>reconstruct_levels_ch!I58</f>
        <v>2768.1912823668072</v>
      </c>
      <c r="F58" s="13">
        <f>AWM!D98</f>
        <v>67.214226522974784</v>
      </c>
      <c r="G58" s="18">
        <f>Haver!N68</f>
        <v>146.70000000000002</v>
      </c>
      <c r="H58" s="7">
        <f>UK_HAVER!E70</f>
        <v>65.056754508902756</v>
      </c>
      <c r="I58" s="13">
        <f>reconstruct_levels_ch!D58</f>
        <v>44.231990678878446</v>
      </c>
      <c r="J58" s="13">
        <f>AWM!C98</f>
        <v>6.84</v>
      </c>
      <c r="K58" s="7">
        <f>Haver!H68</f>
        <v>3.5</v>
      </c>
      <c r="L58" s="7">
        <f>UK_HAVER!D70</f>
        <v>5.2333333333333334</v>
      </c>
      <c r="M58" s="13">
        <f>M59/(OEM_aux!B64/OEM_aux!B63)</f>
        <v>12.176249514589646</v>
      </c>
      <c r="N58" s="7">
        <f>Haver!J68</f>
        <v>0.88924722258450817</v>
      </c>
      <c r="O58" s="7">
        <f>1/UK_HAVER!F70</f>
        <v>0.67213335125688933</v>
      </c>
      <c r="P58" s="28">
        <f>1/ '[2]Exchange rate'!$C63</f>
        <v>1.5314669753695697E-2</v>
      </c>
      <c r="Q58" s="7">
        <f>Haver!Q68</f>
        <v>13.383333333333333</v>
      </c>
      <c r="R58" s="7">
        <f>Haver!R68</f>
        <v>13.969999999999999</v>
      </c>
      <c r="S58" s="7">
        <f>Mater_Q!B59</f>
        <v>6.0120000000000005</v>
      </c>
    </row>
    <row r="59" spans="1:19" x14ac:dyDescent="0.35">
      <c r="A59" s="4">
        <v>34486</v>
      </c>
      <c r="B59" s="13">
        <f>AWM!B99</f>
        <v>2062801.142504019</v>
      </c>
      <c r="C59" s="7">
        <f>Haver!D69</f>
        <v>2771.9</v>
      </c>
      <c r="D59" s="7">
        <f>UK_HAVER!C71</f>
        <v>394588</v>
      </c>
      <c r="E59" s="30">
        <f>reconstruct_levels_ch!I59</f>
        <v>2854.1824598420594</v>
      </c>
      <c r="F59" s="13">
        <f>AWM!D99</f>
        <v>67.68988568981834</v>
      </c>
      <c r="G59" s="18">
        <f>Haver!N69</f>
        <v>147.53333333333333</v>
      </c>
      <c r="H59" s="7">
        <f>UK_HAVER!E71</f>
        <v>65.360130787740147</v>
      </c>
      <c r="I59" s="13">
        <f>reconstruct_levels_ch!D59</f>
        <v>46.176080264937809</v>
      </c>
      <c r="J59" s="13">
        <f>AWM!C99</f>
        <v>6.37</v>
      </c>
      <c r="K59" s="7">
        <f>Haver!H69</f>
        <v>4.25</v>
      </c>
      <c r="L59" s="7">
        <f>UK_HAVER!D71</f>
        <v>5.13</v>
      </c>
      <c r="M59" s="13">
        <f>M60/(OEM_aux!B65/OEM_aux!B64)</f>
        <v>12.176249514589646</v>
      </c>
      <c r="N59" s="7">
        <f>Haver!J69</f>
        <v>0.8603063264059555</v>
      </c>
      <c r="O59" s="7">
        <f>1/UK_HAVER!F71</f>
        <v>0.6647904802003235</v>
      </c>
      <c r="P59" s="28">
        <f>1/ '[2]Exchange rate'!$C64</f>
        <v>1.5129616178280136E-2</v>
      </c>
      <c r="Q59" s="7">
        <f>Haver!Q69</f>
        <v>14.593333333333334</v>
      </c>
      <c r="R59" s="7">
        <f>Haver!R69</f>
        <v>16.060000000000002</v>
      </c>
      <c r="S59" s="7">
        <f>Mater_Q!B60</f>
        <v>6.7046666666666672</v>
      </c>
    </row>
    <row r="60" spans="1:19" x14ac:dyDescent="0.35">
      <c r="A60" s="4">
        <v>34578</v>
      </c>
      <c r="B60" s="13">
        <f>AWM!B100</f>
        <v>2076692.6445404356</v>
      </c>
      <c r="C60" s="7">
        <f>Haver!D70</f>
        <v>2788.1</v>
      </c>
      <c r="D60" s="7">
        <f>UK_HAVER!C72</f>
        <v>398566</v>
      </c>
      <c r="E60" s="30">
        <f>reconstruct_levels_ch!I60</f>
        <v>2939.25348810471</v>
      </c>
      <c r="F60" s="13">
        <f>AWM!D100</f>
        <v>68.067811107490812</v>
      </c>
      <c r="G60" s="18">
        <f>Haver!N70</f>
        <v>148.9</v>
      </c>
      <c r="H60" s="7">
        <f>UK_HAVER!E72</f>
        <v>65.631457111313651</v>
      </c>
      <c r="I60" s="13">
        <f>reconstruct_levels_ch!D60</f>
        <v>49.403226222619409</v>
      </c>
      <c r="J60" s="13">
        <f>AWM!C100</f>
        <v>6.3833333333333329</v>
      </c>
      <c r="K60" s="7">
        <f>Haver!H70</f>
        <v>4.75</v>
      </c>
      <c r="L60" s="7">
        <f>UK_HAVER!D72</f>
        <v>5.2433333333333332</v>
      </c>
      <c r="M60" s="13">
        <f>M61/(OEM_aux!B66/OEM_aux!B65)</f>
        <v>12.176249514589646</v>
      </c>
      <c r="N60" s="7">
        <f>Haver!J70</f>
        <v>0.81511993131256044</v>
      </c>
      <c r="O60" s="7">
        <f>1/UK_HAVER!F72</f>
        <v>0.64446831364124602</v>
      </c>
      <c r="P60" s="28">
        <f>1/ '[2]Exchange rate'!$C65</f>
        <v>1.5139575531720819E-2</v>
      </c>
      <c r="Q60" s="7">
        <f>Haver!Q70</f>
        <v>12.533333333333333</v>
      </c>
      <c r="R60" s="7">
        <f>Haver!R70</f>
        <v>16.796666666666667</v>
      </c>
      <c r="S60" s="7">
        <f>Mater_Q!B61</f>
        <v>7.1750000000000007</v>
      </c>
    </row>
    <row r="61" spans="1:19" x14ac:dyDescent="0.35">
      <c r="A61" s="4">
        <v>34669</v>
      </c>
      <c r="B61" s="13">
        <f>AWM!B101</f>
        <v>2093169.7083564659</v>
      </c>
      <c r="C61" s="7">
        <f>Haver!D71</f>
        <v>2820</v>
      </c>
      <c r="D61" s="7">
        <f>UK_HAVER!C73</f>
        <v>400279</v>
      </c>
      <c r="E61" s="30">
        <f>reconstruct_levels_ch!I61</f>
        <v>3009.994725431729</v>
      </c>
      <c r="F61" s="13">
        <f>AWM!D101</f>
        <v>68.353966289649279</v>
      </c>
      <c r="G61" s="18">
        <f>Haver!N71</f>
        <v>149.76666666666668</v>
      </c>
      <c r="H61" s="7">
        <f>UK_HAVER!E73</f>
        <v>65.856795829101159</v>
      </c>
      <c r="I61" s="13">
        <f>reconstruct_levels_ch!D61</f>
        <v>52.108145068902722</v>
      </c>
      <c r="J61" s="13">
        <f>AWM!C101</f>
        <v>6.5066666666666668</v>
      </c>
      <c r="K61" s="7">
        <f>Haver!H71</f>
        <v>5.5</v>
      </c>
      <c r="L61" s="7">
        <f>UK_HAVER!D73</f>
        <v>5.7633333333333328</v>
      </c>
      <c r="M61" s="13">
        <f>M62/(OEM_aux!B67/OEM_aux!B66)</f>
        <v>12.176249514589646</v>
      </c>
      <c r="N61" s="7">
        <f>Haver!J71</f>
        <v>0.80635190272170643</v>
      </c>
      <c r="O61" s="7">
        <f>1/UK_HAVER!F73</f>
        <v>0.63100771932776645</v>
      </c>
      <c r="P61" s="28">
        <f>1/ '[2]Exchange rate'!$C66</f>
        <v>1.4974014095937909E-2</v>
      </c>
      <c r="Q61" s="7">
        <f>Haver!Q71</f>
        <v>15.270000000000001</v>
      </c>
      <c r="R61" s="7">
        <f>Haver!R71</f>
        <v>16.536666666666665</v>
      </c>
      <c r="S61" s="7">
        <f>Mater_Q!B62</f>
        <v>7.5070000000000006</v>
      </c>
    </row>
    <row r="62" spans="1:19" x14ac:dyDescent="0.35">
      <c r="A62" s="4">
        <v>34759</v>
      </c>
      <c r="B62" s="7">
        <f>Haver!C72</f>
        <v>2113963.1</v>
      </c>
      <c r="C62" s="7">
        <f>Haver!D72</f>
        <v>2830</v>
      </c>
      <c r="D62" s="7">
        <f>UK_HAVER!C74</f>
        <v>402390</v>
      </c>
      <c r="E62" s="30">
        <f>reconstruct_levels_ch!I62</f>
        <v>3089.5175828938804</v>
      </c>
      <c r="F62" s="13">
        <f>AWM!D102</f>
        <v>68.946384864563669</v>
      </c>
      <c r="G62" s="18">
        <f>Haver!N72</f>
        <v>150.86666666666665</v>
      </c>
      <c r="H62" s="7">
        <f>UK_HAVER!E74</f>
        <v>66.590861520397382</v>
      </c>
      <c r="I62" s="13">
        <f>reconstruct_levels_ch!D62</f>
        <v>54.14977019327317</v>
      </c>
      <c r="J62" s="13">
        <f>AWM!C102</f>
        <v>6.9433333333333325</v>
      </c>
      <c r="K62" s="7">
        <f>Haver!H72</f>
        <v>6</v>
      </c>
      <c r="L62" s="7">
        <f>UK_HAVER!D74</f>
        <v>6.4533333333333331</v>
      </c>
      <c r="M62" s="13">
        <f>M63/(OEM_aux!B68/OEM_aux!B67)</f>
        <v>12.176249514589646</v>
      </c>
      <c r="N62" s="7">
        <f>Haver!J72</f>
        <v>0.78604610946478126</v>
      </c>
      <c r="O62" s="7">
        <f>1/UK_HAVER!F74</f>
        <v>0.63200471896856825</v>
      </c>
      <c r="P62" s="28">
        <f>1/ '[2]Exchange rate'!$C67</f>
        <v>1.4718663780827321E-2</v>
      </c>
      <c r="Q62" s="7">
        <f>Haver!Q72</f>
        <v>11.97</v>
      </c>
      <c r="R62" s="7">
        <f>Haver!R72</f>
        <v>16.89</v>
      </c>
      <c r="S62" s="7">
        <f>Mater_Q!B63</f>
        <v>7.41</v>
      </c>
    </row>
    <row r="63" spans="1:19" x14ac:dyDescent="0.35">
      <c r="A63" s="4">
        <v>34851</v>
      </c>
      <c r="B63" s="7">
        <f>Haver!C73</f>
        <v>2130670.7999999998</v>
      </c>
      <c r="C63" s="7">
        <f>Haver!D73</f>
        <v>2838.4</v>
      </c>
      <c r="D63" s="7">
        <f>UK_HAVER!C75</f>
        <v>403259</v>
      </c>
      <c r="E63" s="30">
        <f>reconstruct_levels_ch!I63</f>
        <v>3175.1781740233268</v>
      </c>
      <c r="F63" s="13">
        <f>AWM!D103</f>
        <v>69.515172581683231</v>
      </c>
      <c r="G63" s="18">
        <f>Haver!N73</f>
        <v>152.1</v>
      </c>
      <c r="H63" s="7">
        <f>UK_HAVER!E75</f>
        <v>66.959746363426376</v>
      </c>
      <c r="I63" s="13">
        <f>reconstruct_levels_ch!D63</f>
        <v>55.36759580709974</v>
      </c>
      <c r="J63" s="13">
        <f>AWM!C103</f>
        <v>7.1366666666666667</v>
      </c>
      <c r="K63" s="7">
        <f>Haver!H73</f>
        <v>6</v>
      </c>
      <c r="L63" s="7">
        <f>UK_HAVER!D75</f>
        <v>6.63</v>
      </c>
      <c r="M63" s="13">
        <f>M64/(OEM_aux!B69/OEM_aux!B68)</f>
        <v>12.176249514589646</v>
      </c>
      <c r="N63" s="7">
        <f>Haver!J73</f>
        <v>0.75103078975894422</v>
      </c>
      <c r="O63" s="7">
        <f>1/UK_HAVER!F75</f>
        <v>0.62637018477920448</v>
      </c>
      <c r="P63" s="28">
        <f>1/ '[2]Exchange rate'!$C68</f>
        <v>1.5030399734983992E-2</v>
      </c>
      <c r="Q63" s="7">
        <f>Haver!Q73</f>
        <v>12.203333333333333</v>
      </c>
      <c r="R63" s="7">
        <f>Haver!R73</f>
        <v>18.103333333333335</v>
      </c>
      <c r="S63" s="7">
        <f>Mater_Q!B64</f>
        <v>6.8719999999999999</v>
      </c>
    </row>
    <row r="64" spans="1:19" x14ac:dyDescent="0.35">
      <c r="A64" s="4">
        <v>34943</v>
      </c>
      <c r="B64" s="7">
        <f>Haver!C74</f>
        <v>2135994.9</v>
      </c>
      <c r="C64" s="7">
        <f>Haver!D74</f>
        <v>2862.6</v>
      </c>
      <c r="D64" s="7">
        <f>UK_HAVER!C76</f>
        <v>407795</v>
      </c>
      <c r="E64" s="30">
        <f>reconstruct_levels_ch!I64</f>
        <v>3257.4315662161516</v>
      </c>
      <c r="F64" s="13">
        <f>AWM!D104</f>
        <v>69.801229562901455</v>
      </c>
      <c r="G64" s="18">
        <f>Haver!N74</f>
        <v>152.86666666666667</v>
      </c>
      <c r="H64" s="7">
        <f>UK_HAVER!E76</f>
        <v>67.41347209085113</v>
      </c>
      <c r="I64" s="13">
        <f>reconstruct_levels_ch!D64</f>
        <v>56.706597258396087</v>
      </c>
      <c r="J64" s="13">
        <f>AWM!C104</f>
        <v>6.6933333333333325</v>
      </c>
      <c r="K64" s="7">
        <f>Haver!H74</f>
        <v>5.75</v>
      </c>
      <c r="L64" s="7">
        <f>UK_HAVER!D76</f>
        <v>6.63</v>
      </c>
      <c r="M64" s="13">
        <f>M65/(OEM_aux!B70/OEM_aux!B69)</f>
        <v>13.574235220313614</v>
      </c>
      <c r="N64" s="7">
        <f>Haver!J74</f>
        <v>0.76180415538773294</v>
      </c>
      <c r="O64" s="7">
        <f>1/UK_HAVER!F76</f>
        <v>0.63545858928193177</v>
      </c>
      <c r="P64" s="28">
        <f>1/ '[2]Exchange rate'!$C69</f>
        <v>1.4617534404925291E-2</v>
      </c>
      <c r="Q64" s="7">
        <f>Haver!Q74</f>
        <v>12.456666666666669</v>
      </c>
      <c r="R64" s="7">
        <f>Haver!R74</f>
        <v>16.216666666666669</v>
      </c>
      <c r="S64" s="7">
        <f>Mater_Q!B65</f>
        <v>6.6836666666666673</v>
      </c>
    </row>
    <row r="65" spans="1:19" x14ac:dyDescent="0.35">
      <c r="A65" s="4">
        <v>35034</v>
      </c>
      <c r="B65" s="7">
        <f>Haver!C75</f>
        <v>2140682.9</v>
      </c>
      <c r="C65" s="7">
        <f>Haver!D75</f>
        <v>2882</v>
      </c>
      <c r="D65" s="7">
        <f>UK_HAVER!C77</f>
        <v>409132</v>
      </c>
      <c r="E65" s="30">
        <f>reconstruct_levels_ch!I65</f>
        <v>3328.163291870942</v>
      </c>
      <c r="F65" s="13">
        <f>AWM!D105</f>
        <v>70.083960299514644</v>
      </c>
      <c r="G65" s="18">
        <f>Haver!N75</f>
        <v>153.70000000000002</v>
      </c>
      <c r="H65" s="7">
        <f>UK_HAVER!E77</f>
        <v>67.76539198490994</v>
      </c>
      <c r="I65" s="13">
        <f>reconstruct_levels_ch!D65</f>
        <v>57.863203475786847</v>
      </c>
      <c r="J65" s="13">
        <f>AWM!C105</f>
        <v>6.5066666666666668</v>
      </c>
      <c r="K65" s="7">
        <f>Haver!H75</f>
        <v>5.5</v>
      </c>
      <c r="L65" s="7">
        <f>UK_HAVER!D77</f>
        <v>6.580000000000001</v>
      </c>
      <c r="M65" s="13">
        <f>M66/(OEM_aux!B71/OEM_aux!B70)</f>
        <v>13.574235220313614</v>
      </c>
      <c r="N65" s="7">
        <f>Haver!J75</f>
        <v>0.75943983717609898</v>
      </c>
      <c r="O65" s="7">
        <f>1/UK_HAVER!F77</f>
        <v>0.6409023905659168</v>
      </c>
      <c r="P65" s="28">
        <f>1/ '[2]Exchange rate'!$C70</f>
        <v>1.4327540469929002E-2</v>
      </c>
      <c r="Q65" s="7">
        <f>Haver!Q75</f>
        <v>12.86</v>
      </c>
      <c r="R65" s="7">
        <f>Haver!R75</f>
        <v>16.966666666666665</v>
      </c>
      <c r="S65" s="7">
        <f>Mater_Q!B66</f>
        <v>6.3120000000000003</v>
      </c>
    </row>
    <row r="66" spans="1:19" x14ac:dyDescent="0.35">
      <c r="A66" s="4">
        <v>35125</v>
      </c>
      <c r="B66" s="7">
        <f>Haver!C76</f>
        <v>2144754.9</v>
      </c>
      <c r="C66" s="7">
        <f>Haver!D76</f>
        <v>2903.6</v>
      </c>
      <c r="D66" s="7">
        <f>UK_HAVER!C78</f>
        <v>412022</v>
      </c>
      <c r="E66" s="30">
        <f>reconstruct_levels_ch!I66</f>
        <v>3417.8520528568915</v>
      </c>
      <c r="F66" s="13">
        <f>AWM!D106</f>
        <v>70.669379236811849</v>
      </c>
      <c r="G66" s="18">
        <f>Haver!N76</f>
        <v>155.06666666666666</v>
      </c>
      <c r="H66" s="7">
        <f>UK_HAVER!E78</f>
        <v>68.338576430112496</v>
      </c>
      <c r="I66" s="13">
        <f>reconstruct_levels_ch!D66</f>
        <v>59.149029393200145</v>
      </c>
      <c r="J66" s="13">
        <f>AWM!C106</f>
        <v>5.63</v>
      </c>
      <c r="K66" s="7">
        <f>Haver!H76</f>
        <v>5.25</v>
      </c>
      <c r="L66" s="7">
        <f>UK_HAVER!D78</f>
        <v>6.123333333333334</v>
      </c>
      <c r="M66" s="13">
        <f>M67/(OEM_aux!B72/OEM_aux!B71)</f>
        <v>13.574235220313614</v>
      </c>
      <c r="N66" s="7">
        <f>Haver!J76</f>
        <v>0.77684383885151398</v>
      </c>
      <c r="O66" s="7">
        <f>1/UK_HAVER!F78</f>
        <v>0.65332433197587059</v>
      </c>
      <c r="P66" s="28">
        <f>1/ '[2]Exchange rate'!$C71</f>
        <v>1.4060837305988567E-2</v>
      </c>
      <c r="Q66" s="7">
        <f>Haver!Q76</f>
        <v>15.420000000000002</v>
      </c>
      <c r="R66" s="7">
        <f>Haver!R76</f>
        <v>18.566666666666666</v>
      </c>
      <c r="S66" s="7">
        <f>Mater_Q!B67</f>
        <v>6.1759999999999993</v>
      </c>
    </row>
    <row r="67" spans="1:19" x14ac:dyDescent="0.35">
      <c r="A67" s="4">
        <v>35217</v>
      </c>
      <c r="B67" s="7">
        <f>Haver!C77</f>
        <v>2161523.5</v>
      </c>
      <c r="C67" s="7">
        <f>Haver!D77</f>
        <v>2952</v>
      </c>
      <c r="D67" s="7">
        <f>UK_HAVER!C79</f>
        <v>413325</v>
      </c>
      <c r="E67" s="30">
        <f>reconstruct_levels_ch!I67</f>
        <v>3481.2030254910196</v>
      </c>
      <c r="F67" s="13">
        <f>AWM!D107</f>
        <v>71.228188222963809</v>
      </c>
      <c r="G67" s="18">
        <f>Haver!N77</f>
        <v>156.4</v>
      </c>
      <c r="H67" s="7">
        <f>UK_HAVER!E79</f>
        <v>68.593587190748821</v>
      </c>
      <c r="I67" s="13">
        <f>reconstruct_levels_ch!D67</f>
        <v>60.495560258013114</v>
      </c>
      <c r="J67" s="13">
        <f>AWM!C107</f>
        <v>5.1366666666666658</v>
      </c>
      <c r="K67" s="7">
        <f>Haver!H77</f>
        <v>5.25</v>
      </c>
      <c r="L67" s="7">
        <f>UK_HAVER!D79</f>
        <v>5.87</v>
      </c>
      <c r="M67" s="13">
        <f>M68/(OEM_aux!B73/OEM_aux!B72)</f>
        <v>12.642242160975742</v>
      </c>
      <c r="N67" s="7">
        <f>Haver!J77</f>
        <v>0.79713033080908735</v>
      </c>
      <c r="O67" s="7">
        <f>1/UK_HAVER!F79</f>
        <v>0.65605318404478652</v>
      </c>
      <c r="P67" s="28">
        <f>1/ '[2]Exchange rate'!$C72</f>
        <v>1.3911270577551439E-2</v>
      </c>
      <c r="Q67" s="7">
        <f>Haver!Q77</f>
        <v>16.376666666666665</v>
      </c>
      <c r="R67" s="7">
        <f>Haver!R77</f>
        <v>19.503333333333334</v>
      </c>
      <c r="S67" s="7">
        <f>Mater_Q!B68</f>
        <v>6.469333333333334</v>
      </c>
    </row>
    <row r="68" spans="1:19" x14ac:dyDescent="0.35">
      <c r="A68" s="4">
        <v>35309</v>
      </c>
      <c r="B68" s="7">
        <f>Haver!C78</f>
        <v>2171466.1</v>
      </c>
      <c r="C68" s="7">
        <f>Haver!D78</f>
        <v>2978.5</v>
      </c>
      <c r="D68" s="7">
        <f>UK_HAVER!C80</f>
        <v>417019</v>
      </c>
      <c r="E68" s="30">
        <f>reconstruct_levels_ch!I68</f>
        <v>3571.6033655150359</v>
      </c>
      <c r="F68" s="13">
        <f>AWM!D108</f>
        <v>71.298039346143824</v>
      </c>
      <c r="G68" s="18">
        <f>Haver!N78</f>
        <v>157.29999999999998</v>
      </c>
      <c r="H68" s="7">
        <f>UK_HAVER!E80</f>
        <v>68.955417030338509</v>
      </c>
      <c r="I68" s="13">
        <f>reconstruct_levels_ch!D68</f>
        <v>61.231090107901935</v>
      </c>
      <c r="J68" s="13">
        <f>AWM!C108</f>
        <v>5</v>
      </c>
      <c r="K68" s="7">
        <f>Haver!H78</f>
        <v>5.25</v>
      </c>
      <c r="L68" s="7">
        <f>UK_HAVER!D80</f>
        <v>5.69</v>
      </c>
      <c r="M68" s="13">
        <f>M69/(OEM_aux!B74/OEM_aux!B73)</f>
        <v>11.680052694273142</v>
      </c>
      <c r="N68" s="7">
        <f>Haver!J78</f>
        <v>0.78473224935651953</v>
      </c>
      <c r="O68" s="7">
        <f>1/UK_HAVER!F80</f>
        <v>0.64347303847968773</v>
      </c>
      <c r="P68" s="28">
        <f>1/ '[2]Exchange rate'!$C73</f>
        <v>1.3803176911591617E-2</v>
      </c>
      <c r="Q68" s="7">
        <f>Haver!Q78</f>
        <v>16.773333333333333</v>
      </c>
      <c r="R68" s="7">
        <f>Haver!R78</f>
        <v>20.903333333333332</v>
      </c>
      <c r="S68" s="7">
        <f>Mater_Q!B69</f>
        <v>6.3383333333333338</v>
      </c>
    </row>
    <row r="69" spans="1:19" x14ac:dyDescent="0.35">
      <c r="A69" s="4">
        <v>35400</v>
      </c>
      <c r="B69" s="7">
        <f>Haver!C79</f>
        <v>2183386.6</v>
      </c>
      <c r="C69" s="7">
        <f>Haver!D79</f>
        <v>3009.5</v>
      </c>
      <c r="D69" s="7">
        <f>UK_HAVER!C81</f>
        <v>422639</v>
      </c>
      <c r="E69" s="30">
        <f>reconstruct_levels_ch!I69</f>
        <v>3661.9277843204964</v>
      </c>
      <c r="F69" s="13">
        <f>AWM!D109</f>
        <v>71.554160131611766</v>
      </c>
      <c r="G69" s="18">
        <f>Haver!N79</f>
        <v>158.66666666666666</v>
      </c>
      <c r="H69" s="7">
        <f>UK_HAVER!E81</f>
        <v>69.368192969301049</v>
      </c>
      <c r="I69" s="13">
        <f>reconstruct_levels_ch!D69</f>
        <v>61.818941894808319</v>
      </c>
      <c r="J69" s="13">
        <f>AWM!C109</f>
        <v>4.5866666666666669</v>
      </c>
      <c r="K69" s="7">
        <f>Haver!H79</f>
        <v>5.25</v>
      </c>
      <c r="L69" s="7">
        <f>UK_HAVER!D81</f>
        <v>5.8633333333333333</v>
      </c>
      <c r="M69" s="13">
        <f>M70/(OEM_aux!B75/OEM_aux!B74)</f>
        <v>11.011264662555373</v>
      </c>
      <c r="N69" s="7">
        <f>Haver!J79</f>
        <v>0.79248512769577018</v>
      </c>
      <c r="O69" s="7">
        <f>1/UK_HAVER!F81</f>
        <v>0.61068702290076338</v>
      </c>
      <c r="P69" s="28">
        <f>1/ '[2]Exchange rate'!$C74</f>
        <v>1.3616654148422619E-2</v>
      </c>
      <c r="Q69" s="7">
        <f>Haver!Q79</f>
        <v>17.213333333333335</v>
      </c>
      <c r="R69" s="7">
        <f>Haver!R79</f>
        <v>23.566666666666666</v>
      </c>
      <c r="S69" s="7">
        <f>Mater_Q!B70</f>
        <v>5.883</v>
      </c>
    </row>
    <row r="70" spans="1:19" x14ac:dyDescent="0.35">
      <c r="A70" s="4">
        <v>35490</v>
      </c>
      <c r="B70" s="7">
        <f>Haver!C80</f>
        <v>2189616.2000000002</v>
      </c>
      <c r="C70" s="7">
        <f>Haver!D80</f>
        <v>3028.9</v>
      </c>
      <c r="D70" s="7">
        <f>UK_HAVER!C82</f>
        <v>429418</v>
      </c>
      <c r="E70" s="30">
        <f>reconstruct_levels_ch!I70</f>
        <v>3756.6570920277645</v>
      </c>
      <c r="F70" s="18">
        <f>Haver!M80</f>
        <v>72.8</v>
      </c>
      <c r="G70" s="18">
        <f>Haver!N80</f>
        <v>159.63333333333335</v>
      </c>
      <c r="H70" s="7">
        <f>UK_HAVER!E82</f>
        <v>69.600153969518132</v>
      </c>
      <c r="I70" s="13">
        <f>reconstruct_levels_ch!D70</f>
        <v>62.133351338281614</v>
      </c>
      <c r="J70" s="13">
        <f>AWM!C110</f>
        <v>4.4400000000000004</v>
      </c>
      <c r="K70" s="7">
        <f>Haver!H80</f>
        <v>5.5</v>
      </c>
      <c r="L70" s="7">
        <f>UK_HAVER!D82</f>
        <v>5.94</v>
      </c>
      <c r="M70" s="13">
        <f>M71/(OEM_aux!B76/OEM_aux!B75)</f>
        <v>11.011264662555373</v>
      </c>
      <c r="N70" s="7">
        <f>Haver!J80</f>
        <v>0.84944205814147755</v>
      </c>
      <c r="O70" s="7">
        <f>1/UK_HAVER!F82</f>
        <v>0.61303308335206486</v>
      </c>
      <c r="P70" s="28">
        <f>1/ '[2]Exchange rate'!$C75</f>
        <v>1.3101223326728133E-2</v>
      </c>
      <c r="Q70" s="7">
        <f>Haver!Q80</f>
        <v>19.926666666666666</v>
      </c>
      <c r="R70" s="7">
        <f>Haver!R80</f>
        <v>21.173333333333332</v>
      </c>
      <c r="S70" s="7">
        <f>Mater_Q!B71</f>
        <v>5.7106666666666657</v>
      </c>
    </row>
    <row r="71" spans="1:19" x14ac:dyDescent="0.35">
      <c r="A71" s="4">
        <v>35582</v>
      </c>
      <c r="B71" s="7">
        <f>Haver!C81</f>
        <v>2215960.2999999998</v>
      </c>
      <c r="C71" s="7">
        <f>Haver!D81</f>
        <v>3079.3</v>
      </c>
      <c r="D71" s="7">
        <f>UK_HAVER!C83</f>
        <v>434199</v>
      </c>
      <c r="E71" s="30">
        <f>reconstruct_levels_ch!I71</f>
        <v>3838.9084131579525</v>
      </c>
      <c r="F71" s="18">
        <f>Haver!M81</f>
        <v>72.846666666666664</v>
      </c>
      <c r="G71" s="18">
        <f>Haver!N81</f>
        <v>160</v>
      </c>
      <c r="H71" s="7">
        <f>UK_HAVER!E83</f>
        <v>69.751646304730741</v>
      </c>
      <c r="I71" s="13">
        <f>reconstruct_levels_ch!D71</f>
        <v>62.408368969197461</v>
      </c>
      <c r="J71" s="13">
        <f>AWM!C111</f>
        <v>4.3266666666666671</v>
      </c>
      <c r="K71" s="7">
        <f>Haver!H81</f>
        <v>5.5</v>
      </c>
      <c r="L71" s="7">
        <f>UK_HAVER!D83</f>
        <v>6.2033333333333331</v>
      </c>
      <c r="M71" s="13">
        <f>M72/(OEM_aux!B77/OEM_aux!B76)</f>
        <v>11.011264662555373</v>
      </c>
      <c r="N71" s="7">
        <f>Haver!J81</f>
        <v>0.87438574401482971</v>
      </c>
      <c r="O71" s="7">
        <f>1/UK_HAVER!F83</f>
        <v>0.61144627425403553</v>
      </c>
      <c r="P71" s="28">
        <f>1/ '[2]Exchange rate'!$C76</f>
        <v>1.2934649494281076E-2</v>
      </c>
      <c r="Q71" s="7">
        <f>Haver!Q81</f>
        <v>19.923333333333332</v>
      </c>
      <c r="R71" s="7">
        <f>Haver!R81</f>
        <v>18.053333333333331</v>
      </c>
      <c r="S71" s="7">
        <f>Mater_Q!B72</f>
        <v>5.8163333333333327</v>
      </c>
    </row>
    <row r="72" spans="1:19" x14ac:dyDescent="0.35">
      <c r="A72" s="4">
        <v>35674</v>
      </c>
      <c r="B72" s="7">
        <f>Haver!C82</f>
        <v>2233286.1</v>
      </c>
      <c r="C72" s="7">
        <f>Haver!D82</f>
        <v>3117.8</v>
      </c>
      <c r="D72" s="7">
        <f>UK_HAVER!C84</f>
        <v>438100</v>
      </c>
      <c r="E72" s="30">
        <f>reconstruct_levels_ch!I72</f>
        <v>3892.5646429813623</v>
      </c>
      <c r="F72" s="18">
        <f>Haver!M82</f>
        <v>73.186666666666667</v>
      </c>
      <c r="G72" s="18">
        <f>Haver!N82</f>
        <v>160.80000000000001</v>
      </c>
      <c r="H72" s="7">
        <f>UK_HAVER!E84</f>
        <v>70.300066315392968</v>
      </c>
      <c r="I72" s="13">
        <f>reconstruct_levels_ch!D72</f>
        <v>62.566520221995205</v>
      </c>
      <c r="J72" s="13">
        <f>AWM!C112</f>
        <v>4.3233333333333333</v>
      </c>
      <c r="K72" s="7">
        <f>Haver!H82</f>
        <v>5.5</v>
      </c>
      <c r="L72" s="7">
        <f>UK_HAVER!D84</f>
        <v>6.873333333333334</v>
      </c>
      <c r="M72" s="13">
        <f>M73/(OEM_aux!B78/OEM_aux!B77)</f>
        <v>11.011264662555373</v>
      </c>
      <c r="N72" s="7">
        <f>Haver!J82</f>
        <v>0.9153150514407058</v>
      </c>
      <c r="O72" s="7">
        <f>1/UK_HAVER!F84</f>
        <v>0.61548561815272251</v>
      </c>
      <c r="P72" s="28">
        <f>1/ '[2]Exchange rate'!$C77</f>
        <v>1.2601131959683938E-2</v>
      </c>
      <c r="Q72" s="7">
        <f>Haver!Q82</f>
        <v>22.473333333333333</v>
      </c>
      <c r="R72" s="7">
        <f>Haver!R82</f>
        <v>18.506666666666668</v>
      </c>
      <c r="S72" s="7">
        <f>Mater_Q!B73</f>
        <v>5.6079999999999997</v>
      </c>
    </row>
    <row r="73" spans="1:19" x14ac:dyDescent="0.35">
      <c r="A73" s="4">
        <v>35765</v>
      </c>
      <c r="B73" s="7">
        <f>Haver!C83</f>
        <v>2256628.9</v>
      </c>
      <c r="C73" s="7">
        <f>Haver!D83</f>
        <v>3144.4</v>
      </c>
      <c r="D73" s="7">
        <f>UK_HAVER!C85</f>
        <v>444540</v>
      </c>
      <c r="E73" s="30">
        <f>reconstruct_levels_ch!I73</f>
        <v>3971.1883212171224</v>
      </c>
      <c r="F73" s="18">
        <f>Haver!M83</f>
        <v>73.483333333333334</v>
      </c>
      <c r="G73" s="18">
        <f>Haver!N83</f>
        <v>161.66666666666666</v>
      </c>
      <c r="H73" s="7">
        <f>UK_HAVER!E85</f>
        <v>70.597744955161573</v>
      </c>
      <c r="I73" s="13">
        <f>reconstruct_levels_ch!D73</f>
        <v>62.354012980537995</v>
      </c>
      <c r="J73" s="13">
        <f>AWM!C113</f>
        <v>4.4333333333333336</v>
      </c>
      <c r="K73" s="7">
        <f>Haver!H83</f>
        <v>5.5</v>
      </c>
      <c r="L73" s="7">
        <f>UK_HAVER!D85</f>
        <v>7.1533333333333333</v>
      </c>
      <c r="M73" s="13">
        <f>M74/(OEM_aux!B79/OEM_aux!B78)</f>
        <v>9.5787643389484689</v>
      </c>
      <c r="N73" s="7">
        <f>Haver!J83</f>
        <v>0.88987236264078518</v>
      </c>
      <c r="O73" s="7">
        <f>1/UK_HAVER!F85</f>
        <v>0.60221615545206353</v>
      </c>
      <c r="P73" s="28">
        <f>1/ '[2]Exchange rate'!$C78</f>
        <v>1.1957434403308478E-2</v>
      </c>
      <c r="Q73" s="7">
        <f>Haver!Q83</f>
        <v>27.453333333333333</v>
      </c>
      <c r="R73" s="7">
        <f>Haver!R83</f>
        <v>18.740000000000002</v>
      </c>
      <c r="S73" s="7">
        <f>Mater_Q!B74</f>
        <v>5.4839999999999991</v>
      </c>
    </row>
    <row r="74" spans="1:19" x14ac:dyDescent="0.35">
      <c r="A74" s="4">
        <v>35855</v>
      </c>
      <c r="B74" s="7">
        <f>Haver!C84</f>
        <v>2273109.1</v>
      </c>
      <c r="C74" s="7">
        <f>Haver!D84</f>
        <v>3175.9</v>
      </c>
      <c r="D74" s="7">
        <f>UK_HAVER!C86</f>
        <v>447712</v>
      </c>
      <c r="E74" s="30">
        <f>reconstruct_levels_ch!I74</f>
        <v>4020.6888141522481</v>
      </c>
      <c r="F74" s="18">
        <f>Haver!M84</f>
        <v>73.556666666666672</v>
      </c>
      <c r="G74" s="18">
        <f>Haver!N84</f>
        <v>162</v>
      </c>
      <c r="H74" s="7">
        <f>UK_HAVER!E86</f>
        <v>70.745328097602382</v>
      </c>
      <c r="I74" s="13">
        <f>reconstruct_levels_ch!D74</f>
        <v>62.208008926212351</v>
      </c>
      <c r="J74" s="13">
        <f>AWM!C114</f>
        <v>4.2033333333333331</v>
      </c>
      <c r="K74" s="7">
        <f>Haver!H84</f>
        <v>5.5</v>
      </c>
      <c r="L74" s="7">
        <f>UK_HAVER!D86</f>
        <v>7.25</v>
      </c>
      <c r="M74" s="13">
        <f>M75/(OEM_aux!B80/OEM_aux!B79)</f>
        <v>9.0782518969689843</v>
      </c>
      <c r="N74" s="7">
        <f>Haver!J84</f>
        <v>0.92010427848489496</v>
      </c>
      <c r="O74" s="7">
        <f>1/UK_HAVER!F86</f>
        <v>0.60757032626526519</v>
      </c>
      <c r="P74" s="28">
        <f>1/ '[2]Exchange rate'!$C79</f>
        <v>1.1128421989761852E-2</v>
      </c>
      <c r="Q74" s="7">
        <f>Haver!Q84</f>
        <v>21.343333333333334</v>
      </c>
      <c r="R74" s="7">
        <f>Haver!R84</f>
        <v>14.12</v>
      </c>
      <c r="S74" s="7">
        <f>Mater_Q!B75</f>
        <v>5.0063333333333331</v>
      </c>
    </row>
    <row r="75" spans="1:19" x14ac:dyDescent="0.35">
      <c r="A75" s="4">
        <v>35947</v>
      </c>
      <c r="B75" s="7">
        <f>Haver!C85</f>
        <v>2281728</v>
      </c>
      <c r="C75" s="7">
        <f>Haver!D85</f>
        <v>3205.3</v>
      </c>
      <c r="D75" s="7">
        <f>UK_HAVER!C87</f>
        <v>450292</v>
      </c>
      <c r="E75" s="30">
        <f>reconstruct_levels_ch!I75</f>
        <v>4111.3444374626606</v>
      </c>
      <c r="F75" s="18">
        <f>Haver!M85</f>
        <v>73.796666666666667</v>
      </c>
      <c r="G75" s="18">
        <f>Haver!N85</f>
        <v>162.53333333333333</v>
      </c>
      <c r="H75" s="7">
        <f>UK_HAVER!E87</f>
        <v>71.032658969278856</v>
      </c>
      <c r="I75" s="13">
        <f>reconstruct_levels_ch!D75</f>
        <v>62.009473991691202</v>
      </c>
      <c r="J75" s="13">
        <f>AWM!C115</f>
        <v>4.0566666666666658</v>
      </c>
      <c r="K75" s="7">
        <f>Haver!H85</f>
        <v>5.5</v>
      </c>
      <c r="L75" s="7">
        <f>UK_HAVER!D87</f>
        <v>7.3233333333333333</v>
      </c>
      <c r="M75" s="13">
        <f>M76/(OEM_aux!B81/OEM_aux!B80)</f>
        <v>8.2153010176731165</v>
      </c>
      <c r="N75" s="7">
        <f>Haver!J85</f>
        <v>0.90867236909060067</v>
      </c>
      <c r="O75" s="7">
        <f>1/UK_HAVER!F87</f>
        <v>0.60472898062851488</v>
      </c>
      <c r="P75" s="28">
        <f>1/ '[2]Exchange rate'!$C80</f>
        <v>1.1182487687521931E-2</v>
      </c>
      <c r="Q75" s="7">
        <f>Haver!Q85</f>
        <v>21.52</v>
      </c>
      <c r="R75" s="7">
        <f>Haver!R85</f>
        <v>13.366666666666667</v>
      </c>
      <c r="S75" s="7">
        <f>Mater_Q!B76</f>
        <v>4.8866666666666667</v>
      </c>
    </row>
    <row r="76" spans="1:19" x14ac:dyDescent="0.35">
      <c r="A76" s="4">
        <v>36039</v>
      </c>
      <c r="B76" s="7">
        <f>Haver!C86</f>
        <v>2293780.2999999998</v>
      </c>
      <c r="C76" s="7">
        <f>Haver!D86</f>
        <v>3245.7</v>
      </c>
      <c r="D76" s="7">
        <f>UK_HAVER!C88</f>
        <v>451005</v>
      </c>
      <c r="E76" s="30">
        <f>reconstruct_levels_ch!I76</f>
        <v>4207.6148375040302</v>
      </c>
      <c r="F76" s="18">
        <f>Haver!M86</f>
        <v>73.959999999999994</v>
      </c>
      <c r="G76" s="18">
        <f>Haver!N86</f>
        <v>163.36666666666667</v>
      </c>
      <c r="H76" s="7">
        <f>UK_HAVER!E88</f>
        <v>71.265754354583848</v>
      </c>
      <c r="I76" s="13">
        <f>reconstruct_levels_ch!D76</f>
        <v>61.697075515513831</v>
      </c>
      <c r="J76" s="13">
        <f>AWM!C116</f>
        <v>3.936666666666667</v>
      </c>
      <c r="K76" s="7">
        <f>Haver!H86</f>
        <v>5.25</v>
      </c>
      <c r="L76" s="7">
        <f>UK_HAVER!D88</f>
        <v>7.5</v>
      </c>
      <c r="M76" s="13">
        <f>M77/(OEM_aux!B82/OEM_aux!B81)</f>
        <v>6.9338176804354159</v>
      </c>
      <c r="N76" s="7">
        <f>Haver!J86</f>
        <v>0.89466778003101499</v>
      </c>
      <c r="O76" s="7">
        <f>1/UK_HAVER!F88</f>
        <v>0.60481432200314511</v>
      </c>
      <c r="P76" s="28">
        <f>1/ '[2]Exchange rate'!$C81</f>
        <v>1.1004059947917784E-2</v>
      </c>
      <c r="Q76" s="7">
        <f>Haver!Q86</f>
        <v>29.906666666666666</v>
      </c>
      <c r="R76" s="7">
        <f>Haver!R86</f>
        <v>12.443333333333333</v>
      </c>
      <c r="S76" s="7">
        <f>Mater_Q!B77</f>
        <v>4.3839999999999995</v>
      </c>
    </row>
    <row r="77" spans="1:19" x14ac:dyDescent="0.35">
      <c r="A77" s="4">
        <v>36130</v>
      </c>
      <c r="B77" s="7">
        <f>Haver!C87</f>
        <v>2300668.1</v>
      </c>
      <c r="C77" s="7">
        <f>Haver!D87</f>
        <v>3297.9</v>
      </c>
      <c r="D77" s="7">
        <f>UK_HAVER!C89</f>
        <v>453937</v>
      </c>
      <c r="E77" s="30">
        <f>reconstruct_levels_ch!I77</f>
        <v>4339.7107286251894</v>
      </c>
      <c r="F77" s="18">
        <f>Haver!M87</f>
        <v>74.043333333333337</v>
      </c>
      <c r="G77" s="18">
        <f>Haver!N87</f>
        <v>164.13333333333333</v>
      </c>
      <c r="H77" s="7">
        <f>UK_HAVER!E89</f>
        <v>71.576093006681845</v>
      </c>
      <c r="I77" s="13">
        <f>reconstruct_levels_ch!D77</f>
        <v>61.591004265975201</v>
      </c>
      <c r="J77" s="13">
        <f>AWM!C117</f>
        <v>3.6233333333333335</v>
      </c>
      <c r="K77" s="7">
        <f>Haver!H87</f>
        <v>4.75</v>
      </c>
      <c r="L77" s="7">
        <f>UK_HAVER!D89</f>
        <v>6.8499999999999988</v>
      </c>
      <c r="M77" s="13">
        <f>M78/(OEM_aux!B83/OEM_aux!B82)</f>
        <v>6.739652244002091</v>
      </c>
      <c r="N77" s="7">
        <f>Haver!J87</f>
        <v>0.84978613715548246</v>
      </c>
      <c r="O77" s="7">
        <f>1/UK_HAVER!F89</f>
        <v>0.59686051369794879</v>
      </c>
      <c r="P77" s="28">
        <f>1/ '[2]Exchange rate'!$C82</f>
        <v>1.1417510144743201E-2</v>
      </c>
      <c r="Q77" s="7">
        <f>Haver!Q87</f>
        <v>29.436666666666667</v>
      </c>
      <c r="R77" s="7">
        <f>Haver!R87</f>
        <v>11.186666666666667</v>
      </c>
      <c r="S77" s="7">
        <f>Mater_Q!B78</f>
        <v>4.0010000000000003</v>
      </c>
    </row>
    <row r="78" spans="1:19" x14ac:dyDescent="0.35">
      <c r="A78" s="4">
        <v>36220</v>
      </c>
      <c r="B78" s="7">
        <f>Haver!C88</f>
        <v>2323517.7000000002</v>
      </c>
      <c r="C78" s="7">
        <f>Haver!D88</f>
        <v>3328.9</v>
      </c>
      <c r="D78" s="7">
        <f>UK_HAVER!C90</f>
        <v>457044</v>
      </c>
      <c r="E78" s="30">
        <f>reconstruct_levels_ch!I78</f>
        <v>4369.0554796724991</v>
      </c>
      <c r="F78" s="18">
        <f>Haver!M88</f>
        <v>74.11</v>
      </c>
      <c r="G78" s="18">
        <f>Haver!N88</f>
        <v>164.73333333333332</v>
      </c>
      <c r="H78" s="7">
        <f>UK_HAVER!E90</f>
        <v>71.859034711582382</v>
      </c>
      <c r="I78" s="13">
        <f>reconstruct_levels_ch!D78</f>
        <v>61.238437526615947</v>
      </c>
      <c r="J78" s="13">
        <f>AWM!C118</f>
        <v>3.0907318840579703</v>
      </c>
      <c r="K78" s="7">
        <f>Haver!H88</f>
        <v>4.75</v>
      </c>
      <c r="L78" s="7">
        <f>UK_HAVER!D90</f>
        <v>5.706666666666667</v>
      </c>
      <c r="M78" s="13">
        <f>M79/(OEM_aux!B84/OEM_aux!B83)</f>
        <v>6.2348267692148518</v>
      </c>
      <c r="N78" s="7">
        <f>Haver!J88</f>
        <v>0.89024971801340169</v>
      </c>
      <c r="O78" s="7">
        <f>1/UK_HAVER!F90</f>
        <v>0.61240737338477558</v>
      </c>
      <c r="P78" s="28">
        <f>1/ '[2]Exchange rate'!$C83</f>
        <v>1.1225768617151449E-2</v>
      </c>
      <c r="Q78" s="7">
        <f>Haver!Q88</f>
        <v>27.39</v>
      </c>
      <c r="R78" s="7">
        <f>Haver!R88</f>
        <v>11.296666666666667</v>
      </c>
      <c r="S78" s="7">
        <f>Mater_Q!B79</f>
        <v>3.8560000000000003</v>
      </c>
    </row>
    <row r="79" spans="1:19" x14ac:dyDescent="0.35">
      <c r="A79" s="4">
        <v>36312</v>
      </c>
      <c r="B79" s="7">
        <f>Haver!C89</f>
        <v>2334547</v>
      </c>
      <c r="C79" s="7">
        <f>Haver!D89</f>
        <v>3356.7</v>
      </c>
      <c r="D79" s="7">
        <f>UK_HAVER!C91</f>
        <v>458710</v>
      </c>
      <c r="E79" s="30">
        <f>reconstruct_levels_ch!I79</f>
        <v>4436.378497363421</v>
      </c>
      <c r="F79" s="18">
        <f>Haver!M89</f>
        <v>74.493333333333339</v>
      </c>
      <c r="G79" s="18">
        <f>Haver!N89</f>
        <v>165.96666666666667</v>
      </c>
      <c r="H79" s="7">
        <f>UK_HAVER!E91</f>
        <v>72.071161442905918</v>
      </c>
      <c r="I79" s="13">
        <f>reconstruct_levels_ch!D79</f>
        <v>60.786747575001925</v>
      </c>
      <c r="J79" s="13">
        <f>AWM!C119</f>
        <v>2.6340295815295813</v>
      </c>
      <c r="K79" s="7">
        <f>Haver!H89</f>
        <v>5</v>
      </c>
      <c r="L79" s="7">
        <f>UK_HAVER!D91</f>
        <v>5.2066666666666661</v>
      </c>
      <c r="M79" s="13">
        <f>M80/(OEM_aux!B85/OEM_aux!B84)</f>
        <v>6.0751798339473018</v>
      </c>
      <c r="N79" s="7">
        <f>Haver!J89</f>
        <v>0.94607200364805366</v>
      </c>
      <c r="O79" s="7">
        <f>1/UK_HAVER!F91</f>
        <v>0.62249704313904508</v>
      </c>
      <c r="P79" s="28">
        <f>1/ '[2]Exchange rate'!$C84</f>
        <v>1.1009780758932814E-2</v>
      </c>
      <c r="Q79" s="7">
        <f>Haver!Q89</f>
        <v>24.436666666666667</v>
      </c>
      <c r="R79" s="7">
        <f>Haver!R89</f>
        <v>15.459999999999999</v>
      </c>
      <c r="S79" s="7">
        <f>Mater_Q!B80</f>
        <v>4.083333333333333</v>
      </c>
    </row>
    <row r="80" spans="1:19" x14ac:dyDescent="0.35">
      <c r="A80" s="4">
        <v>36404</v>
      </c>
      <c r="B80" s="7">
        <f>Haver!C90</f>
        <v>2365082.6</v>
      </c>
      <c r="C80" s="7">
        <f>Haver!D90</f>
        <v>3401.2</v>
      </c>
      <c r="D80" s="7">
        <f>UK_HAVER!C92</f>
        <v>466387</v>
      </c>
      <c r="E80" s="30">
        <f>reconstruct_levels_ch!I80</f>
        <v>4535.7707720710923</v>
      </c>
      <c r="F80" s="18">
        <f>Haver!M90</f>
        <v>74.783333333333317</v>
      </c>
      <c r="G80" s="18">
        <f>Haver!N90</f>
        <v>167.2</v>
      </c>
      <c r="H80" s="7">
        <f>UK_HAVER!E92</f>
        <v>72.163213442441474</v>
      </c>
      <c r="I80" s="13">
        <f>reconstruct_levels_ch!D80</f>
        <v>61.012665367339856</v>
      </c>
      <c r="J80" s="13">
        <f>AWM!C120</f>
        <v>2.6993939393939397</v>
      </c>
      <c r="K80" s="7">
        <f>Haver!H90</f>
        <v>5.25</v>
      </c>
      <c r="L80" s="7">
        <f>UK_HAVER!D92</f>
        <v>5.0633333333333335</v>
      </c>
      <c r="M80" s="13">
        <f>M81/(OEM_aux!B86/OEM_aux!B85)</f>
        <v>5.5358358579942877</v>
      </c>
      <c r="N80" s="7">
        <f>Haver!J90</f>
        <v>0.95368280509902403</v>
      </c>
      <c r="O80" s="7">
        <f>1/UK_HAVER!F92</f>
        <v>0.62427168303645741</v>
      </c>
      <c r="P80" s="28">
        <f>1/ '[2]Exchange rate'!$C85</f>
        <v>1.1068404288076915E-2</v>
      </c>
      <c r="Q80" s="7">
        <f>Haver!Q90</f>
        <v>23.303333333333331</v>
      </c>
      <c r="R80" s="7">
        <f>Haver!R90</f>
        <v>20.613333333333333</v>
      </c>
      <c r="S80" s="7">
        <f>Mater_Q!B81</f>
        <v>4.8666666666666671</v>
      </c>
    </row>
    <row r="81" spans="1:19" x14ac:dyDescent="0.35">
      <c r="A81" s="4">
        <v>36495</v>
      </c>
      <c r="B81" s="7">
        <f>Haver!C91</f>
        <v>2389876.2000000002</v>
      </c>
      <c r="C81" s="7">
        <f>Haver!D91</f>
        <v>3457</v>
      </c>
      <c r="D81" s="7">
        <f>UK_HAVER!C93</f>
        <v>473892</v>
      </c>
      <c r="E81" s="30">
        <f>reconstruct_levels_ch!I81</f>
        <v>4651.005018865063</v>
      </c>
      <c r="F81" s="18">
        <f>Haver!M91</f>
        <v>75.163333333333327</v>
      </c>
      <c r="G81" s="18">
        <f>Haver!N91</f>
        <v>168.43333333333334</v>
      </c>
      <c r="H81" s="7">
        <f>UK_HAVER!E93</f>
        <v>72.368946627086643</v>
      </c>
      <c r="I81" s="13">
        <f>reconstruct_levels_ch!D81</f>
        <v>61.020708378201888</v>
      </c>
      <c r="J81" s="13">
        <f>AWM!C121</f>
        <v>3.4297979797979798</v>
      </c>
      <c r="K81" s="7">
        <f>Haver!H91</f>
        <v>5.5</v>
      </c>
      <c r="L81" s="7">
        <f>UK_HAVER!D93</f>
        <v>5.4066666666666663</v>
      </c>
      <c r="M81" s="13">
        <f>M82/(OEM_aux!B87/OEM_aux!B86)</f>
        <v>5.5358358579942877</v>
      </c>
      <c r="N81" s="7">
        <f>Haver!J91</f>
        <v>0.96293657136804389</v>
      </c>
      <c r="O81" s="7">
        <f>1/UK_HAVER!F93</f>
        <v>0.61338403974728573</v>
      </c>
      <c r="P81" s="28">
        <f>1/ '[2]Exchange rate'!$C86</f>
        <v>1.1171088686267682E-2</v>
      </c>
      <c r="Q81" s="7">
        <f>Haver!Q91</f>
        <v>22.626666666666665</v>
      </c>
      <c r="R81" s="7">
        <f>Haver!R91</f>
        <v>24.016666666666666</v>
      </c>
      <c r="S81" s="7">
        <f>Mater_Q!B82</f>
        <v>5.1753333333333336</v>
      </c>
    </row>
    <row r="82" spans="1:19" x14ac:dyDescent="0.35">
      <c r="A82" s="4">
        <v>36586</v>
      </c>
      <c r="B82" s="7">
        <f>Haver!C92</f>
        <v>2420575</v>
      </c>
      <c r="C82" s="7">
        <f>Haver!D92</f>
        <v>3469.5</v>
      </c>
      <c r="D82" s="7">
        <f>UK_HAVER!C94</f>
        <v>480212</v>
      </c>
      <c r="E82" s="30">
        <f>reconstruct_levels_ch!I82</f>
        <v>4731.2848463371674</v>
      </c>
      <c r="F82" s="18">
        <f>Haver!M92</f>
        <v>75.59333333333332</v>
      </c>
      <c r="G82" s="18">
        <f>Haver!N92</f>
        <v>170.1</v>
      </c>
      <c r="H82" s="7">
        <f>UK_HAVER!E94</f>
        <v>72.39181887682706</v>
      </c>
      <c r="I82" s="13">
        <f>reconstruct_levels_ch!D82</f>
        <v>61.240740212131136</v>
      </c>
      <c r="J82" s="13">
        <f>AWM!C122</f>
        <v>3.5423160800552114</v>
      </c>
      <c r="K82" s="7">
        <f>Haver!H92</f>
        <v>6</v>
      </c>
      <c r="L82" s="7">
        <f>UK_HAVER!D94</f>
        <v>5.8599999999999994</v>
      </c>
      <c r="M82" s="13">
        <f>M83/(OEM_aux!B88/OEM_aux!B87)</f>
        <v>5.5358358579942877</v>
      </c>
      <c r="N82" s="7">
        <f>Haver!J92</f>
        <v>1.0130131671451466</v>
      </c>
      <c r="O82" s="7">
        <f>1/UK_HAVER!F94</f>
        <v>0.62236790241271278</v>
      </c>
      <c r="P82" s="28">
        <f>1/ '[2]Exchange rate'!$C87</f>
        <v>1.1042621094211115E-2</v>
      </c>
      <c r="Q82" s="7">
        <f>Haver!Q92</f>
        <v>23.173333333333332</v>
      </c>
      <c r="R82" s="7">
        <f>Haver!R92</f>
        <v>26.926666666666666</v>
      </c>
      <c r="S82" s="7">
        <f>Mater_Q!B83</f>
        <v>5.4580000000000011</v>
      </c>
    </row>
    <row r="83" spans="1:19" x14ac:dyDescent="0.35">
      <c r="A83" s="4">
        <v>36678</v>
      </c>
      <c r="B83" s="7">
        <f>Haver!C93</f>
        <v>2442741.1</v>
      </c>
      <c r="C83" s="7">
        <f>Haver!D93</f>
        <v>3532.7</v>
      </c>
      <c r="D83" s="7">
        <f>UK_HAVER!C95</f>
        <v>483672</v>
      </c>
      <c r="E83" s="30">
        <f>reconstruct_levels_ch!I83</f>
        <v>4841.7123583966304</v>
      </c>
      <c r="F83" s="18">
        <f>Haver!M93</f>
        <v>75.896666666666661</v>
      </c>
      <c r="G83" s="18">
        <f>Haver!N93</f>
        <v>171.43333333333331</v>
      </c>
      <c r="H83" s="7">
        <f>UK_HAVER!E95</f>
        <v>72.548817447881461</v>
      </c>
      <c r="I83" s="13">
        <f>reconstruct_levels_ch!D83</f>
        <v>60.909331777275732</v>
      </c>
      <c r="J83" s="13">
        <f>AWM!C123</f>
        <v>4.2630168350168347</v>
      </c>
      <c r="K83" s="7">
        <f>Haver!H93</f>
        <v>6.5</v>
      </c>
      <c r="L83" s="7">
        <f>UK_HAVER!D95</f>
        <v>6</v>
      </c>
      <c r="M83" s="13">
        <f>M84/(OEM_aux!B89/OEM_aux!B88)</f>
        <v>5.5358358579942877</v>
      </c>
      <c r="N83" s="7">
        <f>Haver!J93</f>
        <v>1.0706275126289437</v>
      </c>
      <c r="O83" s="7">
        <f>1/UK_HAVER!F95</f>
        <v>0.65210303227910005</v>
      </c>
      <c r="P83" s="28">
        <f>1/ '[2]Exchange rate'!$C88</f>
        <v>1.0825702295785035E-2</v>
      </c>
      <c r="Q83" s="7">
        <f>Haver!Q93</f>
        <v>25.02333333333333</v>
      </c>
      <c r="R83" s="7">
        <f>Haver!R93</f>
        <v>26.766666666666666</v>
      </c>
      <c r="S83" s="7">
        <f>Mater_Q!B84</f>
        <v>5.2473333333333336</v>
      </c>
    </row>
    <row r="84" spans="1:19" x14ac:dyDescent="0.35">
      <c r="A84" s="4">
        <v>36770</v>
      </c>
      <c r="B84" s="7">
        <f>Haver!C94</f>
        <v>2459219.6</v>
      </c>
      <c r="C84" s="7">
        <f>Haver!D94</f>
        <v>3536.3</v>
      </c>
      <c r="D84" s="7">
        <f>UK_HAVER!C96</f>
        <v>486617</v>
      </c>
      <c r="E84" s="30">
        <f>reconstruct_levels_ch!I84</f>
        <v>4940.1568700326297</v>
      </c>
      <c r="F84" s="18">
        <f>Haver!M94</f>
        <v>76.453333333333333</v>
      </c>
      <c r="G84" s="18">
        <f>Haver!N94</f>
        <v>173</v>
      </c>
      <c r="H84" s="7">
        <f>UK_HAVER!E96</f>
        <v>72.723498722876229</v>
      </c>
      <c r="I84" s="13">
        <f>reconstruct_levels_ch!D84</f>
        <v>61.194389200490463</v>
      </c>
      <c r="J84" s="13">
        <f>AWM!C124</f>
        <v>4.7376004140786749</v>
      </c>
      <c r="K84" s="7">
        <f>Haver!H94</f>
        <v>6.5</v>
      </c>
      <c r="L84" s="7">
        <f>UK_HAVER!D96</f>
        <v>6</v>
      </c>
      <c r="M84" s="13">
        <f>M85/(OEM_aux!B90/OEM_aux!B89)</f>
        <v>5.5358358579942877</v>
      </c>
      <c r="N84" s="7">
        <f>Haver!J94</f>
        <v>1.1046354923802246</v>
      </c>
      <c r="O84" s="7">
        <f>1/UK_HAVER!F96</f>
        <v>0.67718561657750387</v>
      </c>
      <c r="P84" s="28">
        <f>1/ '[2]Exchange rate'!$C89</f>
        <v>1.0669717921466395E-2</v>
      </c>
      <c r="Q84" s="7">
        <f>Haver!Q94</f>
        <v>19.223333333333333</v>
      </c>
      <c r="R84" s="7">
        <f>Haver!R94</f>
        <v>30.673333333333332</v>
      </c>
      <c r="S84" s="7">
        <f>Mater_Q!B85</f>
        <v>5.2433333333333332</v>
      </c>
    </row>
    <row r="85" spans="1:19" x14ac:dyDescent="0.35">
      <c r="A85" s="4">
        <v>36861</v>
      </c>
      <c r="B85" s="7">
        <f>Haver!C95</f>
        <v>2470828.1</v>
      </c>
      <c r="C85" s="7">
        <f>Haver!D95</f>
        <v>3557.5</v>
      </c>
      <c r="D85" s="7">
        <f>UK_HAVER!C97</f>
        <v>489506</v>
      </c>
      <c r="E85" s="30">
        <f>reconstruct_levels_ch!I85</f>
        <v>5032.0404691965477</v>
      </c>
      <c r="F85" s="18">
        <f>Haver!M95</f>
        <v>76.92</v>
      </c>
      <c r="G85" s="18">
        <f>Haver!N95</f>
        <v>174.23333333333335</v>
      </c>
      <c r="H85" s="7">
        <f>UK_HAVER!E97</f>
        <v>73.104102370783224</v>
      </c>
      <c r="I85" s="13">
        <f>reconstruct_levels_ch!D85</f>
        <v>61.576110156417869</v>
      </c>
      <c r="J85" s="13">
        <f>AWM!C125</f>
        <v>5.0241283891547042</v>
      </c>
      <c r="K85" s="7">
        <f>Haver!H95</f>
        <v>6.5</v>
      </c>
      <c r="L85" s="7">
        <f>UK_HAVER!D97</f>
        <v>6</v>
      </c>
      <c r="M85" s="13">
        <f>M86/(OEM_aux!B91/OEM_aux!B90)</f>
        <v>5.5358358579942877</v>
      </c>
      <c r="N85" s="7">
        <f>Haver!J95</f>
        <v>1.1499271137864377</v>
      </c>
      <c r="O85" s="7">
        <f>1/UK_HAVER!F97</f>
        <v>0.69135574862304983</v>
      </c>
      <c r="P85" s="28">
        <f>1/ '[2]Exchange rate'!$C90</f>
        <v>1.0377624099001703E-2</v>
      </c>
      <c r="Q85" s="7">
        <f>Haver!Q95</f>
        <v>26.036666666666665</v>
      </c>
      <c r="R85" s="7">
        <f>Haver!R95</f>
        <v>29.723333333333333</v>
      </c>
      <c r="S85" s="7">
        <f>Mater_Q!B86</f>
        <v>5.0983333333333336</v>
      </c>
    </row>
    <row r="86" spans="1:19" x14ac:dyDescent="0.35">
      <c r="A86" s="4">
        <v>36951</v>
      </c>
      <c r="B86" s="7">
        <f>Haver!C96</f>
        <v>2497942.9</v>
      </c>
      <c r="C86" s="7">
        <f>Haver!D96</f>
        <v>3545.8</v>
      </c>
      <c r="D86" s="7">
        <f>UK_HAVER!C98</f>
        <v>493575</v>
      </c>
      <c r="E86" s="30">
        <f>reconstruct_levels_ch!I86</f>
        <v>5149.3446731195245</v>
      </c>
      <c r="F86" s="18">
        <f>Haver!M96</f>
        <v>77.096666666666678</v>
      </c>
      <c r="G86" s="18">
        <f>Haver!N96</f>
        <v>175.9</v>
      </c>
      <c r="H86" s="7">
        <f>UK_HAVER!E98</f>
        <v>73.013719621835236</v>
      </c>
      <c r="I86" s="13">
        <f>reconstruct_levels_ch!D86</f>
        <v>61.629012247958968</v>
      </c>
      <c r="J86" s="13">
        <f>AWM!C126</f>
        <v>4.7450545454545452</v>
      </c>
      <c r="K86" s="7">
        <f>Haver!H96</f>
        <v>5</v>
      </c>
      <c r="L86" s="7">
        <f>UK_HAVER!D98</f>
        <v>5.8533333333333326</v>
      </c>
      <c r="M86" s="13">
        <f>M87/(OEM_aux!B92/OEM_aux!B91)</f>
        <v>5.5358358579942877</v>
      </c>
      <c r="N86" s="7">
        <f>Haver!J96</f>
        <v>1.083224108235753</v>
      </c>
      <c r="O86" s="7">
        <f>1/UK_HAVER!F98</f>
        <v>0.68579266201851652</v>
      </c>
      <c r="P86" s="28">
        <f>1/ '[2]Exchange rate'!$C91</f>
        <v>1.0297615504748952E-2</v>
      </c>
      <c r="Q86" s="7">
        <f>Haver!Q96</f>
        <v>25.61</v>
      </c>
      <c r="R86" s="7">
        <f>Haver!R96</f>
        <v>25.873333333333335</v>
      </c>
      <c r="S86" s="7">
        <f>Mater_Q!B87</f>
        <v>4.7646666666666659</v>
      </c>
    </row>
    <row r="87" spans="1:19" x14ac:dyDescent="0.35">
      <c r="A87" s="4">
        <v>37043</v>
      </c>
      <c r="B87" s="7">
        <f>Haver!C97</f>
        <v>2499200.4</v>
      </c>
      <c r="C87" s="7">
        <f>Haver!D97</f>
        <v>3567.9</v>
      </c>
      <c r="D87" s="7">
        <f>UK_HAVER!C99</f>
        <v>495602</v>
      </c>
      <c r="E87" s="30">
        <f>reconstruct_levels_ch!I87</f>
        <v>5253.1635610478397</v>
      </c>
      <c r="F87" s="18">
        <f>Haver!M97</f>
        <v>77.839999999999989</v>
      </c>
      <c r="G87" s="18">
        <f>Haver!N97</f>
        <v>177.13333333333335</v>
      </c>
      <c r="H87" s="7">
        <f>UK_HAVER!E99</f>
        <v>73.629494268862786</v>
      </c>
      <c r="I87" s="13">
        <f>reconstruct_levels_ch!D87</f>
        <v>61.851350885420267</v>
      </c>
      <c r="J87" s="13">
        <f>AWM!C127</f>
        <v>4.5907510822510824</v>
      </c>
      <c r="K87" s="7">
        <f>Haver!H97</f>
        <v>3.75</v>
      </c>
      <c r="L87" s="7">
        <f>UK_HAVER!D99</f>
        <v>5.37</v>
      </c>
      <c r="M87" s="13">
        <f>M88/(OEM_aux!B93/OEM_aux!B92)</f>
        <v>5.5358358579942877</v>
      </c>
      <c r="N87" s="7">
        <f>Haver!J97</f>
        <v>1.1453306206813878</v>
      </c>
      <c r="O87" s="7">
        <f>1/UK_HAVER!F99</f>
        <v>0.70368024769544713</v>
      </c>
      <c r="P87" s="28">
        <f>1/ '[2]Exchange rate'!$C92</f>
        <v>9.9604173016432686E-3</v>
      </c>
      <c r="Q87" s="7">
        <f>Haver!Q97</f>
        <v>24.003333333333334</v>
      </c>
      <c r="R87" s="7">
        <f>Haver!R97</f>
        <v>27.27333333333333</v>
      </c>
      <c r="S87" s="7">
        <f>Mater_Q!B88</f>
        <v>4.9836666666666671</v>
      </c>
    </row>
    <row r="88" spans="1:19" x14ac:dyDescent="0.35">
      <c r="A88" s="4">
        <v>37135</v>
      </c>
      <c r="B88" s="7">
        <f>Haver!C98</f>
        <v>2504580</v>
      </c>
      <c r="C88" s="7">
        <f>Haver!D98</f>
        <v>3553.6</v>
      </c>
      <c r="D88" s="7">
        <f>UK_HAVER!C100</f>
        <v>497938</v>
      </c>
      <c r="E88" s="30">
        <f>reconstruct_levels_ch!I88</f>
        <v>5334.5424726626225</v>
      </c>
      <c r="F88" s="18">
        <f>Haver!M98</f>
        <v>78.176666666666662</v>
      </c>
      <c r="G88" s="18">
        <f>Haver!N98</f>
        <v>177.63333333333333</v>
      </c>
      <c r="H88" s="7">
        <f>UK_HAVER!E100</f>
        <v>73.88847129778469</v>
      </c>
      <c r="I88" s="13">
        <f>reconstruct_levels_ch!D88</f>
        <v>61.70023987043858</v>
      </c>
      <c r="J88" s="13">
        <f>AWM!C128</f>
        <v>4.2678360342555983</v>
      </c>
      <c r="K88" s="7">
        <f>Haver!H98</f>
        <v>3</v>
      </c>
      <c r="L88" s="7">
        <f>UK_HAVER!D100</f>
        <v>5.05</v>
      </c>
      <c r="M88" s="13">
        <f>M89/(OEM_aux!B94/OEM_aux!B93)</f>
        <v>5.5358358579942877</v>
      </c>
      <c r="N88" s="7">
        <f>Haver!J98</f>
        <v>1.1226528136299034</v>
      </c>
      <c r="O88" s="7">
        <f>1/UK_HAVER!F100</f>
        <v>0.69512025580425407</v>
      </c>
      <c r="P88" s="28">
        <f>1/ '[2]Exchange rate'!$C93</f>
        <v>9.9817732819870927E-3</v>
      </c>
      <c r="Q88" s="7">
        <f>Haver!Q98</f>
        <v>26.416666666666668</v>
      </c>
      <c r="R88" s="7">
        <f>Haver!R98</f>
        <v>25.303333333333331</v>
      </c>
      <c r="S88" s="7">
        <f>Mater_Q!B89</f>
        <v>4.8976666666666668</v>
      </c>
    </row>
    <row r="89" spans="1:19" x14ac:dyDescent="0.35">
      <c r="A89" s="4">
        <v>37226</v>
      </c>
      <c r="B89" s="7">
        <f>Haver!C99</f>
        <v>2503211.7999999998</v>
      </c>
      <c r="C89" s="7">
        <f>Haver!D99</f>
        <v>3563.4</v>
      </c>
      <c r="D89" s="7">
        <f>UK_HAVER!C101</f>
        <v>499278</v>
      </c>
      <c r="E89" s="30">
        <f>reconstruct_levels_ch!I89</f>
        <v>5445.6229046041963</v>
      </c>
      <c r="F89" s="18">
        <f>Haver!M99</f>
        <v>78.353333333333339</v>
      </c>
      <c r="G89" s="18">
        <f>Haver!N99</f>
        <v>177.5</v>
      </c>
      <c r="H89" s="7">
        <f>UK_HAVER!E101</f>
        <v>73.835633617781724</v>
      </c>
      <c r="I89" s="13">
        <f>reconstruct_levels_ch!D89</f>
        <v>61.514701254963242</v>
      </c>
      <c r="J89" s="13">
        <f>AWM!C129</f>
        <v>3.4434800907626997</v>
      </c>
      <c r="K89" s="7">
        <f>Haver!H99</f>
        <v>1.75</v>
      </c>
      <c r="L89" s="7">
        <f>UK_HAVER!D101</f>
        <v>4.2133333333333338</v>
      </c>
      <c r="M89" s="13">
        <f>M90/(OEM_aux!B95/OEM_aux!B94)</f>
        <v>5.5358358579942877</v>
      </c>
      <c r="N89" s="7">
        <f>Haver!J99</f>
        <v>1.1166754635878187</v>
      </c>
      <c r="O89" s="7">
        <f>1/UK_HAVER!F101</f>
        <v>0.69332100762653115</v>
      </c>
      <c r="P89" s="28">
        <f>1/ '[2]Exchange rate'!$C94</f>
        <v>9.9420576877955278E-3</v>
      </c>
      <c r="Q89" s="7">
        <f>Haver!Q99</f>
        <v>27.689999999999998</v>
      </c>
      <c r="R89" s="7">
        <f>Haver!R99</f>
        <v>19.350000000000001</v>
      </c>
      <c r="S89" s="7">
        <f>Mater_Q!B90</f>
        <v>4.6320000000000006</v>
      </c>
    </row>
    <row r="90" spans="1:19" x14ac:dyDescent="0.35">
      <c r="A90" s="4">
        <v>37316</v>
      </c>
      <c r="B90" s="7">
        <f>Haver!C100</f>
        <v>2508949.7000000002</v>
      </c>
      <c r="C90" s="7">
        <f>Haver!D100</f>
        <v>3593.2</v>
      </c>
      <c r="D90" s="7">
        <f>UK_HAVER!C102</f>
        <v>500794</v>
      </c>
      <c r="E90" s="30">
        <f>reconstruct_levels_ch!I90</f>
        <v>5573.9189359873953</v>
      </c>
      <c r="F90" s="18">
        <f>Haver!M100</f>
        <v>79.046666666666667</v>
      </c>
      <c r="G90" s="18">
        <f>Haver!N100</f>
        <v>178.06666666666669</v>
      </c>
      <c r="H90" s="7">
        <f>UK_HAVER!E102</f>
        <v>74.098642205215469</v>
      </c>
      <c r="I90" s="13">
        <f>reconstruct_levels_ch!D90</f>
        <v>61.260777305744739</v>
      </c>
      <c r="J90" s="13">
        <f>AWM!C130</f>
        <v>3.3622242424242419</v>
      </c>
      <c r="K90" s="7">
        <f>Haver!H100</f>
        <v>1.75</v>
      </c>
      <c r="L90" s="7">
        <f>UK_HAVER!D102</f>
        <v>4</v>
      </c>
      <c r="M90" s="13">
        <f>M91/(OEM_aux!B96/OEM_aux!B95)</f>
        <v>5.2338031796834956</v>
      </c>
      <c r="N90" s="7">
        <f>Haver!J100</f>
        <v>1.1410657782582088</v>
      </c>
      <c r="O90" s="7">
        <f>1/UK_HAVER!F102</f>
        <v>0.70127866476542233</v>
      </c>
      <c r="P90" s="28">
        <f>1/ '[2]Exchange rate'!$C95</f>
        <v>9.7469021908112054E-3</v>
      </c>
      <c r="Q90" s="7">
        <f>Haver!Q100</f>
        <v>21.373333333333331</v>
      </c>
      <c r="R90" s="7">
        <f>Haver!R100</f>
        <v>21.133333333333336</v>
      </c>
      <c r="S90" s="7">
        <f>Mater_Q!B91</f>
        <v>4.9973333333333336</v>
      </c>
    </row>
    <row r="91" spans="1:19" x14ac:dyDescent="0.35">
      <c r="A91" s="4">
        <v>37408</v>
      </c>
      <c r="B91" s="7">
        <f>Haver!C101</f>
        <v>2520693.4</v>
      </c>
      <c r="C91" s="7">
        <f>Haver!D101</f>
        <v>3615.2</v>
      </c>
      <c r="D91" s="7">
        <f>UK_HAVER!C103</f>
        <v>503433</v>
      </c>
      <c r="E91" s="30">
        <f>reconstruct_levels_ch!I91</f>
        <v>5715.1056621237531</v>
      </c>
      <c r="F91" s="18">
        <f>Haver!M101</f>
        <v>79.473333333333343</v>
      </c>
      <c r="G91" s="18">
        <f>Haver!N101</f>
        <v>179.46666666666667</v>
      </c>
      <c r="H91" s="7">
        <f>UK_HAVER!E103</f>
        <v>74.35525950712119</v>
      </c>
      <c r="I91" s="13">
        <f>reconstruct_levels_ch!D91</f>
        <v>61.159984416755194</v>
      </c>
      <c r="J91" s="13">
        <f>AWM!C131</f>
        <v>3.4460137085137088</v>
      </c>
      <c r="K91" s="7">
        <f>Haver!H101</f>
        <v>1.75</v>
      </c>
      <c r="L91" s="7">
        <f>UK_HAVER!D103</f>
        <v>4</v>
      </c>
      <c r="M91" s="13">
        <f>M92/(OEM_aux!B97/OEM_aux!B96)</f>
        <v>4.8368449467737245</v>
      </c>
      <c r="N91" s="7">
        <f>Haver!J101</f>
        <v>1.0876331398917369</v>
      </c>
      <c r="O91" s="7">
        <f>1/UK_HAVER!F103</f>
        <v>0.68393215393033013</v>
      </c>
      <c r="P91" s="28">
        <f>1/ '[2]Exchange rate'!$C96</f>
        <v>9.983586982999948E-3</v>
      </c>
      <c r="Q91" s="7">
        <f>Haver!Q101</f>
        <v>21.75333333333333</v>
      </c>
      <c r="R91" s="7">
        <f>Haver!R101</f>
        <v>25.053333333333331</v>
      </c>
      <c r="S91" s="7">
        <f>Mater_Q!B92</f>
        <v>5.1230000000000002</v>
      </c>
    </row>
    <row r="92" spans="1:19" x14ac:dyDescent="0.35">
      <c r="A92" s="4">
        <v>37500</v>
      </c>
      <c r="B92" s="7">
        <f>Haver!C102</f>
        <v>2532250.6</v>
      </c>
      <c r="C92" s="7">
        <f>Haver!D102</f>
        <v>3629.9</v>
      </c>
      <c r="D92" s="7">
        <f>UK_HAVER!C104</f>
        <v>506386</v>
      </c>
      <c r="E92" s="30">
        <f>reconstruct_levels_ch!I92</f>
        <v>5852.2407808817525</v>
      </c>
      <c r="F92" s="18">
        <f>Haver!M102</f>
        <v>79.820000000000007</v>
      </c>
      <c r="G92" s="18">
        <f>Haver!N102</f>
        <v>180.43333333333331</v>
      </c>
      <c r="H92" s="7">
        <f>UK_HAVER!E104</f>
        <v>74.61229451207565</v>
      </c>
      <c r="I92" s="13">
        <f>reconstruct_levels_ch!D92</f>
        <v>61.194597089470072</v>
      </c>
      <c r="J92" s="13">
        <f>AWM!C132</f>
        <v>3.3573506493506495</v>
      </c>
      <c r="K92" s="7">
        <f>Haver!H102</f>
        <v>1.75</v>
      </c>
      <c r="L92" s="7">
        <f>UK_HAVER!D104</f>
        <v>4</v>
      </c>
      <c r="M92" s="13">
        <f>M93/(OEM_aux!B98/OEM_aux!B97)</f>
        <v>4.8368449467737245</v>
      </c>
      <c r="N92" s="7">
        <f>Haver!J102</f>
        <v>1.016695151075816</v>
      </c>
      <c r="O92" s="7">
        <f>1/UK_HAVER!F104</f>
        <v>0.64521679284239497</v>
      </c>
      <c r="P92" s="28">
        <f>1/ '[2]Exchange rate'!$C97</f>
        <v>1.0262699449149607E-2</v>
      </c>
      <c r="Q92" s="7">
        <f>Haver!Q102</f>
        <v>35.146666666666668</v>
      </c>
      <c r="R92" s="7">
        <f>Haver!R102</f>
        <v>26.929999999999996</v>
      </c>
      <c r="S92" s="7">
        <f>Mater_Q!B93</f>
        <v>4.6150000000000002</v>
      </c>
    </row>
    <row r="93" spans="1:19" x14ac:dyDescent="0.35">
      <c r="A93" s="4">
        <v>37591</v>
      </c>
      <c r="B93" s="7">
        <f>Haver!C103</f>
        <v>2536974.2000000002</v>
      </c>
      <c r="C93" s="7">
        <f>Haver!D103</f>
        <v>3634.4</v>
      </c>
      <c r="D93" s="7">
        <f>UK_HAVER!C105</f>
        <v>509728</v>
      </c>
      <c r="E93" s="30">
        <f>reconstruct_levels_ch!I93</f>
        <v>5986.2876714097074</v>
      </c>
      <c r="F93" s="18">
        <f>Haver!M103</f>
        <v>80.14</v>
      </c>
      <c r="G93" s="18">
        <f>Haver!N103</f>
        <v>181.5</v>
      </c>
      <c r="H93" s="7">
        <f>UK_HAVER!E105</f>
        <v>74.930768023612004</v>
      </c>
      <c r="I93" s="13">
        <f>reconstruct_levels_ch!D93</f>
        <v>61.192629553948869</v>
      </c>
      <c r="J93" s="13">
        <f>AWM!C133</f>
        <v>3.1088179089026919</v>
      </c>
      <c r="K93" s="7">
        <f>Haver!H103</f>
        <v>1.25</v>
      </c>
      <c r="L93" s="7">
        <f>UK_HAVER!D105</f>
        <v>4</v>
      </c>
      <c r="M93" s="13">
        <f>M94/(OEM_aux!B99/OEM_aux!B98)</f>
        <v>4.8368449467737245</v>
      </c>
      <c r="N93" s="7">
        <f>Haver!J103</f>
        <v>0.99975805854983091</v>
      </c>
      <c r="O93" s="7">
        <f>1/UK_HAVER!F105</f>
        <v>0.63628072705677741</v>
      </c>
      <c r="P93" s="28">
        <f>1/ '[2]Exchange rate'!$C98</f>
        <v>1.0200043248183372E-2</v>
      </c>
      <c r="Q93" s="7">
        <f>Haver!Q103</f>
        <v>30.543333333333333</v>
      </c>
      <c r="R93" s="7">
        <f>Haver!R103</f>
        <v>26.736666666666665</v>
      </c>
      <c r="S93" s="7">
        <f>Mater_Q!B94</f>
        <v>4.4393333333333329</v>
      </c>
    </row>
    <row r="94" spans="1:19" x14ac:dyDescent="0.35">
      <c r="A94" s="4">
        <v>37681</v>
      </c>
      <c r="B94" s="7">
        <f>Haver!C104</f>
        <v>2530104.4</v>
      </c>
      <c r="C94" s="7">
        <f>Haver!D104</f>
        <v>3653.5</v>
      </c>
      <c r="D94" s="7">
        <f>UK_HAVER!C106</f>
        <v>514031</v>
      </c>
      <c r="E94" s="30">
        <f>reconstruct_levels_ch!I94</f>
        <v>6156.923057536228</v>
      </c>
      <c r="F94" s="18">
        <f>Haver!M104</f>
        <v>80.856666666666669</v>
      </c>
      <c r="G94" s="18">
        <f>Haver!N104</f>
        <v>183.36666666666667</v>
      </c>
      <c r="H94" s="7">
        <f>UK_HAVER!E106</f>
        <v>75.226590354853172</v>
      </c>
      <c r="I94" s="13">
        <f>reconstruct_levels_ch!D94</f>
        <v>61.574094094428041</v>
      </c>
      <c r="J94" s="13">
        <f>AWM!C134</f>
        <v>2.6830735209235215</v>
      </c>
      <c r="K94" s="7">
        <f>Haver!H104</f>
        <v>1.25</v>
      </c>
      <c r="L94" s="7">
        <f>UK_HAVER!D106</f>
        <v>3.8466666666666662</v>
      </c>
      <c r="M94" s="13">
        <f>M95/(OEM_aux!B100/OEM_aux!B99)</f>
        <v>4.8368449467737245</v>
      </c>
      <c r="N94" s="7">
        <f>Haver!J104</f>
        <v>0.93163853791132234</v>
      </c>
      <c r="O94" s="7">
        <f>1/UK_HAVER!F106</f>
        <v>0.62397304436448342</v>
      </c>
      <c r="P94" s="28">
        <f>1/ '[2]Exchange rate'!$C99</f>
        <v>1.0474248849717991E-2</v>
      </c>
      <c r="Q94" s="7">
        <f>Haver!Q104</f>
        <v>30.09</v>
      </c>
      <c r="R94" s="7">
        <f>Haver!R104</f>
        <v>31.52</v>
      </c>
      <c r="S94" s="7">
        <f>Mater_Q!B95</f>
        <v>4.0633333333333335</v>
      </c>
    </row>
    <row r="95" spans="1:19" x14ac:dyDescent="0.35">
      <c r="A95" s="4">
        <v>37773</v>
      </c>
      <c r="B95" s="7">
        <f>Haver!C105</f>
        <v>2531492.4</v>
      </c>
      <c r="C95" s="7">
        <f>Haver!D105</f>
        <v>3685.9</v>
      </c>
      <c r="D95" s="7">
        <f>UK_HAVER!C107</f>
        <v>518802</v>
      </c>
      <c r="E95" s="30">
        <f>reconstruct_levels_ch!I95</f>
        <v>6230.0263854825971</v>
      </c>
      <c r="F95" s="18">
        <f>Haver!M105</f>
        <v>81.009999999999991</v>
      </c>
      <c r="G95" s="18">
        <f>Haver!N105</f>
        <v>183.06666666666669</v>
      </c>
      <c r="H95" s="7">
        <f>UK_HAVER!E107</f>
        <v>75.307568695891945</v>
      </c>
      <c r="I95" s="13">
        <f>reconstruct_levels_ch!D95</f>
        <v>61.524606871036987</v>
      </c>
      <c r="J95" s="13">
        <f>AWM!C135</f>
        <v>2.3619103174603175</v>
      </c>
      <c r="K95" s="7">
        <f>Haver!H105</f>
        <v>1</v>
      </c>
      <c r="L95" s="7">
        <f>UK_HAVER!D107</f>
        <v>3.75</v>
      </c>
      <c r="M95" s="13">
        <f>M96/(OEM_aux!B101/OEM_aux!B100)</f>
        <v>4.8368449467737245</v>
      </c>
      <c r="N95" s="7">
        <f>Haver!J105</f>
        <v>0.87996616236783642</v>
      </c>
      <c r="O95" s="7">
        <f>1/UK_HAVER!F107</f>
        <v>0.61763979247302969</v>
      </c>
      <c r="P95" s="28">
        <f>1/ '[2]Exchange rate'!$C100</f>
        <v>1.0718063065940526E-2</v>
      </c>
      <c r="Q95" s="7">
        <f>Haver!Q105</f>
        <v>21.53</v>
      </c>
      <c r="R95" s="7">
        <f>Haver!R105</f>
        <v>26.193333333333332</v>
      </c>
      <c r="S95" s="7">
        <f>Mater_Q!B96</f>
        <v>3.8849999999999998</v>
      </c>
    </row>
    <row r="96" spans="1:19" x14ac:dyDescent="0.35">
      <c r="A96" s="4">
        <v>37865</v>
      </c>
      <c r="B96" s="7">
        <f>Haver!C106</f>
        <v>2548109.6</v>
      </c>
      <c r="C96" s="7">
        <f>Haver!D106</f>
        <v>3747.2</v>
      </c>
      <c r="D96" s="7">
        <f>UK_HAVER!C108</f>
        <v>524213</v>
      </c>
      <c r="E96" s="30">
        <f>reconstruct_levels_ch!I96</f>
        <v>6451.3110995725074</v>
      </c>
      <c r="F96" s="18">
        <f>Haver!M106</f>
        <v>81.42</v>
      </c>
      <c r="G96" s="18">
        <f>Haver!N106</f>
        <v>184.43333333333331</v>
      </c>
      <c r="H96" s="7">
        <f>UK_HAVER!E108</f>
        <v>75.603813462978181</v>
      </c>
      <c r="I96" s="13">
        <f>reconstruct_levels_ch!D96</f>
        <v>61.669649653959937</v>
      </c>
      <c r="J96" s="13">
        <f>AWM!C136</f>
        <v>2.1392634105025414</v>
      </c>
      <c r="K96" s="7">
        <f>Haver!H106</f>
        <v>1</v>
      </c>
      <c r="L96" s="7">
        <f>UK_HAVER!D108</f>
        <v>3.5266666666666668</v>
      </c>
      <c r="M96" s="13">
        <f>M97/(OEM_aux!B102/OEM_aux!B101)</f>
        <v>4.8368449467737245</v>
      </c>
      <c r="N96" s="7">
        <f>Haver!J106</f>
        <v>0.8893571518989406</v>
      </c>
      <c r="O96" s="7">
        <f>1/UK_HAVER!F108</f>
        <v>0.62092517851598883</v>
      </c>
      <c r="P96" s="28">
        <f>1/ '[2]Exchange rate'!$C101</f>
        <v>1.0752360976542327E-2</v>
      </c>
      <c r="Q96" s="7">
        <f>Haver!Q106</f>
        <v>19.32</v>
      </c>
      <c r="R96" s="7">
        <f>Haver!R106</f>
        <v>28.45</v>
      </c>
      <c r="S96" s="7">
        <f>Mater_Q!B97</f>
        <v>4.12</v>
      </c>
    </row>
    <row r="97" spans="1:19" x14ac:dyDescent="0.35">
      <c r="A97" s="4">
        <v>37956</v>
      </c>
      <c r="B97" s="7">
        <f>Haver!C107</f>
        <v>2564677.7999999998</v>
      </c>
      <c r="C97" s="7">
        <f>Haver!D107</f>
        <v>3790.7</v>
      </c>
      <c r="D97" s="7">
        <f>UK_HAVER!C109</f>
        <v>528320</v>
      </c>
      <c r="E97" s="30">
        <f>reconstruct_levels_ch!I97</f>
        <v>6630.5842373012938</v>
      </c>
      <c r="F97" s="18">
        <f>Haver!M107</f>
        <v>81.760000000000005</v>
      </c>
      <c r="G97" s="18">
        <f>Haver!N107</f>
        <v>185.13333333333333</v>
      </c>
      <c r="H97" s="7">
        <f>UK_HAVER!E109</f>
        <v>75.957086051541594</v>
      </c>
      <c r="I97" s="13">
        <f>reconstruct_levels_ch!D97</f>
        <v>62.872138207214867</v>
      </c>
      <c r="J97" s="13">
        <f>AWM!C137</f>
        <v>2.1496495169082128</v>
      </c>
      <c r="K97" s="7">
        <f>Haver!H107</f>
        <v>1</v>
      </c>
      <c r="L97" s="7">
        <f>UK_HAVER!D109</f>
        <v>3.6533333333333338</v>
      </c>
      <c r="M97" s="13">
        <f>M98/(OEM_aux!B103/OEM_aux!B102)</f>
        <v>4.8368449467737245</v>
      </c>
      <c r="N97" s="7">
        <f>Haver!J107</f>
        <v>0.84081942898270934</v>
      </c>
      <c r="O97" s="7">
        <f>1/UK_HAVER!F109</f>
        <v>0.58588028512840551</v>
      </c>
      <c r="P97" s="28">
        <f>1/ '[2]Exchange rate'!$C102</f>
        <v>1.1087537773855254E-2</v>
      </c>
      <c r="Q97" s="7">
        <f>Haver!Q107</f>
        <v>17.416666666666668</v>
      </c>
      <c r="R97" s="7">
        <f>Haver!R107</f>
        <v>29.39</v>
      </c>
      <c r="S97" s="7">
        <f>Mater_Q!B98</f>
        <v>4.3296666666666663</v>
      </c>
    </row>
    <row r="98" spans="1:19" x14ac:dyDescent="0.35">
      <c r="A98" s="4">
        <v>38047</v>
      </c>
      <c r="B98" s="7">
        <f>Haver!C108</f>
        <v>2577786.4</v>
      </c>
      <c r="C98" s="7">
        <f>Haver!D108</f>
        <v>3812.2</v>
      </c>
      <c r="D98" s="7">
        <f>UK_HAVER!C110</f>
        <v>529996</v>
      </c>
      <c r="E98" s="30">
        <f>reconstruct_levels_ch!I98</f>
        <v>6769.9859919506953</v>
      </c>
      <c r="F98" s="18">
        <f>Haver!M108</f>
        <v>82.256666666666661</v>
      </c>
      <c r="G98" s="18">
        <f>Haver!N108</f>
        <v>186.70000000000002</v>
      </c>
      <c r="H98" s="7">
        <f>UK_HAVER!E110</f>
        <v>76.195392767794445</v>
      </c>
      <c r="I98" s="13">
        <f>reconstruct_levels_ch!D98</f>
        <v>63.296770574126477</v>
      </c>
      <c r="J98" s="13">
        <f>AWM!C138</f>
        <v>2.062950759144238</v>
      </c>
      <c r="K98" s="7">
        <f>Haver!H108</f>
        <v>1</v>
      </c>
      <c r="L98" s="7">
        <f>UK_HAVER!D110</f>
        <v>3.9033333333333338</v>
      </c>
      <c r="M98" s="13">
        <f>M99/(OEM_aux!B104/OEM_aux!B103)</f>
        <v>4.8368449467737245</v>
      </c>
      <c r="N98" s="7">
        <f>Haver!J108</f>
        <v>0.79954607104393272</v>
      </c>
      <c r="O98" s="7">
        <f>1/UK_HAVER!F110</f>
        <v>0.54358658428309981</v>
      </c>
      <c r="P98" s="28">
        <f>1/ '[2]Exchange rate'!$C103</f>
        <v>1.1329965765375443E-2</v>
      </c>
      <c r="Q98" s="7">
        <f>Haver!Q108</f>
        <v>16.596666666666668</v>
      </c>
      <c r="R98" s="7">
        <f>Haver!R108</f>
        <v>31.923333333333336</v>
      </c>
      <c r="S98" s="7">
        <f>Mater_Q!B99</f>
        <v>4.0843333333333334</v>
      </c>
    </row>
    <row r="99" spans="1:19" x14ac:dyDescent="0.35">
      <c r="A99" s="4">
        <v>38139</v>
      </c>
      <c r="B99" s="7">
        <f>Haver!C109</f>
        <v>2594024.7999999998</v>
      </c>
      <c r="C99" s="7">
        <f>Haver!D109</f>
        <v>3841.7</v>
      </c>
      <c r="D99" s="7">
        <f>UK_HAVER!C111</f>
        <v>532543</v>
      </c>
      <c r="E99" s="30">
        <f>reconstruct_levels_ch!I99</f>
        <v>6931.8200927336738</v>
      </c>
      <c r="F99" s="18">
        <f>Haver!M109</f>
        <v>82.88</v>
      </c>
      <c r="G99" s="18">
        <f>Haver!N109</f>
        <v>188.16666666666666</v>
      </c>
      <c r="H99" s="7">
        <f>UK_HAVER!E111</f>
        <v>76.384968758160397</v>
      </c>
      <c r="I99" s="13">
        <f>reconstruct_levels_ch!D99</f>
        <v>64.218923794369914</v>
      </c>
      <c r="J99" s="13">
        <f>AWM!C139</f>
        <v>2.0824296536796543</v>
      </c>
      <c r="K99" s="7">
        <f>Haver!H109</f>
        <v>1.25</v>
      </c>
      <c r="L99" s="7">
        <f>UK_HAVER!D111</f>
        <v>4.2133333333333329</v>
      </c>
      <c r="M99" s="13">
        <f>M100/(OEM_aux!B105/OEM_aux!B104)</f>
        <v>4.8368449467737245</v>
      </c>
      <c r="N99" s="7">
        <f>Haver!J109</f>
        <v>0.83031283973633696</v>
      </c>
      <c r="O99" s="7">
        <f>1/UK_HAVER!F111</f>
        <v>0.55381207310319369</v>
      </c>
      <c r="P99" s="28">
        <f>1/ '[2]Exchange rate'!$C104</f>
        <v>1.1138896469526765E-2</v>
      </c>
      <c r="Q99" s="7">
        <f>Haver!Q109</f>
        <v>16.25</v>
      </c>
      <c r="R99" s="7">
        <f>Haver!R109</f>
        <v>35.446666666666665</v>
      </c>
      <c r="S99" s="7">
        <f>Mater_Q!B100</f>
        <v>4.2616666666666667</v>
      </c>
    </row>
    <row r="100" spans="1:19" x14ac:dyDescent="0.35">
      <c r="A100" s="4">
        <v>38231</v>
      </c>
      <c r="B100" s="7">
        <f>Haver!C110</f>
        <v>2599995.1</v>
      </c>
      <c r="C100" s="7">
        <f>Haver!D110</f>
        <v>3878.2</v>
      </c>
      <c r="D100" s="7">
        <f>UK_HAVER!C112</f>
        <v>534447</v>
      </c>
      <c r="E100" s="30">
        <f>reconstruct_levels_ch!I100</f>
        <v>7101.5824927787353</v>
      </c>
      <c r="F100" s="18">
        <f>Haver!M110</f>
        <v>83.266666666666666</v>
      </c>
      <c r="G100" s="18">
        <f>Haver!N110</f>
        <v>189.36666666666665</v>
      </c>
      <c r="H100" s="7">
        <f>UK_HAVER!E112</f>
        <v>76.562209431177394</v>
      </c>
      <c r="I100" s="13">
        <f>reconstruct_levels_ch!D100</f>
        <v>64.857691349213084</v>
      </c>
      <c r="J100" s="13">
        <f>AWM!C140</f>
        <v>2.1163030303030301</v>
      </c>
      <c r="K100" s="7">
        <f>Haver!H110</f>
        <v>1.75</v>
      </c>
      <c r="L100" s="7">
        <f>UK_HAVER!D112</f>
        <v>4.6533333333333333</v>
      </c>
      <c r="M100" s="13">
        <f>M101/(OEM_aux!B106/OEM_aux!B105)</f>
        <v>4.8368449467737245</v>
      </c>
      <c r="N100" s="7">
        <f>Haver!J110</f>
        <v>0.81833886484942719</v>
      </c>
      <c r="O100" s="7">
        <f>1/UK_HAVER!F112</f>
        <v>0.54967202902268308</v>
      </c>
      <c r="P100" s="28">
        <f>1/ '[2]Exchange rate'!$C105</f>
        <v>1.1169799721023083E-2</v>
      </c>
      <c r="Q100" s="7">
        <f>Haver!Q110</f>
        <v>15.42</v>
      </c>
      <c r="R100" s="7">
        <f>Haver!R110</f>
        <v>41.38666666666667</v>
      </c>
      <c r="S100" s="7">
        <f>Mater_Q!B101</f>
        <v>4.1286666666666667</v>
      </c>
    </row>
    <row r="101" spans="1:19" x14ac:dyDescent="0.35">
      <c r="A101" s="4">
        <v>38322</v>
      </c>
      <c r="B101" s="7">
        <f>Haver!C111</f>
        <v>2611649.1</v>
      </c>
      <c r="C101" s="7">
        <f>Haver!D111</f>
        <v>3917.7</v>
      </c>
      <c r="D101" s="7">
        <f>UK_HAVER!C113</f>
        <v>536886</v>
      </c>
      <c r="E101" s="30">
        <f>reconstruct_levels_ch!I101</f>
        <v>7247.2051033864373</v>
      </c>
      <c r="F101" s="18">
        <f>Haver!M111</f>
        <v>83.623333333333335</v>
      </c>
      <c r="G101" s="18">
        <f>Haver!N111</f>
        <v>191.4</v>
      </c>
      <c r="H101" s="7">
        <f>UK_HAVER!E113</f>
        <v>77.01235694105867</v>
      </c>
      <c r="I101" s="13">
        <f>reconstruct_levels_ch!D101</f>
        <v>64.918389183521342</v>
      </c>
      <c r="J101" s="13">
        <f>AWM!C141</f>
        <v>2.1636084760649976</v>
      </c>
      <c r="K101" s="7">
        <f>Haver!H111</f>
        <v>2.25</v>
      </c>
      <c r="L101" s="7">
        <f>UK_HAVER!D113</f>
        <v>4.75</v>
      </c>
      <c r="M101" s="13">
        <f>M102/(OEM_aux!B107/OEM_aux!B106)</f>
        <v>5.0741562444159456</v>
      </c>
      <c r="N101" s="7">
        <f>Haver!J111</f>
        <v>0.7714335086030264</v>
      </c>
      <c r="O101" s="7">
        <f>1/UK_HAVER!F113</f>
        <v>0.5360014293371449</v>
      </c>
      <c r="P101" s="28">
        <f>1/ '[2]Exchange rate'!$C106</f>
        <v>1.1574812236289604E-2</v>
      </c>
      <c r="Q101" s="7">
        <f>Haver!Q111</f>
        <v>13.670000000000002</v>
      </c>
      <c r="R101" s="7">
        <f>Haver!R111</f>
        <v>44.163333333333334</v>
      </c>
      <c r="S101" s="7">
        <f>Mater_Q!B102</f>
        <v>3.7953333333333332</v>
      </c>
    </row>
    <row r="102" spans="1:19" x14ac:dyDescent="0.35">
      <c r="A102" s="4">
        <v>38412</v>
      </c>
      <c r="B102" s="7">
        <f>Haver!C112</f>
        <v>2618738.2999999998</v>
      </c>
      <c r="C102" s="7">
        <f>Haver!D112</f>
        <v>3961.2</v>
      </c>
      <c r="D102" s="7">
        <f>UK_HAVER!C114</f>
        <v>541028</v>
      </c>
      <c r="E102" s="30">
        <f>reconstruct_levels_ch!I102</f>
        <v>7500.1163670998421</v>
      </c>
      <c r="F102" s="18">
        <f>Haver!M112</f>
        <v>83.960000000000008</v>
      </c>
      <c r="G102" s="18">
        <f>Haver!N112</f>
        <v>192.36666666666667</v>
      </c>
      <c r="H102" s="7">
        <f>UK_HAVER!E114</f>
        <v>77.485585228482535</v>
      </c>
      <c r="I102" s="13">
        <f>reconstruct_levels_ch!D102</f>
        <v>65.115582850320607</v>
      </c>
      <c r="J102" s="13">
        <f>AWM!C142</f>
        <v>2.1403230158730158</v>
      </c>
      <c r="K102" s="7">
        <f>Haver!H112</f>
        <v>2.75</v>
      </c>
      <c r="L102" s="7">
        <f>UK_HAVER!D114</f>
        <v>4.75</v>
      </c>
      <c r="M102" s="13">
        <f>M103/(OEM_aux!B108/OEM_aux!B107)</f>
        <v>5.1863404023840065</v>
      </c>
      <c r="N102" s="7">
        <f>Haver!J112</f>
        <v>0.76269486536020425</v>
      </c>
      <c r="O102" s="7">
        <f>1/UK_HAVER!F114</f>
        <v>0.52899790164165683</v>
      </c>
      <c r="P102" s="28">
        <f>1/ '[2]Exchange rate'!$C107</f>
        <v>1.1794678241177579E-2</v>
      </c>
      <c r="Q102" s="7">
        <f>Haver!Q112</f>
        <v>12.76</v>
      </c>
      <c r="R102" s="7">
        <f>Haver!R112</f>
        <v>47.696666666666665</v>
      </c>
      <c r="S102" s="7">
        <f>Mater_Q!B103</f>
        <v>3.6233333333333335</v>
      </c>
    </row>
    <row r="103" spans="1:19" x14ac:dyDescent="0.35">
      <c r="A103" s="4">
        <v>38504</v>
      </c>
      <c r="B103" s="7">
        <f>Haver!C113</f>
        <v>2634951.7999999998</v>
      </c>
      <c r="C103" s="7">
        <f>Haver!D113</f>
        <v>3980.7</v>
      </c>
      <c r="D103" s="7">
        <f>UK_HAVER!C115</f>
        <v>545530</v>
      </c>
      <c r="E103" s="30">
        <f>reconstruct_levels_ch!I103</f>
        <v>7663.9115732872551</v>
      </c>
      <c r="F103" s="18">
        <f>Haver!M113</f>
        <v>84.533333333333346</v>
      </c>
      <c r="G103" s="18">
        <f>Haver!N113</f>
        <v>193.66666666666666</v>
      </c>
      <c r="H103" s="7">
        <f>UK_HAVER!E115</f>
        <v>77.844293347608854</v>
      </c>
      <c r="I103" s="13">
        <f>reconstruct_levels_ch!D103</f>
        <v>65.345235124275575</v>
      </c>
      <c r="J103" s="13">
        <f>AWM!C143</f>
        <v>2.1246399711399708</v>
      </c>
      <c r="K103" s="7">
        <f>Haver!H113</f>
        <v>3.25</v>
      </c>
      <c r="L103" s="7">
        <f>UK_HAVER!D115</f>
        <v>4.75</v>
      </c>
      <c r="M103" s="13">
        <f>M104/(OEM_aux!B109/OEM_aux!B108)</f>
        <v>5.1863404023840065</v>
      </c>
      <c r="N103" s="7">
        <f>Haver!J113</f>
        <v>0.79371882669308158</v>
      </c>
      <c r="O103" s="7">
        <f>1/UK_HAVER!F115</f>
        <v>0.53862865145339966</v>
      </c>
      <c r="P103" s="28">
        <f>1/ '[2]Exchange rate'!$C108</f>
        <v>1.161905757823983E-2</v>
      </c>
      <c r="Q103" s="7">
        <f>Haver!Q113</f>
        <v>13.433333333333332</v>
      </c>
      <c r="R103" s="7">
        <f>Haver!R113</f>
        <v>51.626666666666665</v>
      </c>
      <c r="S103" s="7">
        <f>Mater_Q!B104</f>
        <v>3.3490000000000002</v>
      </c>
    </row>
    <row r="104" spans="1:19" x14ac:dyDescent="0.35">
      <c r="A104" s="4">
        <v>38596</v>
      </c>
      <c r="B104" s="7">
        <f>Haver!C114</f>
        <v>2654707.2999999998</v>
      </c>
      <c r="C104" s="7">
        <f>Haver!D114</f>
        <v>4011.9</v>
      </c>
      <c r="D104" s="7">
        <f>UK_HAVER!C116</f>
        <v>550552</v>
      </c>
      <c r="E104" s="30">
        <f>reconstruct_levels_ch!I104</f>
        <v>7904.7742289326725</v>
      </c>
      <c r="F104" s="18">
        <f>Haver!M114</f>
        <v>85.203333333333333</v>
      </c>
      <c r="G104" s="18">
        <f>Haver!N114</f>
        <v>196.6</v>
      </c>
      <c r="H104" s="7">
        <f>UK_HAVER!E116</f>
        <v>78.384948234144048</v>
      </c>
      <c r="I104" s="13">
        <f>reconstruct_levels_ch!D104</f>
        <v>65.635270317441382</v>
      </c>
      <c r="J104" s="13">
        <f>AWM!C144</f>
        <v>2.130347731978167</v>
      </c>
      <c r="K104" s="7">
        <f>Haver!H114</f>
        <v>3.75</v>
      </c>
      <c r="L104" s="7">
        <f>UK_HAVER!D116</f>
        <v>4.5933333333333337</v>
      </c>
      <c r="M104" s="13">
        <f>M105/(OEM_aux!B110/OEM_aux!B109)</f>
        <v>5.1863404023840065</v>
      </c>
      <c r="N104" s="7">
        <f>Haver!J114</f>
        <v>0.81998511453688749</v>
      </c>
      <c r="O104" s="7">
        <f>1/UK_HAVER!F116</f>
        <v>0.56059048864804262</v>
      </c>
      <c r="P104" s="28">
        <f>1/ '[2]Exchange rate'!$C109</f>
        <v>1.1229157000234014E-2</v>
      </c>
      <c r="Q104" s="7">
        <f>Haver!Q114</f>
        <v>12.21</v>
      </c>
      <c r="R104" s="7">
        <f>Haver!R114</f>
        <v>61.47</v>
      </c>
      <c r="S104" s="7">
        <f>Mater_Q!B105</f>
        <v>3.1920000000000002</v>
      </c>
    </row>
    <row r="105" spans="1:19" x14ac:dyDescent="0.35">
      <c r="A105" s="4">
        <v>38687</v>
      </c>
      <c r="B105" s="7">
        <f>Haver!C115</f>
        <v>2673262.2999999998</v>
      </c>
      <c r="C105" s="7">
        <f>Haver!D115</f>
        <v>4034.2</v>
      </c>
      <c r="D105" s="7">
        <f>UK_HAVER!C117</f>
        <v>556311</v>
      </c>
      <c r="E105" s="30">
        <f>reconstruct_levels_ch!I105</f>
        <v>8170.7309260861566</v>
      </c>
      <c r="F105" s="18">
        <f>Haver!M115</f>
        <v>85.543333333333337</v>
      </c>
      <c r="G105" s="18">
        <f>Haver!N115</f>
        <v>198.43333333333331</v>
      </c>
      <c r="H105" s="7">
        <f>UK_HAVER!E117</f>
        <v>78.672166437002545</v>
      </c>
      <c r="I105" s="13">
        <f>reconstruct_levels_ch!D105</f>
        <v>65.832539197761548</v>
      </c>
      <c r="J105" s="13">
        <f>AWM!C145</f>
        <v>2.3434466089466088</v>
      </c>
      <c r="K105" s="7">
        <f>Haver!H115</f>
        <v>4.25</v>
      </c>
      <c r="L105" s="7">
        <f>UK_HAVER!D117</f>
        <v>4.5</v>
      </c>
      <c r="M105" s="13">
        <f>M106/(OEM_aux!B111/OEM_aux!B110)</f>
        <v>5.1863404023840065</v>
      </c>
      <c r="N105" s="7">
        <f>Haver!J115</f>
        <v>0.84136486207926497</v>
      </c>
      <c r="O105" s="7">
        <f>1/UK_HAVER!F117</f>
        <v>0.57188608029280574</v>
      </c>
      <c r="P105" s="28">
        <f>1/ '[2]Exchange rate'!$C110</f>
        <v>1.0958890898871244E-2</v>
      </c>
      <c r="Q105" s="7">
        <f>Haver!Q115</f>
        <v>12.783333333333333</v>
      </c>
      <c r="R105" s="7">
        <f>Haver!R115</f>
        <v>56.879999999999995</v>
      </c>
      <c r="S105" s="7">
        <f>Mater_Q!B106</f>
        <v>3.3693333333333335</v>
      </c>
    </row>
    <row r="106" spans="1:19" x14ac:dyDescent="0.35">
      <c r="A106" s="4">
        <v>38777</v>
      </c>
      <c r="B106" s="7">
        <f>Haver!C116</f>
        <v>2698455.5</v>
      </c>
      <c r="C106" s="7">
        <f>Haver!D116</f>
        <v>4088.5</v>
      </c>
      <c r="D106" s="7">
        <f>UK_HAVER!C118</f>
        <v>558314</v>
      </c>
      <c r="E106" s="30">
        <f>reconstruct_levels_ch!I106</f>
        <v>8420.7560689956426</v>
      </c>
      <c r="F106" s="18">
        <f>Haver!M116</f>
        <v>85.913333333333341</v>
      </c>
      <c r="G106" s="18">
        <f>Haver!N116</f>
        <v>199.4666666666667</v>
      </c>
      <c r="H106" s="7">
        <f>UK_HAVER!E118</f>
        <v>79.016754087860591</v>
      </c>
      <c r="I106" s="13">
        <f>reconstruct_levels_ch!D106</f>
        <v>65.950870207951596</v>
      </c>
      <c r="J106" s="13">
        <f>AWM!C146</f>
        <v>2.611546837944664</v>
      </c>
      <c r="K106" s="7">
        <f>Haver!H116</f>
        <v>4.75</v>
      </c>
      <c r="L106" s="7">
        <f>UK_HAVER!D118</f>
        <v>4.5</v>
      </c>
      <c r="M106" s="13">
        <f>M107/(OEM_aux!B112/OEM_aux!B111)</f>
        <v>5.1863404023840065</v>
      </c>
      <c r="N106" s="7">
        <f>Haver!J116</f>
        <v>0.83191238076962437</v>
      </c>
      <c r="O106" s="7">
        <f>1/UK_HAVER!F118</f>
        <v>0.57025547445255476</v>
      </c>
      <c r="P106" s="28">
        <f>1/ '[2]Exchange rate'!$C111</f>
        <v>1.11072161806371E-2</v>
      </c>
      <c r="Q106" s="7">
        <f>Haver!Q116</f>
        <v>12.066666666666665</v>
      </c>
      <c r="R106" s="7">
        <f>Haver!R116</f>
        <v>61.75333333333333</v>
      </c>
      <c r="S106" s="7">
        <f>Mater_Q!B107</f>
        <v>3.496</v>
      </c>
    </row>
    <row r="107" spans="1:19" x14ac:dyDescent="0.35">
      <c r="A107" s="4">
        <v>38869</v>
      </c>
      <c r="B107" s="7">
        <f>Haver!C117</f>
        <v>2728301.7</v>
      </c>
      <c r="C107" s="7">
        <f>Haver!D117</f>
        <v>4099.1000000000004</v>
      </c>
      <c r="D107" s="7">
        <f>UK_HAVER!C119</f>
        <v>559795</v>
      </c>
      <c r="E107" s="30">
        <f>reconstruct_levels_ch!I107</f>
        <v>8659.6426413785084</v>
      </c>
      <c r="F107" s="18">
        <f>Haver!M117</f>
        <v>86.58</v>
      </c>
      <c r="G107" s="18">
        <f>Haver!N117</f>
        <v>201.26666666666665</v>
      </c>
      <c r="H107" s="7">
        <f>UK_HAVER!E119</f>
        <v>79.629566307186167</v>
      </c>
      <c r="I107" s="13">
        <f>reconstruct_levels_ch!D107</f>
        <v>66.251887938376029</v>
      </c>
      <c r="J107" s="13">
        <f>AWM!C147</f>
        <v>2.889486531986531</v>
      </c>
      <c r="K107" s="7">
        <f>Haver!H117</f>
        <v>5.25</v>
      </c>
      <c r="L107" s="7">
        <f>UK_HAVER!D119</f>
        <v>4.5</v>
      </c>
      <c r="M107" s="13">
        <f>M108/(OEM_aux!B113/OEM_aux!B112)</f>
        <v>5.4236517000262285</v>
      </c>
      <c r="N107" s="7">
        <f>Haver!J117</f>
        <v>0.79595210596987942</v>
      </c>
      <c r="O107" s="7">
        <f>1/UK_HAVER!F119</f>
        <v>0.54742527644976458</v>
      </c>
      <c r="P107" s="28">
        <f>1/ '[2]Exchange rate'!$C112</f>
        <v>1.1262560006919716E-2</v>
      </c>
      <c r="Q107" s="7">
        <f>Haver!Q117</f>
        <v>14.406666666666666</v>
      </c>
      <c r="R107" s="7">
        <f>Haver!R117</f>
        <v>69.533333333333346</v>
      </c>
      <c r="S107" s="7">
        <f>Mater_Q!B108</f>
        <v>3.9656666666666669</v>
      </c>
    </row>
    <row r="108" spans="1:19" x14ac:dyDescent="0.35">
      <c r="A108" s="4">
        <v>38961</v>
      </c>
      <c r="B108" s="7">
        <f>Haver!C118</f>
        <v>2743302.3</v>
      </c>
      <c r="C108" s="7">
        <f>Haver!D118</f>
        <v>4105.2</v>
      </c>
      <c r="D108" s="7">
        <f>UK_HAVER!C120</f>
        <v>560675</v>
      </c>
      <c r="E108" s="30">
        <f>reconstruct_levels_ch!I108</f>
        <v>8893.6361449077249</v>
      </c>
      <c r="F108" s="18">
        <f>Haver!M118</f>
        <v>87.046666666666667</v>
      </c>
      <c r="G108" s="18">
        <f>Haver!N118</f>
        <v>203.16666666666666</v>
      </c>
      <c r="H108" s="7">
        <f>UK_HAVER!E120</f>
        <v>80.265130756803899</v>
      </c>
      <c r="I108" s="13">
        <f>reconstruct_levels_ch!D108</f>
        <v>66.432013204820777</v>
      </c>
      <c r="J108" s="13">
        <f>AWM!C148</f>
        <v>3.2213498964803313</v>
      </c>
      <c r="K108" s="7">
        <f>Haver!H118</f>
        <v>5.25</v>
      </c>
      <c r="L108" s="7">
        <f>UK_HAVER!D120</f>
        <v>4.66</v>
      </c>
      <c r="M108" s="13">
        <f>M109/(OEM_aux!B114/OEM_aux!B113)</f>
        <v>5.6997958260695913</v>
      </c>
      <c r="N108" s="7">
        <f>Haver!J118</f>
        <v>0.78488007032525442</v>
      </c>
      <c r="O108" s="7">
        <f>1/UK_HAVER!F120</f>
        <v>0.533589456272344</v>
      </c>
      <c r="P108" s="28">
        <f>1/ '[2]Exchange rate'!$C113</f>
        <v>1.1198213302671133E-2</v>
      </c>
      <c r="Q108" s="7">
        <f>Haver!Q118</f>
        <v>13.62</v>
      </c>
      <c r="R108" s="7">
        <f>Haver!R118</f>
        <v>69.62</v>
      </c>
      <c r="S108" s="7">
        <f>Mater_Q!B109</f>
        <v>3.8879999999999999</v>
      </c>
    </row>
    <row r="109" spans="1:19" x14ac:dyDescent="0.35">
      <c r="A109" s="4">
        <v>39052</v>
      </c>
      <c r="B109" s="7">
        <f>Haver!C119</f>
        <v>2775325.8</v>
      </c>
      <c r="C109" s="7">
        <f>Haver!D119</f>
        <v>4140.5</v>
      </c>
      <c r="D109" s="7">
        <f>UK_HAVER!C121</f>
        <v>562669</v>
      </c>
      <c r="E109" s="30">
        <f>reconstruct_levels_ch!I109</f>
        <v>9206.2702796066678</v>
      </c>
      <c r="F109" s="18">
        <f>Haver!M119</f>
        <v>87.053333333333327</v>
      </c>
      <c r="G109" s="18">
        <f>Haver!N119</f>
        <v>202.33333333333334</v>
      </c>
      <c r="H109" s="7">
        <f>UK_HAVER!E121</f>
        <v>80.81598188365291</v>
      </c>
      <c r="I109" s="13">
        <f>reconstruct_levels_ch!D109</f>
        <v>67.154265097494886</v>
      </c>
      <c r="J109" s="13">
        <f>AWM!C149</f>
        <v>3.5944641148325354</v>
      </c>
      <c r="K109" s="7">
        <f>Haver!H119</f>
        <v>5.25</v>
      </c>
      <c r="L109" s="7">
        <f>UK_HAVER!D121</f>
        <v>4.8933333333333335</v>
      </c>
      <c r="M109" s="13">
        <f>M110/(OEM_aux!B115/OEM_aux!B114)</f>
        <v>5.8853313136045697</v>
      </c>
      <c r="N109" s="7">
        <f>Haver!J119</f>
        <v>0.77508865076443112</v>
      </c>
      <c r="O109" s="7">
        <f>1/UK_HAVER!F121</f>
        <v>0.5215667866270276</v>
      </c>
      <c r="P109" s="28">
        <f>1/ '[2]Exchange rate'!$C114</f>
        <v>1.1122995413766532E-2</v>
      </c>
      <c r="Q109" s="7">
        <f>Haver!Q119</f>
        <v>11.030000000000001</v>
      </c>
      <c r="R109" s="7">
        <f>Haver!R119</f>
        <v>59.68</v>
      </c>
      <c r="S109" s="7">
        <f>Mater_Q!B110</f>
        <v>3.7769999999999997</v>
      </c>
    </row>
    <row r="110" spans="1:19" x14ac:dyDescent="0.35">
      <c r="A110" s="4">
        <v>39142</v>
      </c>
      <c r="B110" s="7">
        <f>Haver!C120</f>
        <v>2794887.8</v>
      </c>
      <c r="C110" s="7">
        <f>Haver!D120</f>
        <v>4152.8999999999996</v>
      </c>
      <c r="D110" s="7">
        <f>UK_HAVER!C122</f>
        <v>568845</v>
      </c>
      <c r="E110" s="30">
        <f>reconstruct_levels_ch!I110</f>
        <v>9582.592392173452</v>
      </c>
      <c r="F110" s="18">
        <f>Haver!M120</f>
        <v>87.533333333333317</v>
      </c>
      <c r="G110" s="18">
        <f>Haver!N120</f>
        <v>204.31700000000001</v>
      </c>
      <c r="H110" s="7">
        <f>UK_HAVER!E122</f>
        <v>81.310937917793865</v>
      </c>
      <c r="I110" s="13">
        <f>reconstruct_levels_ch!D110</f>
        <v>67.763067071458948</v>
      </c>
      <c r="J110" s="13">
        <f>AWM!C150</f>
        <v>3.8203242424242436</v>
      </c>
      <c r="K110" s="7">
        <f>Haver!H120</f>
        <v>5.25</v>
      </c>
      <c r="L110" s="7">
        <f>UK_HAVER!D122</f>
        <v>5.2233333333333336</v>
      </c>
      <c r="M110" s="13">
        <f>M111/(OEM_aux!B116/OEM_aux!B115)</f>
        <v>5.9371084181394265</v>
      </c>
      <c r="N110" s="7">
        <f>Haver!J120</f>
        <v>0.76307335424154332</v>
      </c>
      <c r="O110" s="7">
        <f>1/UK_HAVER!F122</f>
        <v>0.51150895140664965</v>
      </c>
      <c r="P110" s="28">
        <f>1/ '[2]Exchange rate'!$C115</f>
        <v>1.1034241679464547E-2</v>
      </c>
      <c r="Q110" s="7">
        <f>Haver!Q120</f>
        <v>12.453333333333333</v>
      </c>
      <c r="R110" s="7">
        <f>Haver!R120</f>
        <v>57.763333333333343</v>
      </c>
      <c r="S110" s="7">
        <f>Mater_Q!B111</f>
        <v>4.0106666666666664</v>
      </c>
    </row>
    <row r="111" spans="1:19" x14ac:dyDescent="0.35">
      <c r="A111" s="4">
        <v>39234</v>
      </c>
      <c r="B111" s="7">
        <f>Haver!C121</f>
        <v>2813785.3</v>
      </c>
      <c r="C111" s="7">
        <f>Haver!D121</f>
        <v>4178.3</v>
      </c>
      <c r="D111" s="7">
        <f>UK_HAVER!C123</f>
        <v>574194</v>
      </c>
      <c r="E111" s="30">
        <f>reconstruct_levels_ch!I111</f>
        <v>9904.4140124750957</v>
      </c>
      <c r="F111" s="18">
        <f>Haver!M121</f>
        <v>88.25</v>
      </c>
      <c r="G111" s="18">
        <f>Haver!N121</f>
        <v>206.631</v>
      </c>
      <c r="H111" s="7">
        <f>UK_HAVER!E123</f>
        <v>81.603840119422486</v>
      </c>
      <c r="I111" s="13">
        <f>reconstruct_levels_ch!D111</f>
        <v>68.634821785992258</v>
      </c>
      <c r="J111" s="13">
        <f>AWM!C151</f>
        <v>4.0647962330067591</v>
      </c>
      <c r="K111" s="7">
        <f>Haver!H121</f>
        <v>5.25</v>
      </c>
      <c r="L111" s="7">
        <f>UK_HAVER!D123</f>
        <v>5.3933333333333335</v>
      </c>
      <c r="M111" s="13">
        <f>M112/(OEM_aux!B117/OEM_aux!B116)</f>
        <v>6.342695305519932</v>
      </c>
      <c r="N111" s="7">
        <f>Haver!J121</f>
        <v>0.74172879675518388</v>
      </c>
      <c r="O111" s="7">
        <f>1/UK_HAVER!F123</f>
        <v>0.50345707189366984</v>
      </c>
      <c r="P111" s="28">
        <f>1/ '[2]Exchange rate'!$C116</f>
        <v>1.1069375874273143E-2</v>
      </c>
      <c r="Q111" s="7">
        <f>Haver!Q121</f>
        <v>13.726666666666667</v>
      </c>
      <c r="R111" s="7">
        <f>Haver!R121</f>
        <v>68.583333333333329</v>
      </c>
      <c r="S111" s="7">
        <f>Mater_Q!B112</f>
        <v>4.3436666666666666</v>
      </c>
    </row>
    <row r="112" spans="1:19" x14ac:dyDescent="0.35">
      <c r="A112" s="4">
        <v>39326</v>
      </c>
      <c r="B112" s="7">
        <f>Haver!C122</f>
        <v>2824819.3</v>
      </c>
      <c r="C112" s="7">
        <f>Haver!D122</f>
        <v>4202.3999999999996</v>
      </c>
      <c r="D112" s="7">
        <f>UK_HAVER!C124</f>
        <v>579605</v>
      </c>
      <c r="E112" s="30">
        <f>reconstruct_levels_ch!I112</f>
        <v>10164.920285958189</v>
      </c>
      <c r="F112" s="18">
        <f>Haver!M122</f>
        <v>88.696666666666673</v>
      </c>
      <c r="G112" s="18">
        <f>Haver!N122</f>
        <v>207.93899999999999</v>
      </c>
      <c r="H112" s="7">
        <f>UK_HAVER!E124</f>
        <v>81.687235349595127</v>
      </c>
      <c r="I112" s="13">
        <f>reconstruct_levels_ch!D112</f>
        <v>70.440171689415237</v>
      </c>
      <c r="J112" s="13">
        <f>AWM!C152</f>
        <v>4.5004968379446639</v>
      </c>
      <c r="K112" s="7">
        <f>Haver!H122</f>
        <v>4.75</v>
      </c>
      <c r="L112" s="7">
        <f>UK_HAVER!D124</f>
        <v>5.7399999999999993</v>
      </c>
      <c r="M112" s="13">
        <f>M113/(OEM_aux!B118/OEM_aux!B117)</f>
        <v>6.9036135065050059</v>
      </c>
      <c r="N112" s="7">
        <f>Haver!J122</f>
        <v>0.72754575535255417</v>
      </c>
      <c r="O112" s="7">
        <f>1/UK_HAVER!F124</f>
        <v>0.49464954080034296</v>
      </c>
      <c r="P112" s="28">
        <f>1/ '[2]Exchange rate'!$C117</f>
        <v>1.1030810487697502E-2</v>
      </c>
      <c r="Q112" s="7">
        <f>Haver!Q122</f>
        <v>21.5</v>
      </c>
      <c r="R112" s="7">
        <f>Haver!R122</f>
        <v>74.953333333333333</v>
      </c>
      <c r="S112" s="7">
        <f>Mater_Q!B113</f>
        <v>4.3536666666666664</v>
      </c>
    </row>
    <row r="113" spans="1:19" x14ac:dyDescent="0.35">
      <c r="A113" s="4">
        <v>39417</v>
      </c>
      <c r="B113" s="7">
        <f>Haver!C123</f>
        <v>2838947.2</v>
      </c>
      <c r="C113" s="7">
        <f>Haver!D123</f>
        <v>4228.8</v>
      </c>
      <c r="D113" s="7">
        <f>UK_HAVER!C125</f>
        <v>584504</v>
      </c>
      <c r="E113" s="30">
        <f>reconstruct_levels_ch!I113</f>
        <v>10491.749316072946</v>
      </c>
      <c r="F113" s="18">
        <f>Haver!M123</f>
        <v>89.553333333333327</v>
      </c>
      <c r="G113" s="18">
        <f>Haver!N123</f>
        <v>210.48966666666669</v>
      </c>
      <c r="H113" s="7">
        <f>UK_HAVER!E125</f>
        <v>82.543943237120942</v>
      </c>
      <c r="I113" s="13">
        <f>reconstruct_levels_ch!D113</f>
        <v>71.611163278107696</v>
      </c>
      <c r="J113" s="13">
        <f>AWM!C153</f>
        <v>4.724768393315304</v>
      </c>
      <c r="K113" s="7">
        <f>Haver!H123</f>
        <v>4.25</v>
      </c>
      <c r="L113" s="7">
        <f>UK_HAVER!D125</f>
        <v>5.68</v>
      </c>
      <c r="M113" s="13">
        <f>M114/(OEM_aux!B119/OEM_aux!B118)</f>
        <v>7.4257001735165522</v>
      </c>
      <c r="N113" s="7">
        <f>Haver!J123</f>
        <v>0.68994875750578011</v>
      </c>
      <c r="O113" s="7">
        <f>1/UK_HAVER!F125</f>
        <v>0.48930860693839606</v>
      </c>
      <c r="P113" s="28">
        <f>1/ '[2]Exchange rate'!$C118</f>
        <v>1.1178841225911972E-2</v>
      </c>
      <c r="Q113" s="7">
        <f>Haver!Q123</f>
        <v>22.116666666666664</v>
      </c>
      <c r="R113" s="7">
        <f>Haver!R123</f>
        <v>88.56</v>
      </c>
      <c r="S113" s="7">
        <f>Mater_Q!B114</f>
        <v>4.2120000000000006</v>
      </c>
    </row>
    <row r="114" spans="1:19" x14ac:dyDescent="0.35">
      <c r="A114" s="4">
        <v>39508</v>
      </c>
      <c r="B114" s="7">
        <f>Haver!C124</f>
        <v>2857366.3</v>
      </c>
      <c r="C114" s="7">
        <f>Haver!D124</f>
        <v>4210.8</v>
      </c>
      <c r="D114" s="7">
        <f>UK_HAVER!C126</f>
        <v>586690</v>
      </c>
      <c r="E114" s="30">
        <f>reconstruct_levels_ch!I114</f>
        <v>10728.181478453695</v>
      </c>
      <c r="F114" s="18">
        <f>Haver!M124</f>
        <v>90.443333333333328</v>
      </c>
      <c r="G114" s="18">
        <f>Haver!N124</f>
        <v>212.76966666666667</v>
      </c>
      <c r="H114" s="7">
        <f>UK_HAVER!E126</f>
        <v>83.240988838886494</v>
      </c>
      <c r="I114" s="13">
        <f>reconstruct_levels_ch!D114</f>
        <v>73.228366298253206</v>
      </c>
      <c r="J114" s="13">
        <f>AWM!C154</f>
        <v>4.4800030378977738</v>
      </c>
      <c r="K114" s="7">
        <f>Haver!H124</f>
        <v>2.25</v>
      </c>
      <c r="L114" s="7">
        <f>UK_HAVER!D126</f>
        <v>5.3500000000000005</v>
      </c>
      <c r="M114" s="13">
        <f>M115/(OEM_aux!B120/OEM_aux!B119)</f>
        <v>7.6328085916559782</v>
      </c>
      <c r="N114" s="7">
        <f>Haver!J124</f>
        <v>0.66677305401172893</v>
      </c>
      <c r="O114" s="7">
        <f>1/UK_HAVER!F126</f>
        <v>0.50536529488064952</v>
      </c>
      <c r="P114" s="28">
        <f>1/ '[2]Exchange rate'!$C119</f>
        <v>1.0991301044701182E-2</v>
      </c>
      <c r="Q114" s="7">
        <f>Haver!Q124</f>
        <v>26.126666666666665</v>
      </c>
      <c r="R114" s="7">
        <f>Haver!R124</f>
        <v>96.936666666666667</v>
      </c>
      <c r="S114" s="7">
        <f>Mater_Q!B115</f>
        <v>3.9373333333333331</v>
      </c>
    </row>
    <row r="115" spans="1:19" x14ac:dyDescent="0.35">
      <c r="A115" s="4">
        <v>39600</v>
      </c>
      <c r="B115" s="7">
        <f>Haver!C125</f>
        <v>2843605.6</v>
      </c>
      <c r="C115" s="7">
        <f>Haver!D125</f>
        <v>4235.8</v>
      </c>
      <c r="D115" s="7">
        <f>UK_HAVER!C127</f>
        <v>583541</v>
      </c>
      <c r="E115" s="30">
        <f>reconstruct_levels_ch!I115</f>
        <v>10966.429993201082</v>
      </c>
      <c r="F115" s="18">
        <f>Haver!M125</f>
        <v>91.453333333333333</v>
      </c>
      <c r="G115" s="18">
        <f>Haver!N125</f>
        <v>215.53766666666664</v>
      </c>
      <c r="H115" s="7">
        <f>UK_HAVER!E127</f>
        <v>84.378655562088483</v>
      </c>
      <c r="I115" s="13">
        <f>reconstruct_levels_ch!D115</f>
        <v>73.985607250256919</v>
      </c>
      <c r="J115" s="13">
        <f>AWM!C155</f>
        <v>4.8604682539682544</v>
      </c>
      <c r="K115" s="7">
        <f>Haver!H125</f>
        <v>2</v>
      </c>
      <c r="L115" s="7">
        <f>UK_HAVER!D127</f>
        <v>5.0266666666666664</v>
      </c>
      <c r="M115" s="13">
        <f>M116/(OEM_aux!B121/OEM_aux!B120)</f>
        <v>7.6328085916559782</v>
      </c>
      <c r="N115" s="7">
        <f>Haver!J125</f>
        <v>0.6402013134370147</v>
      </c>
      <c r="O115" s="7">
        <f>1/UK_HAVER!F127</f>
        <v>0.50735667174023336</v>
      </c>
      <c r="P115" s="28">
        <f>1/ '[2]Exchange rate'!$C120</f>
        <v>1.0788346557508738E-2</v>
      </c>
      <c r="Q115" s="7">
        <f>Haver!Q125</f>
        <v>20.656666666666666</v>
      </c>
      <c r="R115" s="7">
        <f>Haver!R125</f>
        <v>121.39666666666666</v>
      </c>
      <c r="S115" s="7">
        <f>Mater_Q!B116</f>
        <v>4.2683333333333335</v>
      </c>
    </row>
    <row r="116" spans="1:19" x14ac:dyDescent="0.35">
      <c r="A116" s="4">
        <v>39692</v>
      </c>
      <c r="B116" s="7">
        <f>Haver!C126</f>
        <v>2828355.3</v>
      </c>
      <c r="C116" s="7">
        <f>Haver!D126</f>
        <v>4213.6000000000004</v>
      </c>
      <c r="D116" s="7">
        <f>UK_HAVER!C128</f>
        <v>573961</v>
      </c>
      <c r="E116" s="30">
        <f>reconstruct_levels_ch!I116</f>
        <v>11114.588737594373</v>
      </c>
      <c r="F116" s="18">
        <f>Haver!M126</f>
        <v>92.09333333333332</v>
      </c>
      <c r="G116" s="18">
        <f>Haver!N126</f>
        <v>218.86100000000002</v>
      </c>
      <c r="H116" s="7">
        <f>UK_HAVER!E128</f>
        <v>85.59621934255243</v>
      </c>
      <c r="I116" s="13">
        <f>reconstruct_levels_ch!D116</f>
        <v>74.113071378303687</v>
      </c>
      <c r="J116" s="13">
        <f>AWM!C156</f>
        <v>4.9817907647907642</v>
      </c>
      <c r="K116" s="7">
        <f>Haver!H126</f>
        <v>2</v>
      </c>
      <c r="L116" s="7">
        <f>UK_HAVER!D128</f>
        <v>5</v>
      </c>
      <c r="M116" s="13">
        <f>M117/(OEM_aux!B122/OEM_aux!B121)</f>
        <v>7.5767158654581417</v>
      </c>
      <c r="N116" s="7">
        <f>Haver!J126</f>
        <v>0.66497349637301295</v>
      </c>
      <c r="O116" s="7">
        <f>1/UK_HAVER!F128</f>
        <v>0.52885801925043185</v>
      </c>
      <c r="P116" s="28">
        <f>1/ '[2]Exchange rate'!$C121</f>
        <v>1.0336278414687769E-2</v>
      </c>
      <c r="Q116" s="7">
        <f>Haver!Q126</f>
        <v>25.086666666666662</v>
      </c>
      <c r="R116" s="7">
        <f>Haver!R126</f>
        <v>114.39666666666666</v>
      </c>
      <c r="S116" s="7">
        <f>Mater_Q!B117</f>
        <v>4.2720000000000002</v>
      </c>
    </row>
    <row r="117" spans="1:19" x14ac:dyDescent="0.35">
      <c r="A117" s="4">
        <v>39783</v>
      </c>
      <c r="B117" s="7">
        <f>Haver!C127</f>
        <v>2779760.6</v>
      </c>
      <c r="C117" s="7">
        <f>Haver!D127</f>
        <v>4121.3999999999996</v>
      </c>
      <c r="D117" s="7">
        <f>UK_HAVER!C129</f>
        <v>561816</v>
      </c>
      <c r="E117" s="30">
        <f>reconstruct_levels_ch!I117</f>
        <v>11239.646908463677</v>
      </c>
      <c r="F117" s="18">
        <f>Haver!M127</f>
        <v>91.589999999999989</v>
      </c>
      <c r="G117" s="18">
        <f>Haver!N127</f>
        <v>213.84866666666667</v>
      </c>
      <c r="H117" s="7">
        <f>UK_HAVER!E129</f>
        <v>85.702305623498347</v>
      </c>
      <c r="I117" s="13">
        <f>reconstruct_levels_ch!D117</f>
        <v>73.399664748011006</v>
      </c>
      <c r="J117" s="13">
        <f>AWM!C157</f>
        <v>4.2146686680469294</v>
      </c>
      <c r="K117" s="7">
        <f>Haver!H127</f>
        <v>0.25</v>
      </c>
      <c r="L117" s="7">
        <f>UK_HAVER!D129</f>
        <v>3.3266666666666667</v>
      </c>
      <c r="M117" s="13">
        <f>M118/(OEM_aux!B123/OEM_aux!B122)</f>
        <v>6.1744197157816458</v>
      </c>
      <c r="N117" s="7">
        <f>Haver!J127</f>
        <v>0.75942311182733147</v>
      </c>
      <c r="O117" s="7">
        <f>1/UK_HAVER!F129</f>
        <v>0.63771443147758433</v>
      </c>
      <c r="P117" s="28">
        <f>1/ '[2]Exchange rate'!$C122</f>
        <v>9.4986516663959561E-3</v>
      </c>
      <c r="Q117" s="7">
        <f>Haver!Q127</f>
        <v>58.75333333333333</v>
      </c>
      <c r="R117" s="7">
        <f>Haver!R127</f>
        <v>54.660000000000004</v>
      </c>
      <c r="S117" s="7">
        <f>Mater_Q!B118</f>
        <v>3.5073333333333334</v>
      </c>
    </row>
    <row r="118" spans="1:19" x14ac:dyDescent="0.35">
      <c r="A118" s="4">
        <v>39873</v>
      </c>
      <c r="B118" s="7">
        <f>Haver!C128</f>
        <v>2694338.3</v>
      </c>
      <c r="C118" s="7">
        <f>Haver!D128</f>
        <v>4074.6</v>
      </c>
      <c r="D118" s="7">
        <f>UK_HAVER!C130</f>
        <v>550451</v>
      </c>
      <c r="E118" s="30">
        <f>reconstruct_levels_ch!I118</f>
        <v>11448.07190777803</v>
      </c>
      <c r="F118" s="18">
        <f>Haver!M128</f>
        <v>91.346666666666678</v>
      </c>
      <c r="G118" s="18">
        <f>Haver!N128</f>
        <v>212.37766666666667</v>
      </c>
      <c r="H118" s="7">
        <f>UK_HAVER!E130</f>
        <v>85.716362615880627</v>
      </c>
      <c r="I118" s="13">
        <f>reconstruct_levels_ch!D118</f>
        <v>72.800469640184843</v>
      </c>
      <c r="J118" s="13">
        <f>AWM!C158</f>
        <v>2.0116761183261183</v>
      </c>
      <c r="K118" s="7">
        <f>Haver!H128</f>
        <v>0.25</v>
      </c>
      <c r="L118" s="7">
        <f>UK_HAVER!D130</f>
        <v>1.0833333333333333</v>
      </c>
      <c r="M118" s="13">
        <f>M119/(OEM_aux!B124/OEM_aux!B123)</f>
        <v>4.8368449467737236</v>
      </c>
      <c r="N118" s="7">
        <f>Haver!J128</f>
        <v>0.76778988354930833</v>
      </c>
      <c r="O118" s="7">
        <f>1/UK_HAVER!F130</f>
        <v>0.69679936823523958</v>
      </c>
      <c r="P118" s="28">
        <f>1/ '[2]Exchange rate'!$C123</f>
        <v>9.3064550502874304E-3</v>
      </c>
      <c r="Q118" s="7">
        <f>Haver!Q128</f>
        <v>45.016666666666673</v>
      </c>
      <c r="R118" s="7">
        <f>Haver!R128</f>
        <v>44.43333333333333</v>
      </c>
      <c r="S118" s="7">
        <f>Mater_Q!B119</f>
        <v>3.1016666666666666</v>
      </c>
    </row>
    <row r="119" spans="1:19" x14ac:dyDescent="0.35">
      <c r="A119" s="4">
        <v>39965</v>
      </c>
      <c r="B119" s="7">
        <f>Haver!C129</f>
        <v>2694459.2</v>
      </c>
      <c r="C119" s="7">
        <f>Haver!D129</f>
        <v>4067.3</v>
      </c>
      <c r="D119" s="7">
        <f>UK_HAVER!C131</f>
        <v>548859</v>
      </c>
      <c r="E119" s="30">
        <f>reconstruct_levels_ch!I119</f>
        <v>11858.969761350801</v>
      </c>
      <c r="F119" s="18">
        <f>Haver!M129</f>
        <v>91.58</v>
      </c>
      <c r="G119" s="18">
        <f>Haver!N129</f>
        <v>213.50699999999998</v>
      </c>
      <c r="H119" s="7">
        <f>UK_HAVER!E131</f>
        <v>86.133202914206819</v>
      </c>
      <c r="I119" s="13">
        <f>reconstruct_levels_ch!D119</f>
        <v>72.874040426266475</v>
      </c>
      <c r="J119" s="13">
        <f>AWM!C159</f>
        <v>1.3106363636363636</v>
      </c>
      <c r="K119" s="7">
        <f>Haver!H129</f>
        <v>0.25</v>
      </c>
      <c r="L119" s="7">
        <f>UK_HAVER!D131</f>
        <v>0.5</v>
      </c>
      <c r="M119" s="13">
        <f>M120/(OEM_aux!B125/OEM_aux!B124)</f>
        <v>4.8368449467737236</v>
      </c>
      <c r="N119" s="7">
        <f>Haver!J129</f>
        <v>0.7342647073220876</v>
      </c>
      <c r="O119" s="7">
        <f>1/UK_HAVER!F131</f>
        <v>0.64517516505731309</v>
      </c>
      <c r="P119" s="28">
        <f>1/ '[2]Exchange rate'!$C124</f>
        <v>9.5863214696214269E-3</v>
      </c>
      <c r="Q119" s="7">
        <f>Haver!Q129</f>
        <v>33.06</v>
      </c>
      <c r="R119" s="7">
        <f>Haver!R129</f>
        <v>58.696666666666658</v>
      </c>
      <c r="S119" s="7">
        <f>Mater_Q!B120</f>
        <v>3.3840000000000003</v>
      </c>
    </row>
    <row r="120" spans="1:19" x14ac:dyDescent="0.35">
      <c r="A120" s="4">
        <v>40057</v>
      </c>
      <c r="B120" s="7">
        <f>Haver!C130</f>
        <v>2704573.8</v>
      </c>
      <c r="C120" s="7">
        <f>Haver!D130</f>
        <v>4081.6</v>
      </c>
      <c r="D120" s="7">
        <f>UK_HAVER!C132</f>
        <v>549540</v>
      </c>
      <c r="E120" s="30">
        <f>reconstruct_levels_ch!I120</f>
        <v>12269.49558634716</v>
      </c>
      <c r="F120" s="18">
        <f>Haver!M130</f>
        <v>91.75</v>
      </c>
      <c r="G120" s="18">
        <f>Haver!N130</f>
        <v>215.34399999999997</v>
      </c>
      <c r="H120" s="7">
        <f>UK_HAVER!E132</f>
        <v>86.923132000150872</v>
      </c>
      <c r="I120" s="13">
        <f>reconstruct_levels_ch!D120</f>
        <v>73.166691940240554</v>
      </c>
      <c r="J120" s="13">
        <f>AWM!C160</f>
        <v>0.8691745404354102</v>
      </c>
      <c r="K120" s="7">
        <f>Haver!H130</f>
        <v>0.25</v>
      </c>
      <c r="L120" s="7">
        <f>UK_HAVER!D132</f>
        <v>0.5</v>
      </c>
      <c r="M120" s="13">
        <f>M121/(OEM_aux!B126/OEM_aux!B125)</f>
        <v>4.8368449467737236</v>
      </c>
      <c r="N120" s="7">
        <f>Haver!J130</f>
        <v>0.69901815909373699</v>
      </c>
      <c r="O120" s="7">
        <f>1/UK_HAVER!F132</f>
        <v>0.60934738894643836</v>
      </c>
      <c r="P120" s="28">
        <f>1/ '[2]Exchange rate'!$C125</f>
        <v>9.912325481119498E-3</v>
      </c>
      <c r="Q120" s="7">
        <f>Haver!Q130</f>
        <v>25.47666666666667</v>
      </c>
      <c r="R120" s="7">
        <f>Haver!R130</f>
        <v>68.2</v>
      </c>
      <c r="S120" s="7">
        <f>Mater_Q!B121</f>
        <v>3.3296666666666668</v>
      </c>
    </row>
    <row r="121" spans="1:19" x14ac:dyDescent="0.35">
      <c r="A121" s="4">
        <v>40148</v>
      </c>
      <c r="B121" s="7">
        <f>Haver!C131</f>
        <v>2716186</v>
      </c>
      <c r="C121" s="7">
        <f>Haver!D131</f>
        <v>4125.7</v>
      </c>
      <c r="D121" s="7">
        <f>UK_HAVER!C133</f>
        <v>551372</v>
      </c>
      <c r="E121" s="30">
        <f>reconstruct_levels_ch!I121</f>
        <v>12577.847590397543</v>
      </c>
      <c r="F121" s="18">
        <f>Haver!M131</f>
        <v>91.95</v>
      </c>
      <c r="G121" s="18">
        <f>Haver!N131</f>
        <v>217.03</v>
      </c>
      <c r="H121" s="7">
        <f>UK_HAVER!E133</f>
        <v>87.550731791052911</v>
      </c>
      <c r="I121" s="13">
        <f>reconstruct_levels_ch!D121</f>
        <v>73.853349777594374</v>
      </c>
      <c r="J121" s="13">
        <f>AWM!C161</f>
        <v>0.72191197691197695</v>
      </c>
      <c r="K121" s="7">
        <f>Haver!H131</f>
        <v>0.25</v>
      </c>
      <c r="L121" s="7">
        <f>UK_HAVER!D133</f>
        <v>0.5</v>
      </c>
      <c r="M121" s="13">
        <f>M122/(OEM_aux!B127/OEM_aux!B126)</f>
        <v>4.8368449467737236</v>
      </c>
      <c r="N121" s="7">
        <f>Haver!J131</f>
        <v>0.67652239525911151</v>
      </c>
      <c r="O121" s="7">
        <f>1/UK_HAVER!F133</f>
        <v>0.61178293941309625</v>
      </c>
      <c r="P121" s="28">
        <f>1/ '[2]Exchange rate'!$C126</f>
        <v>1.0211639287729991E-2</v>
      </c>
      <c r="Q121" s="7">
        <f>Haver!Q131</f>
        <v>23.093333333333334</v>
      </c>
      <c r="R121" s="7">
        <f>Haver!R131</f>
        <v>74.63</v>
      </c>
      <c r="S121" s="7">
        <f>Mater_Q!B122</f>
        <v>3.2493333333333339</v>
      </c>
    </row>
    <row r="122" spans="1:19" x14ac:dyDescent="0.35">
      <c r="A122" s="4">
        <v>40238</v>
      </c>
      <c r="B122" s="7">
        <f>Haver!C132</f>
        <v>2726652.2</v>
      </c>
      <c r="C122" s="7">
        <f>Haver!D132</f>
        <v>4145.7</v>
      </c>
      <c r="D122" s="7">
        <f>UK_HAVER!C134</f>
        <v>556002</v>
      </c>
      <c r="E122" s="30">
        <f>reconstruct_levels_ch!I122</f>
        <v>12860.94955096279</v>
      </c>
      <c r="F122" s="18">
        <f>Haver!M132</f>
        <v>92.433333333333337</v>
      </c>
      <c r="G122" s="18">
        <f>Haver!N132</f>
        <v>217.37400000000002</v>
      </c>
      <c r="H122" s="7">
        <f>UK_HAVER!E134</f>
        <v>88.472688806684516</v>
      </c>
      <c r="I122" s="13">
        <f>reconstruct_levels_ch!D122</f>
        <v>74.441118122573315</v>
      </c>
      <c r="J122" s="13">
        <f>AWM!C162</f>
        <v>0.66213550724637671</v>
      </c>
      <c r="K122" s="7">
        <f>Haver!H132</f>
        <v>0.25</v>
      </c>
      <c r="L122" s="7">
        <f>UK_HAVER!D134</f>
        <v>0.5</v>
      </c>
      <c r="M122" s="13">
        <f>M123/(OEM_aux!B128/OEM_aux!B127)</f>
        <v>4.8368449467737236</v>
      </c>
      <c r="N122" s="7">
        <f>Haver!J132</f>
        <v>0.72243338682551195</v>
      </c>
      <c r="O122" s="7">
        <f>1/UK_HAVER!F134</f>
        <v>0.64056027672203952</v>
      </c>
      <c r="P122" s="28">
        <f>1/ '[2]Exchange rate'!$C127</f>
        <v>1.006255487865867E-2</v>
      </c>
      <c r="Q122" s="7">
        <f>Haver!Q132</f>
        <v>20.316666666666666</v>
      </c>
      <c r="R122" s="7">
        <f>Haver!R132</f>
        <v>76.25</v>
      </c>
      <c r="S122" s="7">
        <f>Mater_Q!B123</f>
        <v>3.1996666666666669</v>
      </c>
    </row>
    <row r="123" spans="1:19" x14ac:dyDescent="0.35">
      <c r="A123" s="4">
        <v>40330</v>
      </c>
      <c r="B123" s="7">
        <f>Haver!C133</f>
        <v>2752213.8</v>
      </c>
      <c r="C123" s="7">
        <f>Haver!D133</f>
        <v>4185.8</v>
      </c>
      <c r="D123" s="7">
        <f>UK_HAVER!C135</f>
        <v>562353</v>
      </c>
      <c r="E123" s="30">
        <f>reconstruct_levels_ch!I123</f>
        <v>13136.961174902948</v>
      </c>
      <c r="F123" s="18">
        <f>Haver!M133</f>
        <v>93.023333333333326</v>
      </c>
      <c r="G123" s="18">
        <f>Haver!N133</f>
        <v>217.29733333333334</v>
      </c>
      <c r="H123" s="7">
        <f>UK_HAVER!E135</f>
        <v>89.141629068113701</v>
      </c>
      <c r="I123" s="13">
        <f>reconstruct_levels_ch!D123</f>
        <v>75.017714725249689</v>
      </c>
      <c r="J123" s="13">
        <f>AWM!C163</f>
        <v>0.68627157287157292</v>
      </c>
      <c r="K123" s="7">
        <f>Haver!H133</f>
        <v>0.25</v>
      </c>
      <c r="L123" s="7">
        <f>UK_HAVER!D135</f>
        <v>0.5</v>
      </c>
      <c r="M123" s="13">
        <f>M124/(OEM_aux!B129/OEM_aux!B128)</f>
        <v>4.8368449467737236</v>
      </c>
      <c r="N123" s="7">
        <f>Haver!J133</f>
        <v>0.78576137527098944</v>
      </c>
      <c r="O123" s="7">
        <f>1/UK_HAVER!F135</f>
        <v>0.67010654694096361</v>
      </c>
      <c r="P123" s="28">
        <f>1/ '[2]Exchange rate'!$C128</f>
        <v>9.8205876836081635E-3</v>
      </c>
      <c r="Q123" s="7">
        <f>Haver!Q133</f>
        <v>26.423333333333336</v>
      </c>
      <c r="R123" s="7">
        <f>Haver!R133</f>
        <v>78.509999999999991</v>
      </c>
      <c r="S123" s="7">
        <f>Mater_Q!B124</f>
        <v>2.8396666666666666</v>
      </c>
    </row>
    <row r="124" spans="1:19" x14ac:dyDescent="0.35">
      <c r="A124" s="4">
        <v>40422</v>
      </c>
      <c r="B124" s="7">
        <f>Haver!C134</f>
        <v>2764600.2</v>
      </c>
      <c r="C124" s="7">
        <f>Haver!D134</f>
        <v>4218.1000000000004</v>
      </c>
      <c r="D124" s="7">
        <f>UK_HAVER!C136</f>
        <v>565659</v>
      </c>
      <c r="E124" s="30">
        <f>reconstruct_levels_ch!I124</f>
        <v>13471.569888849419</v>
      </c>
      <c r="F124" s="18">
        <f>Haver!M134</f>
        <v>93.313333333333333</v>
      </c>
      <c r="G124" s="18">
        <f>Haver!N134</f>
        <v>217.93433333333334</v>
      </c>
      <c r="H124" s="7">
        <f>UK_HAVER!E136</f>
        <v>89.651923695938919</v>
      </c>
      <c r="I124" s="13">
        <f>reconstruct_levels_ch!D124</f>
        <v>75.68353338288388</v>
      </c>
      <c r="J124" s="13">
        <f>AWM!C164</f>
        <v>0.87493939393939391</v>
      </c>
      <c r="K124" s="7">
        <f>Haver!H134</f>
        <v>0.25</v>
      </c>
      <c r="L124" s="7">
        <f>UK_HAVER!D136</f>
        <v>0.5</v>
      </c>
      <c r="M124" s="13">
        <f>M125/(OEM_aux!B130/OEM_aux!B129)</f>
        <v>4.8368449467737236</v>
      </c>
      <c r="N124" s="7">
        <f>Haver!J134</f>
        <v>0.77456973941924834</v>
      </c>
      <c r="O124" s="7">
        <f>1/UK_HAVER!F136</f>
        <v>0.64438525646533218</v>
      </c>
      <c r="P124" s="28">
        <f>1/ '[2]Exchange rate'!$C129</f>
        <v>9.8689891687843874E-3</v>
      </c>
      <c r="Q124" s="7">
        <f>Haver!Q134</f>
        <v>24.28</v>
      </c>
      <c r="R124" s="7">
        <f>Haver!R134</f>
        <v>76.820000000000007</v>
      </c>
      <c r="S124" s="7">
        <f>Mater_Q!B125</f>
        <v>2.4533333333333336</v>
      </c>
    </row>
    <row r="125" spans="1:19" x14ac:dyDescent="0.35">
      <c r="A125" s="4">
        <v>40513</v>
      </c>
      <c r="B125" s="7">
        <f>Haver!C135</f>
        <v>2780769.3</v>
      </c>
      <c r="C125" s="7">
        <f>Haver!D135</f>
        <v>4240.2</v>
      </c>
      <c r="D125" s="7">
        <f>UK_HAVER!C137</f>
        <v>565945</v>
      </c>
      <c r="E125" s="30">
        <f>reconstruct_levels_ch!I125</f>
        <v>13816.607234090323</v>
      </c>
      <c r="F125" s="18">
        <f>Haver!M135</f>
        <v>93.796666666666667</v>
      </c>
      <c r="G125" s="18">
        <f>Haver!N135</f>
        <v>219.69899999999998</v>
      </c>
      <c r="H125" s="7">
        <f>UK_HAVER!E137</f>
        <v>90.482636728652139</v>
      </c>
      <c r="I125" s="13">
        <f>reconstruct_levels_ch!D125</f>
        <v>77.300254460355546</v>
      </c>
      <c r="J125" s="13">
        <f>AWM!C165</f>
        <v>1.0204692577953447</v>
      </c>
      <c r="K125" s="7">
        <f>Haver!H135</f>
        <v>0.25</v>
      </c>
      <c r="L125" s="7">
        <f>UK_HAVER!D137</f>
        <v>0.5</v>
      </c>
      <c r="M125" s="13">
        <f>M126/(OEM_aux!B131/OEM_aux!B130)</f>
        <v>5.117303400052454</v>
      </c>
      <c r="N125" s="7">
        <f>Haver!J135</f>
        <v>0.73567475720893827</v>
      </c>
      <c r="O125" s="7">
        <f>1/UK_HAVER!F137</f>
        <v>0.63260443244839004</v>
      </c>
      <c r="P125" s="28">
        <f>1/ '[2]Exchange rate'!$C130</f>
        <v>1.0021833566608213E-2</v>
      </c>
      <c r="Q125" s="7">
        <f>Haver!Q135</f>
        <v>19.346666666666668</v>
      </c>
      <c r="R125" s="7">
        <f>Haver!R135</f>
        <v>86.46</v>
      </c>
      <c r="S125" s="7">
        <f>Mater_Q!B126</f>
        <v>2.6313333333333335</v>
      </c>
    </row>
    <row r="126" spans="1:19" x14ac:dyDescent="0.35">
      <c r="A126" s="4">
        <v>40603</v>
      </c>
      <c r="B126" s="7">
        <f>Haver!C136</f>
        <v>2807223.1</v>
      </c>
      <c r="C126" s="7">
        <f>Haver!D136</f>
        <v>4230.2</v>
      </c>
      <c r="D126" s="7">
        <f>UK_HAVER!C138</f>
        <v>566873</v>
      </c>
      <c r="E126" s="30">
        <f>reconstruct_levels_ch!I126</f>
        <v>14157.468607142633</v>
      </c>
      <c r="F126" s="18">
        <f>Haver!M136</f>
        <v>94.793333333333337</v>
      </c>
      <c r="G126" s="18">
        <f>Haver!N136</f>
        <v>222.0436666666667</v>
      </c>
      <c r="H126" s="7">
        <f>UK_HAVER!E138</f>
        <v>92.032822891039544</v>
      </c>
      <c r="I126" s="13">
        <f>reconstruct_levels_ch!D126</f>
        <v>78.245555195570589</v>
      </c>
      <c r="J126" s="13">
        <f>AWM!C166</f>
        <v>1.09316994478951</v>
      </c>
      <c r="K126" s="7">
        <f>Haver!H136</f>
        <v>0.25</v>
      </c>
      <c r="L126" s="7">
        <f>UK_HAVER!D138</f>
        <v>0.5</v>
      </c>
      <c r="M126" s="13">
        <f>M127/(OEM_aux!B132/OEM_aux!B131)</f>
        <v>5.6695929465667954</v>
      </c>
      <c r="N126" s="7">
        <f>Haver!J136</f>
        <v>0.73156831909254305</v>
      </c>
      <c r="O126" s="7">
        <f>1/UK_HAVER!F138</f>
        <v>0.62415479038801625</v>
      </c>
      <c r="P126" s="28">
        <f>1/ '[2]Exchange rate'!$C131</f>
        <v>1.00503896385307E-2</v>
      </c>
      <c r="Q126" s="7">
        <f>Haver!Q136</f>
        <v>18.489999999999998</v>
      </c>
      <c r="R126" s="7">
        <f>Haver!R136</f>
        <v>104.96</v>
      </c>
      <c r="S126" s="7">
        <f>Mater_Q!B127</f>
        <v>3.1743333333333332</v>
      </c>
    </row>
    <row r="127" spans="1:19" x14ac:dyDescent="0.35">
      <c r="A127" s="4">
        <v>40695</v>
      </c>
      <c r="B127" s="7">
        <f>Haver!C137</f>
        <v>2807044.7</v>
      </c>
      <c r="C127" s="7">
        <f>Haver!D137</f>
        <v>4258.8</v>
      </c>
      <c r="D127" s="7">
        <f>UK_HAVER!C139</f>
        <v>566601</v>
      </c>
      <c r="E127" s="30">
        <f>reconstruct_levels_ch!I127</f>
        <v>14452.042852315662</v>
      </c>
      <c r="F127" s="18">
        <f>Haver!M137</f>
        <v>95.473333333333343</v>
      </c>
      <c r="G127" s="18">
        <f>Haver!N137</f>
        <v>224.56833333333336</v>
      </c>
      <c r="H127" s="7">
        <f>UK_HAVER!E139</f>
        <v>93.095432223093738</v>
      </c>
      <c r="I127" s="13">
        <f>reconstruct_levels_ch!D127</f>
        <v>79.360642034633258</v>
      </c>
      <c r="J127" s="13">
        <f>AWM!C167</f>
        <v>1.4116307814992026</v>
      </c>
      <c r="K127" s="7">
        <f>Haver!H137</f>
        <v>0.25</v>
      </c>
      <c r="L127" s="7">
        <f>UK_HAVER!D139</f>
        <v>0.5</v>
      </c>
      <c r="M127" s="13">
        <f>M128/(OEM_aux!B133/OEM_aux!B132)</f>
        <v>6.1140126623484443</v>
      </c>
      <c r="N127" s="7">
        <f>Haver!J137</f>
        <v>0.69478476031315328</v>
      </c>
      <c r="O127" s="7">
        <f>1/UK_HAVER!F139</f>
        <v>0.61312078479460452</v>
      </c>
      <c r="P127" s="28">
        <f>1/ '[2]Exchange rate'!$C132</f>
        <v>1.0174122993141521E-2</v>
      </c>
      <c r="Q127" s="7">
        <f>Haver!Q137</f>
        <v>17.433333333333334</v>
      </c>
      <c r="R127" s="7">
        <f>Haver!R137</f>
        <v>117.36</v>
      </c>
      <c r="S127" s="7">
        <f>Mater_Q!B128</f>
        <v>3.1426666666666669</v>
      </c>
    </row>
    <row r="128" spans="1:19" x14ac:dyDescent="0.35">
      <c r="A128" s="4">
        <v>40787</v>
      </c>
      <c r="B128" s="7">
        <f>Haver!C138</f>
        <v>2807644.9</v>
      </c>
      <c r="C128" s="7">
        <f>Haver!D138</f>
        <v>4257.8</v>
      </c>
      <c r="D128" s="7">
        <f>UK_HAVER!C140</f>
        <v>567586</v>
      </c>
      <c r="E128" s="30">
        <f>reconstruct_levels_ch!I128</f>
        <v>14730.904643705826</v>
      </c>
      <c r="F128" s="18">
        <f>Haver!M138</f>
        <v>95.90000000000002</v>
      </c>
      <c r="G128" s="18">
        <f>Haver!N138</f>
        <v>226.03266666666664</v>
      </c>
      <c r="H128" s="7">
        <f>UK_HAVER!E140</f>
        <v>93.875329963203413</v>
      </c>
      <c r="I128" s="13">
        <f>reconstruct_levels_ch!D128</f>
        <v>80.425382623993926</v>
      </c>
      <c r="J128" s="13">
        <f>AWM!C168</f>
        <v>1.5620535165317773</v>
      </c>
      <c r="K128" s="7">
        <f>Haver!H138</f>
        <v>0.25</v>
      </c>
      <c r="L128" s="7">
        <f>UK_HAVER!D140</f>
        <v>0.5</v>
      </c>
      <c r="M128" s="13">
        <f>M129/(OEM_aux!B134/OEM_aux!B133)</f>
        <v>6.4333052384559313</v>
      </c>
      <c r="N128" s="7">
        <f>Haver!J138</f>
        <v>0.70792266935928982</v>
      </c>
      <c r="O128" s="7">
        <f>1/UK_HAVER!F140</f>
        <v>0.62131096613855241</v>
      </c>
      <c r="P128" s="28">
        <f>1/ '[2]Exchange rate'!$C133</f>
        <v>1.0019115470405989E-2</v>
      </c>
      <c r="Q128" s="7">
        <f>Haver!Q138</f>
        <v>30.263333333333335</v>
      </c>
      <c r="R128" s="7">
        <f>Haver!R138</f>
        <v>113.33999999999999</v>
      </c>
      <c r="S128" s="7">
        <f>Mater_Q!B129</f>
        <v>2.3016666666666667</v>
      </c>
    </row>
    <row r="129" spans="1:19" x14ac:dyDescent="0.35">
      <c r="A129" s="4">
        <v>40878</v>
      </c>
      <c r="B129" s="7">
        <f>Haver!C139</f>
        <v>2798956.8</v>
      </c>
      <c r="C129" s="7">
        <f>Haver!D139</f>
        <v>4305.7</v>
      </c>
      <c r="D129" s="7">
        <f>UK_HAVER!C141</f>
        <v>568056</v>
      </c>
      <c r="E129" s="30">
        <f>reconstruct_levels_ch!I129</f>
        <v>15004.587408043879</v>
      </c>
      <c r="F129" s="18">
        <f>Haver!M139</f>
        <v>96.50333333333333</v>
      </c>
      <c r="G129" s="18">
        <f>Haver!N139</f>
        <v>227.04733333333334</v>
      </c>
      <c r="H129" s="7">
        <f>UK_HAVER!E141</f>
        <v>94.697622524457927</v>
      </c>
      <c r="I129" s="13">
        <f>reconstruct_levels_ch!D129</f>
        <v>80.804757361571959</v>
      </c>
      <c r="J129" s="13">
        <f>AWM!C169</f>
        <v>1.4955447330447331</v>
      </c>
      <c r="K129" s="7">
        <f>Haver!H139</f>
        <v>0.25</v>
      </c>
      <c r="L129" s="7">
        <f>UK_HAVER!D141</f>
        <v>0.5</v>
      </c>
      <c r="M129" s="13">
        <f>M130/(OEM_aux!B135/OEM_aux!B134)</f>
        <v>6.4548794634879929</v>
      </c>
      <c r="N129" s="7">
        <f>Haver!J139</f>
        <v>0.74181940109952471</v>
      </c>
      <c r="O129" s="7">
        <f>1/UK_HAVER!F141</f>
        <v>0.63611882699688305</v>
      </c>
      <c r="P129" s="28">
        <f>1/ '[2]Exchange rate'!$C134</f>
        <v>9.5852923274527563E-3</v>
      </c>
      <c r="Q129" s="7">
        <f>Haver!Q139</f>
        <v>29.939999999999998</v>
      </c>
      <c r="R129" s="7">
        <f>Haver!R139</f>
        <v>109.39666666666666</v>
      </c>
      <c r="S129" s="7">
        <f>Mater_Q!B130</f>
        <v>1.9949999999999999</v>
      </c>
    </row>
    <row r="130" spans="1:19" x14ac:dyDescent="0.35">
      <c r="A130" s="4">
        <v>40969</v>
      </c>
      <c r="B130" s="7">
        <f>Haver!C140</f>
        <v>2792410.2</v>
      </c>
      <c r="C130" s="7">
        <f>Haver!D140</f>
        <v>4341.8</v>
      </c>
      <c r="D130" s="7">
        <f>UK_HAVER!C142</f>
        <v>573416</v>
      </c>
      <c r="E130" s="30">
        <f>reconstruct_levels_ch!I130</f>
        <v>15293.842828829695</v>
      </c>
      <c r="F130" s="18">
        <f>Haver!M140</f>
        <v>97.356666666666669</v>
      </c>
      <c r="G130" s="18">
        <f>Haver!N140</f>
        <v>228.32600000000002</v>
      </c>
      <c r="H130" s="7">
        <f>UK_HAVER!E142</f>
        <v>95.20812270326725</v>
      </c>
      <c r="I130" s="13">
        <f>reconstruct_levels_ch!D130</f>
        <v>81.215863739602341</v>
      </c>
      <c r="J130" s="13">
        <f>AWM!C170</f>
        <v>1.0429891774891775</v>
      </c>
      <c r="K130" s="7">
        <f>Haver!H140</f>
        <v>0.25</v>
      </c>
      <c r="L130" s="7">
        <f>UK_HAVER!D142</f>
        <v>0.5</v>
      </c>
      <c r="M130" s="13">
        <f>M131/(OEM_aux!B136/OEM_aux!B135)</f>
        <v>6.4548794634879929</v>
      </c>
      <c r="N130" s="7">
        <f>Haver!J140</f>
        <v>0.76277728225505448</v>
      </c>
      <c r="O130" s="7">
        <f>1/UK_HAVER!F142</f>
        <v>0.63624024431625381</v>
      </c>
      <c r="P130" s="28">
        <f>1/ '[2]Exchange rate'!$C135</f>
        <v>9.4940073825401407E-3</v>
      </c>
      <c r="Q130" s="7">
        <f>Haver!Q140</f>
        <v>18.273333333333337</v>
      </c>
      <c r="R130" s="7">
        <f>Haver!R140</f>
        <v>118.49</v>
      </c>
      <c r="S130" s="7">
        <f>Mater_Q!B131</f>
        <v>1.8806666666666667</v>
      </c>
    </row>
    <row r="131" spans="1:19" x14ac:dyDescent="0.35">
      <c r="A131" s="4">
        <v>41061</v>
      </c>
      <c r="B131" s="7">
        <f>Haver!C141</f>
        <v>2782321.9</v>
      </c>
      <c r="C131" s="7">
        <f>Haver!D141</f>
        <v>4361.1000000000004</v>
      </c>
      <c r="D131" s="7">
        <f>UK_HAVER!C143</f>
        <v>573112</v>
      </c>
      <c r="E131" s="30">
        <f>reconstruct_levels_ch!I131</f>
        <v>15577.18939654793</v>
      </c>
      <c r="F131" s="18">
        <f>Haver!M141</f>
        <v>97.839999999999989</v>
      </c>
      <c r="G131" s="18">
        <f>Haver!N141</f>
        <v>228.80799999999999</v>
      </c>
      <c r="H131" s="7">
        <f>UK_HAVER!E143</f>
        <v>95.628473521914714</v>
      </c>
      <c r="I131" s="13">
        <f>reconstruct_levels_ch!D131</f>
        <v>81.659098854909317</v>
      </c>
      <c r="J131" s="13">
        <f>AWM!C171</f>
        <v>0.69602734107997266</v>
      </c>
      <c r="K131" s="7">
        <f>Haver!H141</f>
        <v>0.25</v>
      </c>
      <c r="L131" s="7">
        <f>UK_HAVER!D143</f>
        <v>0.5</v>
      </c>
      <c r="M131" s="13">
        <f>M132/(OEM_aux!B137/OEM_aux!B136)</f>
        <v>6.3728981850227289</v>
      </c>
      <c r="N131" s="7">
        <f>Haver!J141</f>
        <v>0.77968778182464615</v>
      </c>
      <c r="O131" s="7">
        <f>1/UK_HAVER!F143</f>
        <v>0.63184498736310024</v>
      </c>
      <c r="P131" s="28">
        <f>1/ '[2]Exchange rate'!$C136</f>
        <v>9.3822184443155959E-3</v>
      </c>
      <c r="Q131" s="7">
        <f>Haver!Q141</f>
        <v>19.983333333333334</v>
      </c>
      <c r="R131" s="7">
        <f>Haver!R141</f>
        <v>108.30666666666666</v>
      </c>
      <c r="S131" s="7">
        <f>Mater_Q!B132</f>
        <v>1.5406666666666666</v>
      </c>
    </row>
    <row r="132" spans="1:19" x14ac:dyDescent="0.35">
      <c r="A132" s="4">
        <v>41153</v>
      </c>
      <c r="B132" s="7">
        <f>Haver!C142</f>
        <v>2778800.9</v>
      </c>
      <c r="C132" s="7">
        <f>Haver!D142</f>
        <v>4367.3999999999996</v>
      </c>
      <c r="D132" s="7">
        <f>UK_HAVER!C144</f>
        <v>579051</v>
      </c>
      <c r="E132" s="30">
        <f>reconstruct_levels_ch!I132</f>
        <v>15853.735760764563</v>
      </c>
      <c r="F132" s="18">
        <f>Haver!M142</f>
        <v>98.316666666666663</v>
      </c>
      <c r="G132" s="18">
        <f>Haver!N142</f>
        <v>229.84100000000001</v>
      </c>
      <c r="H132" s="7">
        <f>UK_HAVER!E144</f>
        <v>96.119026203581001</v>
      </c>
      <c r="I132" s="13">
        <f>reconstruct_levels_ch!D132</f>
        <v>81.949152249459559</v>
      </c>
      <c r="J132" s="13">
        <f>AWM!C172</f>
        <v>0.35857891963109351</v>
      </c>
      <c r="K132" s="7">
        <f>Haver!H142</f>
        <v>0.25</v>
      </c>
      <c r="L132" s="7">
        <f>UK_HAVER!D144</f>
        <v>0.5</v>
      </c>
      <c r="M132" s="13">
        <f>M133/(OEM_aux!B138/OEM_aux!B137)</f>
        <v>5.7558885522674288</v>
      </c>
      <c r="N132" s="7">
        <f>Haver!J142</f>
        <v>0.79906009224882402</v>
      </c>
      <c r="O132" s="7">
        <f>1/UK_HAVER!F144</f>
        <v>0.63236441053097536</v>
      </c>
      <c r="P132" s="28">
        <f>1/ '[2]Exchange rate'!$C137</f>
        <v>9.3997065411617845E-3</v>
      </c>
      <c r="Q132" s="7">
        <f>Haver!Q142</f>
        <v>16.18</v>
      </c>
      <c r="R132" s="7">
        <f>Haver!R142</f>
        <v>109.61333333333334</v>
      </c>
      <c r="S132" s="7">
        <f>Mater_Q!B133</f>
        <v>1.4226666666666665</v>
      </c>
    </row>
    <row r="133" spans="1:19" x14ac:dyDescent="0.35">
      <c r="A133" s="4">
        <v>41244</v>
      </c>
      <c r="B133" s="7">
        <f>Haver!C143</f>
        <v>2766521.3</v>
      </c>
      <c r="C133" s="7">
        <f>Haver!D143</f>
        <v>4372.5</v>
      </c>
      <c r="D133" s="7">
        <f>UK_HAVER!C145</f>
        <v>578215</v>
      </c>
      <c r="E133" s="30">
        <f>reconstruct_levels_ch!I133</f>
        <v>16199.661444041463</v>
      </c>
      <c r="F133" s="18">
        <f>Haver!M143</f>
        <v>98.733333333333334</v>
      </c>
      <c r="G133" s="18">
        <f>Haver!N143</f>
        <v>231.36933333333332</v>
      </c>
      <c r="H133" s="7">
        <f>UK_HAVER!E145</f>
        <v>97.191682216491245</v>
      </c>
      <c r="I133" s="13">
        <f>reconstruct_levels_ch!D133</f>
        <v>82.422862082345205</v>
      </c>
      <c r="J133" s="13">
        <f>AWM!C173</f>
        <v>0.19512890922959569</v>
      </c>
      <c r="K133" s="7">
        <f>Haver!H143</f>
        <v>0.25</v>
      </c>
      <c r="L133" s="7">
        <f>UK_HAVER!D145</f>
        <v>0.5</v>
      </c>
      <c r="M133" s="13">
        <f>M134/(OEM_aux!B139/OEM_aux!B138)</f>
        <v>5.73</v>
      </c>
      <c r="N133" s="7">
        <f>Haver!J143</f>
        <v>0.77078677031864584</v>
      </c>
      <c r="O133" s="7">
        <f>1/UK_HAVER!F145</f>
        <v>0.62249704313904508</v>
      </c>
      <c r="P133" s="28">
        <f>1/ '[2]Exchange rate'!$C138</f>
        <v>9.3534169902948945E-3</v>
      </c>
      <c r="Q133" s="7">
        <f>Haver!Q143</f>
        <v>16.763333333333335</v>
      </c>
      <c r="R133" s="7">
        <f>Haver!R143</f>
        <v>110.08666666666666</v>
      </c>
      <c r="S133" s="7">
        <f>Mater_Q!B134</f>
        <v>1.4206666666666665</v>
      </c>
    </row>
    <row r="134" spans="1:19" x14ac:dyDescent="0.35">
      <c r="A134" s="4">
        <v>41334</v>
      </c>
      <c r="B134" s="7">
        <f>Haver!C144</f>
        <v>2757562.9</v>
      </c>
      <c r="C134" s="7">
        <f>Haver!D144</f>
        <v>4415.6000000000004</v>
      </c>
      <c r="D134" s="7">
        <f>UK_HAVER!C146</f>
        <v>579749</v>
      </c>
      <c r="E134" s="30">
        <f>reconstruct_levels_ch!I134</f>
        <v>16496.504078083584</v>
      </c>
      <c r="F134" s="18">
        <f>Haver!M144</f>
        <v>99.139999999999986</v>
      </c>
      <c r="G134" s="18">
        <f>Haver!N144</f>
        <v>232.29933333333335</v>
      </c>
      <c r="H134" s="7">
        <f>UK_HAVER!E146</f>
        <v>97.848707860694461</v>
      </c>
      <c r="I134" s="13">
        <f>reconstruct_levels_ch!D134</f>
        <v>83.226073158265251</v>
      </c>
      <c r="J134" s="13">
        <f>AWM!C174</f>
        <v>0.21143636363636364</v>
      </c>
      <c r="K134" s="7">
        <f>Haver!H144</f>
        <v>0.25</v>
      </c>
      <c r="L134" s="7">
        <f>UK_HAVER!D146</f>
        <v>0.5</v>
      </c>
      <c r="M134" s="13">
        <f>M135/(OEM_aux!B140/OEM_aux!B139)</f>
        <v>5.73</v>
      </c>
      <c r="N134" s="7">
        <f>Haver!J144</f>
        <v>0.757371114370612</v>
      </c>
      <c r="O134" s="7">
        <f>1/UK_HAVER!F146</f>
        <v>0.64489778370128326</v>
      </c>
      <c r="P134" s="28">
        <f>1/ '[2]Exchange rate'!$C139</f>
        <v>9.1771661094597317E-3</v>
      </c>
      <c r="Q134" s="7">
        <f>Haver!Q144</f>
        <v>13.536666666666667</v>
      </c>
      <c r="R134" s="7">
        <f>Haver!R144</f>
        <v>112.49333333333334</v>
      </c>
      <c r="S134" s="7">
        <f>Mater_Q!B135</f>
        <v>1.5216666666666665</v>
      </c>
    </row>
    <row r="135" spans="1:19" x14ac:dyDescent="0.35">
      <c r="A135" s="4">
        <v>41426</v>
      </c>
      <c r="B135" s="7">
        <f>Haver!C145</f>
        <v>2775556.3</v>
      </c>
      <c r="C135" s="7">
        <f>Haver!D145</f>
        <v>4427.3999999999996</v>
      </c>
      <c r="D135" s="7">
        <f>UK_HAVER!C147</f>
        <v>583605</v>
      </c>
      <c r="E135" s="30">
        <f>reconstruct_levels_ch!I135</f>
        <v>16769.230097543539</v>
      </c>
      <c r="F135" s="18">
        <f>Haver!M145</f>
        <v>99.25333333333333</v>
      </c>
      <c r="G135" s="18">
        <f>Haver!N145</f>
        <v>232.04499999999999</v>
      </c>
      <c r="H135" s="7">
        <f>UK_HAVER!E147</f>
        <v>98.232119330920455</v>
      </c>
      <c r="I135" s="13">
        <f>reconstruct_levels_ch!D135</f>
        <v>83.637627011576384</v>
      </c>
      <c r="J135" s="13">
        <f>AWM!C175</f>
        <v>0.20679401154401153</v>
      </c>
      <c r="K135" s="7">
        <f>Haver!H145</f>
        <v>0.25</v>
      </c>
      <c r="L135" s="7">
        <f>UK_HAVER!D147</f>
        <v>0.5</v>
      </c>
      <c r="M135" s="13">
        <f>M136/(OEM_aux!B141/OEM_aux!B140)</f>
        <v>5.73</v>
      </c>
      <c r="N135" s="7">
        <f>Haver!J145</f>
        <v>0.76536860151849118</v>
      </c>
      <c r="O135" s="7">
        <f>1/UK_HAVER!F147</f>
        <v>0.65074510314309886</v>
      </c>
      <c r="P135" s="28">
        <f>1/ '[2]Exchange rate'!$C140</f>
        <v>8.8868429401586669E-3</v>
      </c>
      <c r="Q135" s="7">
        <f>Haver!Q145</f>
        <v>14.910000000000002</v>
      </c>
      <c r="R135" s="7">
        <f>Haver!R145</f>
        <v>102.57666666666667</v>
      </c>
      <c r="S135" s="7">
        <f>Mater_Q!B136</f>
        <v>1.4119999999999999</v>
      </c>
    </row>
    <row r="136" spans="1:19" x14ac:dyDescent="0.35">
      <c r="A136" s="4">
        <v>41518</v>
      </c>
      <c r="B136" s="7">
        <f>Haver!C146</f>
        <v>2783857.4</v>
      </c>
      <c r="C136" s="7">
        <f>Haver!D146</f>
        <v>4465.1000000000004</v>
      </c>
      <c r="D136" s="7">
        <f>UK_HAVER!C148</f>
        <v>588076</v>
      </c>
      <c r="E136" s="30">
        <f>reconstruct_levels_ch!I136</f>
        <v>17120.27762631264</v>
      </c>
      <c r="F136" s="18">
        <f>Haver!M146</f>
        <v>99.586666666666659</v>
      </c>
      <c r="G136" s="18">
        <f>Haver!N146</f>
        <v>233.29999999999998</v>
      </c>
      <c r="H136" s="7">
        <f>UK_HAVER!E148</f>
        <v>98.735153632918752</v>
      </c>
      <c r="I136" s="13">
        <f>reconstruct_levels_ch!D136</f>
        <v>84.182332190523141</v>
      </c>
      <c r="J136" s="13">
        <f>AWM!C176</f>
        <v>0.22351217140347576</v>
      </c>
      <c r="K136" s="7">
        <f>Haver!H146</f>
        <v>0.25</v>
      </c>
      <c r="L136" s="7">
        <f>UK_HAVER!D148</f>
        <v>0.5</v>
      </c>
      <c r="M136" s="13">
        <f>M137/(OEM_aux!B142/OEM_aux!B141)</f>
        <v>5.73</v>
      </c>
      <c r="N136" s="7">
        <f>Haver!J146</f>
        <v>0.75495381821668328</v>
      </c>
      <c r="O136" s="7">
        <f>1/UK_HAVER!F148</f>
        <v>0.64420537267280809</v>
      </c>
      <c r="P136" s="28">
        <f>1/ '[2]Exchange rate'!$C141</f>
        <v>8.7681226134266269E-3</v>
      </c>
      <c r="Q136" s="7">
        <f>Haver!Q146</f>
        <v>14.29</v>
      </c>
      <c r="R136" s="7">
        <f>Haver!R146</f>
        <v>110.27</v>
      </c>
      <c r="S136" s="7">
        <f>Mater_Q!B137</f>
        <v>1.7859999999999998</v>
      </c>
    </row>
    <row r="137" spans="1:19" x14ac:dyDescent="0.35">
      <c r="A137" s="4">
        <v>41609</v>
      </c>
      <c r="B137" s="7">
        <f>Haver!C147</f>
        <v>2789570.1</v>
      </c>
      <c r="C137" s="7">
        <f>Haver!D147</f>
        <v>4504</v>
      </c>
      <c r="D137" s="7">
        <f>UK_HAVER!C149</f>
        <v>591954</v>
      </c>
      <c r="E137" s="30">
        <f>reconstruct_levels_ch!I137</f>
        <v>17430.417574372477</v>
      </c>
      <c r="F137" s="18">
        <f>Haver!M147</f>
        <v>99.55</v>
      </c>
      <c r="G137" s="18">
        <f>Haver!N147</f>
        <v>234.16266666666669</v>
      </c>
      <c r="H137" s="7">
        <f>UK_HAVER!E149</f>
        <v>99.188278432739011</v>
      </c>
      <c r="I137" s="13">
        <f>reconstruct_levels_ch!D137</f>
        <v>84.821629138030687</v>
      </c>
      <c r="J137" s="13">
        <f>AWM!C177</f>
        <v>0.24090234644582464</v>
      </c>
      <c r="K137" s="7">
        <f>Haver!H147</f>
        <v>0.25</v>
      </c>
      <c r="L137" s="7">
        <f>UK_HAVER!D149</f>
        <v>0.5</v>
      </c>
      <c r="M137" s="7">
        <f>Haver!I147</f>
        <v>5.73</v>
      </c>
      <c r="N137" s="7">
        <f>Haver!J147</f>
        <v>0.73472758505328972</v>
      </c>
      <c r="O137" s="7">
        <f>1/UK_HAVER!F149</f>
        <v>0.61752537000061747</v>
      </c>
      <c r="P137" s="28">
        <f>1/ '[2]Exchange rate'!$C142</f>
        <v>8.7951598476326519E-3</v>
      </c>
      <c r="Q137" s="7">
        <f>Haver!Q147</f>
        <v>14.173333333333332</v>
      </c>
      <c r="R137" s="7">
        <f>Haver!R147</f>
        <v>109.21</v>
      </c>
      <c r="S137" s="7">
        <f>Mater_Q!B138</f>
        <v>1.7933333333333332</v>
      </c>
    </row>
    <row r="138" spans="1:19" x14ac:dyDescent="0.35">
      <c r="A138" s="4">
        <v>41699</v>
      </c>
      <c r="B138" s="7">
        <f>Haver!C148</f>
        <v>2802623.5</v>
      </c>
      <c r="C138" s="7">
        <f>Haver!D148</f>
        <v>4488.5</v>
      </c>
      <c r="D138" s="7">
        <f>UK_HAVER!C150</f>
        <v>596696</v>
      </c>
      <c r="E138" s="30">
        <f>reconstruct_levels_ch!I138</f>
        <v>17751.541240885526</v>
      </c>
      <c r="F138" s="18">
        <f>Haver!M148</f>
        <v>99.806666666666672</v>
      </c>
      <c r="G138" s="18">
        <f>Haver!N148</f>
        <v>235.62100000000001</v>
      </c>
      <c r="H138" s="7">
        <f>UK_HAVER!E150</f>
        <v>99.609604887374132</v>
      </c>
      <c r="I138" s="13">
        <f>reconstruct_levels_ch!D138</f>
        <v>85.18210174942422</v>
      </c>
      <c r="J138" s="13">
        <f>AWM!C178</f>
        <v>0.2951595959595959</v>
      </c>
      <c r="K138" s="7">
        <f>Haver!H148</f>
        <v>0.25</v>
      </c>
      <c r="L138" s="7">
        <f>UK_HAVER!D150</f>
        <v>0.5</v>
      </c>
      <c r="M138" s="7">
        <f>Haver!I148</f>
        <v>5.76</v>
      </c>
      <c r="N138" s="7">
        <f>Haver!J148</f>
        <v>0.73008243847534438</v>
      </c>
      <c r="O138" s="7">
        <f>1/UK_HAVER!F150</f>
        <v>0.60420526866994284</v>
      </c>
      <c r="P138" s="28">
        <f>1/ '[2]Exchange rate'!$C143</f>
        <v>8.7022961878721328E-3</v>
      </c>
      <c r="Q138" s="7">
        <f>Haver!Q148</f>
        <v>14.85</v>
      </c>
      <c r="R138" s="7">
        <f>Haver!R148</f>
        <v>108.16666666666667</v>
      </c>
      <c r="S138" s="7">
        <f>Mater_Q!B139</f>
        <v>1.6820000000000002</v>
      </c>
    </row>
    <row r="139" spans="1:19" x14ac:dyDescent="0.35">
      <c r="A139" s="4">
        <v>41791</v>
      </c>
      <c r="B139" s="7">
        <f>Haver!C149</f>
        <v>2809125</v>
      </c>
      <c r="C139" s="7">
        <f>Haver!D149</f>
        <v>4546.5</v>
      </c>
      <c r="D139" s="7">
        <f>UK_HAVER!C151</f>
        <v>602310</v>
      </c>
      <c r="E139" s="30">
        <f>reconstruct_levels_ch!I139</f>
        <v>18063.657407486968</v>
      </c>
      <c r="F139" s="18">
        <f>Haver!M149</f>
        <v>99.806666666666672</v>
      </c>
      <c r="G139" s="18">
        <f>Haver!N149</f>
        <v>236.87233333333333</v>
      </c>
      <c r="H139" s="7">
        <f>UK_HAVER!E151</f>
        <v>99.996833357818886</v>
      </c>
      <c r="I139" s="13">
        <f>reconstruct_levels_ch!D139</f>
        <v>85.491093428831377</v>
      </c>
      <c r="J139" s="13">
        <f>AWM!C179</f>
        <v>0.29858333333333326</v>
      </c>
      <c r="K139" s="7">
        <f>Haver!H149</f>
        <v>0.25</v>
      </c>
      <c r="L139" s="7">
        <f>UK_HAVER!D151</f>
        <v>0.5</v>
      </c>
      <c r="M139" s="7">
        <f>Haver!I149</f>
        <v>5.76</v>
      </c>
      <c r="N139" s="7">
        <f>Haver!J149</f>
        <v>0.72927013186662526</v>
      </c>
      <c r="O139" s="7">
        <f>1/UK_HAVER!F151</f>
        <v>0.59408293397758327</v>
      </c>
      <c r="P139" s="28">
        <f>1/ '[2]Exchange rate'!$C144</f>
        <v>8.9759758007692415E-3</v>
      </c>
      <c r="Q139" s="7">
        <f>Haver!Q149</f>
        <v>12.74</v>
      </c>
      <c r="R139" s="7">
        <f>Haver!R149</f>
        <v>109.7</v>
      </c>
      <c r="S139" s="7">
        <f>Mater_Q!B140</f>
        <v>1.4270000000000003</v>
      </c>
    </row>
    <row r="140" spans="1:19" x14ac:dyDescent="0.35">
      <c r="A140" s="4">
        <v>41883</v>
      </c>
      <c r="B140" s="7">
        <f>Haver!C150</f>
        <v>2822836.8</v>
      </c>
      <c r="C140" s="7">
        <f>Haver!D150</f>
        <v>4601.7</v>
      </c>
      <c r="D140" s="7">
        <f>UK_HAVER!C152</f>
        <v>607213</v>
      </c>
      <c r="E140" s="30">
        <f>reconstruct_levels_ch!I140</f>
        <v>18378.241625255454</v>
      </c>
      <c r="F140" s="18">
        <f>Haver!M150</f>
        <v>99.899999999999991</v>
      </c>
      <c r="G140" s="18">
        <f>Haver!N150</f>
        <v>237.47833333333332</v>
      </c>
      <c r="H140" s="7">
        <f>UK_HAVER!E152</f>
        <v>100.13527704294192</v>
      </c>
      <c r="I140" s="13">
        <f>reconstruct_levels_ch!D140</f>
        <v>85.81139550812766</v>
      </c>
      <c r="J140" s="13">
        <f>AWM!C180</f>
        <v>0.1645686053077357</v>
      </c>
      <c r="K140" s="7">
        <f>Haver!H150</f>
        <v>0.25</v>
      </c>
      <c r="L140" s="7">
        <f>UK_HAVER!D152</f>
        <v>0.5</v>
      </c>
      <c r="M140" s="7">
        <f>Haver!I150</f>
        <v>5.76</v>
      </c>
      <c r="N140" s="7">
        <f>Haver!J150</f>
        <v>0.75459112102811532</v>
      </c>
      <c r="O140" s="7">
        <f>1/UK_HAVER!F152</f>
        <v>0.59932875179798628</v>
      </c>
      <c r="P140" s="28">
        <f>1/ '[2]Exchange rate'!$C145</f>
        <v>8.7669926234524072E-3</v>
      </c>
      <c r="Q140" s="7">
        <f>Haver!Q150</f>
        <v>13.086666666666666</v>
      </c>
      <c r="R140" s="7">
        <f>Haver!R150</f>
        <v>101.82333333333334</v>
      </c>
      <c r="S140" s="7">
        <f>Mater_Q!B141</f>
        <v>1.0696666666666668</v>
      </c>
    </row>
    <row r="141" spans="1:19" x14ac:dyDescent="0.35">
      <c r="A141" s="4">
        <v>41974</v>
      </c>
      <c r="B141" s="7">
        <f>Haver!C151</f>
        <v>2833377.6</v>
      </c>
      <c r="C141" s="7">
        <f>Haver!D151</f>
        <v>4625</v>
      </c>
      <c r="D141" s="7">
        <f>UK_HAVER!C153</f>
        <v>611220</v>
      </c>
      <c r="E141" s="30">
        <f>reconstruct_levels_ch!I141</f>
        <v>18709.452667156875</v>
      </c>
      <c r="F141" s="18">
        <f>Haver!M151</f>
        <v>99.73</v>
      </c>
      <c r="G141" s="18">
        <f>Haver!N151</f>
        <v>236.88833333333332</v>
      </c>
      <c r="H141" s="7">
        <f>UK_HAVER!E153</f>
        <v>100.0653635227934</v>
      </c>
      <c r="I141" s="13">
        <f>reconstruct_levels_ch!D141</f>
        <v>86.047808276036292</v>
      </c>
      <c r="J141" s="13">
        <f>AWM!C181</f>
        <v>8.1471152518978601E-2</v>
      </c>
      <c r="K141" s="7">
        <f>Haver!H151</f>
        <v>0.25</v>
      </c>
      <c r="L141" s="7">
        <f>UK_HAVER!D153</f>
        <v>0.5</v>
      </c>
      <c r="M141" s="7">
        <f>Haver!I151</f>
        <v>5.51</v>
      </c>
      <c r="N141" s="7">
        <f>Haver!J151</f>
        <v>0.80050656055151703</v>
      </c>
      <c r="O141" s="7">
        <f>1/UK_HAVER!F153</f>
        <v>0.63172524163490495</v>
      </c>
      <c r="P141" s="28">
        <f>1/ '[2]Exchange rate'!$C146</f>
        <v>8.305033930216121E-3</v>
      </c>
      <c r="Q141" s="7">
        <f>Haver!Q151</f>
        <v>15.92</v>
      </c>
      <c r="R141" s="7">
        <f>Haver!R151</f>
        <v>76.403333333333336</v>
      </c>
      <c r="S141" s="7">
        <f>Mater_Q!B142</f>
        <v>0.77</v>
      </c>
    </row>
    <row r="142" spans="1:19" x14ac:dyDescent="0.35">
      <c r="A142" s="4">
        <v>42064</v>
      </c>
      <c r="B142" s="7">
        <f>Haver!C152</f>
        <v>2854919.4</v>
      </c>
      <c r="C142" s="7">
        <f>Haver!D152</f>
        <v>4666.7</v>
      </c>
      <c r="D142" s="7">
        <f>UK_HAVER!C154</f>
        <v>613076</v>
      </c>
      <c r="E142" s="30">
        <f>reconstruct_levels_ch!I142</f>
        <v>19016.348076908373</v>
      </c>
      <c r="F142" s="18">
        <f>Haver!M152</f>
        <v>99.676666666666677</v>
      </c>
      <c r="G142" s="18">
        <f>Haver!N152</f>
        <v>235.35500000000002</v>
      </c>
      <c r="H142" s="7">
        <f>UK_HAVER!E154</f>
        <v>99.739893566543032</v>
      </c>
      <c r="I142" s="13">
        <f>reconstruct_levels_ch!D142</f>
        <v>86.22889779227593</v>
      </c>
      <c r="J142" s="13">
        <f>AWM!C182</f>
        <v>4.6016161616161566E-2</v>
      </c>
      <c r="K142" s="7">
        <f>Haver!H152</f>
        <v>0.25</v>
      </c>
      <c r="L142" s="7">
        <f>UK_HAVER!D154</f>
        <v>0.5</v>
      </c>
      <c r="M142" s="7">
        <f>Haver!I152</f>
        <v>5.3</v>
      </c>
      <c r="N142" s="7">
        <f>Haver!J152</f>
        <v>0.88734661474308651</v>
      </c>
      <c r="O142" s="7">
        <f>1/UK_HAVER!F154</f>
        <v>0.66037112857425884</v>
      </c>
      <c r="P142" s="28">
        <f>1/ '[2]Exchange rate'!$C147</f>
        <v>8.0023110674362751E-3</v>
      </c>
      <c r="Q142" s="7">
        <f>Haver!Q152</f>
        <v>16.610000000000003</v>
      </c>
      <c r="R142" s="7">
        <f>Haver!R152</f>
        <v>53.916666666666664</v>
      </c>
      <c r="S142" s="7">
        <f>Mater_Q!B143</f>
        <v>0.35266666666666668</v>
      </c>
    </row>
    <row r="143" spans="1:19" x14ac:dyDescent="0.35">
      <c r="A143" s="4">
        <v>42156</v>
      </c>
      <c r="B143" s="7">
        <f>Haver!C153</f>
        <v>2866851.2</v>
      </c>
      <c r="C143" s="7">
        <f>Haver!D153</f>
        <v>4695.6000000000004</v>
      </c>
      <c r="D143" s="7">
        <f>UK_HAVER!C155</f>
        <v>615875</v>
      </c>
      <c r="E143" s="30">
        <f>reconstruct_levels_ch!I143</f>
        <v>19344.715396582356</v>
      </c>
      <c r="F143" s="18">
        <f>Haver!M153</f>
        <v>100.16333333333334</v>
      </c>
      <c r="G143" s="18">
        <f>Haver!N153</f>
        <v>236.96</v>
      </c>
      <c r="H143" s="7">
        <f>UK_HAVER!E155</f>
        <v>99.982273308129407</v>
      </c>
      <c r="I143" s="13">
        <f>reconstruct_levels_ch!D143</f>
        <v>86.709483047654132</v>
      </c>
      <c r="J143" s="13">
        <f>AWM!C183</f>
        <v>-6.5258373205741675E-3</v>
      </c>
      <c r="K143" s="7">
        <f>Haver!H153</f>
        <v>0.25</v>
      </c>
      <c r="L143" s="7">
        <f>UK_HAVER!D155</f>
        <v>0.5</v>
      </c>
      <c r="M143" s="7">
        <f>Haver!I153</f>
        <v>4.8</v>
      </c>
      <c r="N143" s="7">
        <f>Haver!J153</f>
        <v>0.90519363902325989</v>
      </c>
      <c r="O143" s="7">
        <f>1/UK_HAVER!F155</f>
        <v>0.65217391304347827</v>
      </c>
      <c r="P143" s="28">
        <f>1/ '[2]Exchange rate'!$C148</f>
        <v>7.9188351076803203E-3</v>
      </c>
      <c r="Q143" s="7">
        <f>Haver!Q153</f>
        <v>13.723333333333334</v>
      </c>
      <c r="R143" s="7">
        <f>Haver!R153</f>
        <v>61.693333333333328</v>
      </c>
      <c r="S143" s="7">
        <f>Mater_Q!B144</f>
        <v>0.52599999999999991</v>
      </c>
    </row>
    <row r="144" spans="1:19" x14ac:dyDescent="0.35">
      <c r="A144" s="4">
        <v>42248</v>
      </c>
      <c r="B144" s="7">
        <f>Haver!C154</f>
        <v>2879444.1</v>
      </c>
      <c r="C144" s="7">
        <f>Haver!D154</f>
        <v>4714.3999999999996</v>
      </c>
      <c r="D144" s="7">
        <f>UK_HAVER!C156</f>
        <v>618263</v>
      </c>
      <c r="E144" s="30">
        <f>reconstruct_levels_ch!I144</f>
        <v>19666.947447022347</v>
      </c>
      <c r="F144" s="18">
        <f>Haver!M154</f>
        <v>100.09333333333332</v>
      </c>
      <c r="G144" s="18">
        <f>Haver!N154</f>
        <v>237.85500000000002</v>
      </c>
      <c r="H144" s="7">
        <f>UK_HAVER!E156</f>
        <v>100.13596518749878</v>
      </c>
      <c r="I144" s="13">
        <f>reconstruct_levels_ch!D144</f>
        <v>87.312203570289668</v>
      </c>
      <c r="J144" s="13">
        <f>AWM!C184</f>
        <v>-2.7817083882301235E-2</v>
      </c>
      <c r="K144" s="7">
        <f>Haver!H154</f>
        <v>0.25</v>
      </c>
      <c r="L144" s="7">
        <f>UK_HAVER!D156</f>
        <v>0.5</v>
      </c>
      <c r="M144" s="7">
        <f>Haver!I154</f>
        <v>4.55</v>
      </c>
      <c r="N144" s="7">
        <f>Haver!J154</f>
        <v>0.89938814624411023</v>
      </c>
      <c r="O144" s="7">
        <f>1/UK_HAVER!F156</f>
        <v>0.64549444874774076</v>
      </c>
      <c r="P144" s="28">
        <f>1/ '[2]Exchange rate'!$C149</f>
        <v>7.8424545000396039E-3</v>
      </c>
      <c r="Q144" s="7">
        <f>Haver!Q154</f>
        <v>19.386666666666667</v>
      </c>
      <c r="R144" s="7">
        <f>Haver!R154</f>
        <v>50.233333333333341</v>
      </c>
      <c r="S144" s="7">
        <f>Mater_Q!B145</f>
        <v>0.69900000000000018</v>
      </c>
    </row>
    <row r="145" spans="1:19" x14ac:dyDescent="0.35">
      <c r="A145" s="4">
        <v>42339</v>
      </c>
      <c r="B145" s="7">
        <f>Haver!C155</f>
        <v>2893722.8</v>
      </c>
      <c r="C145" s="7">
        <f>Haver!D155</f>
        <v>4723.1000000000004</v>
      </c>
      <c r="D145" s="7">
        <f>UK_HAVER!C157</f>
        <v>621968</v>
      </c>
      <c r="E145" s="30">
        <f>reconstruct_levels_ch!I145</f>
        <v>19999.251472823224</v>
      </c>
      <c r="F145" s="18">
        <f>Haver!M155</f>
        <v>100.07</v>
      </c>
      <c r="G145" s="18">
        <f>Haver!N155</f>
        <v>237.83699999999999</v>
      </c>
      <c r="H145" s="7">
        <f>UK_HAVER!E157</f>
        <v>100.15569144759998</v>
      </c>
      <c r="I145" s="13">
        <f>reconstruct_levels_ch!D145</f>
        <v>87.275011161059325</v>
      </c>
      <c r="J145" s="13">
        <f>AWM!C185</f>
        <v>-8.9176046176046173E-2</v>
      </c>
      <c r="K145" s="7">
        <f>Haver!H155</f>
        <v>0.5</v>
      </c>
      <c r="L145" s="7">
        <f>UK_HAVER!D157</f>
        <v>0.5</v>
      </c>
      <c r="M145" s="7">
        <f>Haver!I155</f>
        <v>4.3</v>
      </c>
      <c r="N145" s="7">
        <f>Haver!J155</f>
        <v>0.91329010629783558</v>
      </c>
      <c r="O145" s="7">
        <f>1/UK_HAVER!F157</f>
        <v>0.65907992442550201</v>
      </c>
      <c r="P145" s="28">
        <f>1/ '[2]Exchange rate'!$C150</f>
        <v>7.8677153806754746E-3</v>
      </c>
      <c r="Q145" s="7">
        <f>Haver!Q155</f>
        <v>17.010000000000002</v>
      </c>
      <c r="R145" s="7">
        <f>Haver!R155</f>
        <v>43.57</v>
      </c>
      <c r="S145" s="7">
        <f>Mater_Q!B146</f>
        <v>0.56366666666666676</v>
      </c>
    </row>
    <row r="146" spans="1:19" x14ac:dyDescent="0.35">
      <c r="A146" s="4">
        <v>42430</v>
      </c>
      <c r="B146" s="7">
        <f>Haver!C156</f>
        <v>2907682.4</v>
      </c>
      <c r="C146" s="7">
        <f>Haver!D156</f>
        <v>4750.3999999999996</v>
      </c>
      <c r="D146" s="7">
        <f>UK_HAVER!C158</f>
        <v>625099</v>
      </c>
      <c r="E146" s="30">
        <f>reconstruct_levels_ch!I146</f>
        <v>20315.049454511893</v>
      </c>
      <c r="F146" s="18">
        <f>Haver!M156</f>
        <v>99.723333333333315</v>
      </c>
      <c r="G146" s="18">
        <f>Haver!N156</f>
        <v>237.68933333333334</v>
      </c>
      <c r="H146" s="7">
        <f>UK_HAVER!E158</f>
        <v>100.10444169216147</v>
      </c>
      <c r="I146" s="13">
        <f>reconstruct_levels_ch!D146</f>
        <v>88.105457383067701</v>
      </c>
      <c r="J146" s="13">
        <f>AWM!C186</f>
        <v>-0.18608174603174596</v>
      </c>
      <c r="K146" s="7">
        <f>Haver!H156</f>
        <v>0.5</v>
      </c>
      <c r="L146" s="7">
        <f>UK_HAVER!D158</f>
        <v>0.5</v>
      </c>
      <c r="M146" s="7">
        <f>Haver!I156</f>
        <v>4.3</v>
      </c>
      <c r="N146" s="7">
        <f>Haver!J156</f>
        <v>0.90765324136587289</v>
      </c>
      <c r="O146" s="7">
        <f>1/UK_HAVER!F158</f>
        <v>0.69879574200461203</v>
      </c>
      <c r="P146" s="28">
        <f>1/ '[2]Exchange rate'!$C151</f>
        <v>8.0178059434391907E-3</v>
      </c>
      <c r="Q146" s="7">
        <f>Haver!Q156</f>
        <v>20.696666666666665</v>
      </c>
      <c r="R146" s="7">
        <f>Haver!R156</f>
        <v>33.693333333333335</v>
      </c>
      <c r="S146" s="7">
        <f>Mater_Q!B147</f>
        <v>0.3163333333333333</v>
      </c>
    </row>
    <row r="147" spans="1:19" x14ac:dyDescent="0.35">
      <c r="A147" s="4">
        <v>42522</v>
      </c>
      <c r="B147" s="7">
        <f>Haver!C157</f>
        <v>2912999.2</v>
      </c>
      <c r="C147" s="7">
        <f>Haver!D157</f>
        <v>4765.7</v>
      </c>
      <c r="D147" s="7">
        <f>UK_HAVER!C159</f>
        <v>629697</v>
      </c>
      <c r="E147" s="30">
        <f>reconstruct_levels_ch!I147</f>
        <v>20639.869685838792</v>
      </c>
      <c r="F147" s="18">
        <f>Haver!M157</f>
        <v>100.07000000000001</v>
      </c>
      <c r="G147" s="18">
        <f>Haver!N157</f>
        <v>239.59033333333332</v>
      </c>
      <c r="H147" s="7">
        <f>UK_HAVER!E159</f>
        <v>100.31689492791403</v>
      </c>
      <c r="I147" s="13">
        <f>reconstruct_levels_ch!D147</f>
        <v>88.522130139195681</v>
      </c>
      <c r="J147" s="13">
        <f>AWM!C187</f>
        <v>-0.2580937950937951</v>
      </c>
      <c r="K147" s="7">
        <f>Haver!H157</f>
        <v>0.5</v>
      </c>
      <c r="L147" s="7">
        <f>UK_HAVER!D159</f>
        <v>0.5</v>
      </c>
      <c r="M147" s="7">
        <f>Haver!I157</f>
        <v>4.3</v>
      </c>
      <c r="N147" s="7">
        <f>Haver!J157</f>
        <v>0.88549932864392567</v>
      </c>
      <c r="O147" s="7">
        <f>1/UK_HAVER!F159</f>
        <v>0.69702602230483279</v>
      </c>
      <c r="P147" s="28">
        <f>1/ '[2]Exchange rate'!$C152</f>
        <v>8.2492392139134965E-3</v>
      </c>
      <c r="Q147" s="7">
        <f>Haver!Q157</f>
        <v>15.64</v>
      </c>
      <c r="R147" s="7">
        <f>Haver!R157</f>
        <v>45.523333333333333</v>
      </c>
      <c r="S147" s="7">
        <f>Mater_Q!B148</f>
        <v>0.11599999999999999</v>
      </c>
    </row>
    <row r="148" spans="1:19" x14ac:dyDescent="0.35">
      <c r="A148" s="4">
        <v>42614</v>
      </c>
      <c r="B148" s="7">
        <f>Haver!C158</f>
        <v>2927132</v>
      </c>
      <c r="C148" s="7">
        <f>Haver!D158</f>
        <v>4799.5</v>
      </c>
      <c r="D148" s="7">
        <f>UK_HAVER!C160</f>
        <v>632477</v>
      </c>
      <c r="E148" s="30">
        <f>reconstruct_levels_ch!I148</f>
        <v>20967.758051597473</v>
      </c>
      <c r="F148" s="18">
        <f>Haver!M158</f>
        <v>100.35000000000001</v>
      </c>
      <c r="G148" s="18">
        <f>Haver!N158</f>
        <v>240.60733333333329</v>
      </c>
      <c r="H148" s="7">
        <f>UK_HAVER!E160</f>
        <v>100.81173562190465</v>
      </c>
      <c r="I148" s="13">
        <f>reconstruct_levels_ch!D148</f>
        <v>88.758845452187458</v>
      </c>
      <c r="J148" s="13">
        <f>AWM!C188</f>
        <v>-0.29812585482150694</v>
      </c>
      <c r="K148" s="7">
        <f>Haver!H158</f>
        <v>0.5</v>
      </c>
      <c r="L148" s="7">
        <f>UK_HAVER!D160</f>
        <v>0.34333333333333332</v>
      </c>
      <c r="M148" s="7">
        <f>Haver!I158</f>
        <v>4.3</v>
      </c>
      <c r="N148" s="7">
        <f>Haver!J158</f>
        <v>0.89572693465821307</v>
      </c>
      <c r="O148" s="7">
        <f>1/UK_HAVER!F160</f>
        <v>0.76190476190476186</v>
      </c>
      <c r="P148" s="28">
        <f>1/ '[2]Exchange rate'!$C153</f>
        <v>8.4844628274472374E-3</v>
      </c>
      <c r="Q148" s="7">
        <f>Haver!Q158</f>
        <v>13.26</v>
      </c>
      <c r="R148" s="7">
        <f>Haver!R158</f>
        <v>45.786666666666669</v>
      </c>
      <c r="S148" s="7">
        <f>Mater_Q!B149</f>
        <v>-6.9666666666666655E-2</v>
      </c>
    </row>
    <row r="149" spans="1:19" x14ac:dyDescent="0.35">
      <c r="A149" s="4">
        <v>42705</v>
      </c>
      <c r="B149" s="7">
        <f>Haver!C159</f>
        <v>2949695.5</v>
      </c>
      <c r="C149" s="7">
        <f>Haver!D159</f>
        <v>4826.1000000000004</v>
      </c>
      <c r="D149" s="7">
        <f>UK_HAVER!C161</f>
        <v>636392</v>
      </c>
      <c r="E149" s="30">
        <f>reconstruct_levels_ch!I149</f>
        <v>21364.62156764391</v>
      </c>
      <c r="F149" s="18">
        <f>Haver!M159</f>
        <v>100.82333333333334</v>
      </c>
      <c r="G149" s="18">
        <f>Haver!N159</f>
        <v>242.13466666666667</v>
      </c>
      <c r="H149" s="7">
        <f>UK_HAVER!E161</f>
        <v>101.35648503702053</v>
      </c>
      <c r="I149" s="13">
        <f>reconstruct_levels_ch!D149</f>
        <v>89.099527710090484</v>
      </c>
      <c r="J149" s="13">
        <f>AWM!C189</f>
        <v>-0.31248124098124092</v>
      </c>
      <c r="K149" s="7">
        <f>Haver!H159</f>
        <v>0.75</v>
      </c>
      <c r="L149" s="7">
        <f>UK_HAVER!D161</f>
        <v>0.25</v>
      </c>
      <c r="M149" s="7">
        <f>Haver!I159</f>
        <v>4.3</v>
      </c>
      <c r="N149" s="7">
        <f>Haver!J159</f>
        <v>0.92684418822351777</v>
      </c>
      <c r="O149" s="7">
        <f>1/UK_HAVER!F161</f>
        <v>0.80547724526782116</v>
      </c>
      <c r="P149" s="28">
        <f>1/ '[2]Exchange rate'!$C154</f>
        <v>8.4499996620000135E-3</v>
      </c>
      <c r="Q149" s="7">
        <f>Haver!Q159</f>
        <v>14.1</v>
      </c>
      <c r="R149" s="7">
        <f>Haver!R159</f>
        <v>49.186666666666667</v>
      </c>
      <c r="S149" s="7">
        <f>Mater_Q!B150</f>
        <v>0.18966666666666665</v>
      </c>
    </row>
    <row r="150" spans="1:19" x14ac:dyDescent="0.35">
      <c r="A150" s="4">
        <v>42795</v>
      </c>
      <c r="B150" s="7">
        <f>Haver!C160</f>
        <v>2973685.1</v>
      </c>
      <c r="C150" s="7">
        <f>Haver!D160</f>
        <v>4849.6000000000004</v>
      </c>
      <c r="D150" s="7">
        <f>UK_HAVER!C162</f>
        <v>642463</v>
      </c>
      <c r="E150" s="30">
        <f>reconstruct_levels_ch!I150</f>
        <v>21759.241386084548</v>
      </c>
      <c r="F150" s="18">
        <f>Haver!M160</f>
        <v>101.49666666666667</v>
      </c>
      <c r="G150" s="18">
        <f>Haver!N160</f>
        <v>243.83866666666668</v>
      </c>
      <c r="H150" s="7">
        <f>UK_HAVER!E162</f>
        <v>102.29046053906254</v>
      </c>
      <c r="I150" s="13">
        <f>reconstruct_levels_ch!D150</f>
        <v>89.314201898075339</v>
      </c>
      <c r="J150" s="13">
        <f>AWM!C190</f>
        <v>-0.32783109354413703</v>
      </c>
      <c r="K150" s="7">
        <f>Haver!H160</f>
        <v>1</v>
      </c>
      <c r="L150" s="7">
        <f>UK_HAVER!D162</f>
        <v>0.25</v>
      </c>
      <c r="M150" s="7">
        <f>Haver!I160</f>
        <v>4.3</v>
      </c>
      <c r="N150" s="7">
        <f>Haver!J160</f>
        <v>0.93920936103708752</v>
      </c>
      <c r="O150" s="7">
        <f>1/UK_HAVER!F162</f>
        <v>0.80625655083447545</v>
      </c>
      <c r="P150" s="28">
        <f>1/ '[2]Exchange rate'!$C155</f>
        <v>8.4607737377583175E-3</v>
      </c>
      <c r="Q150" s="7">
        <f>Haver!Q160</f>
        <v>11.68</v>
      </c>
      <c r="R150" s="7">
        <f>Haver!R160</f>
        <v>53.68</v>
      </c>
      <c r="S150" s="7">
        <f>Mater_Q!B151</f>
        <v>0.35366666666666663</v>
      </c>
    </row>
    <row r="151" spans="1:19" x14ac:dyDescent="0.35">
      <c r="A151" s="4">
        <v>42887</v>
      </c>
      <c r="B151" s="7">
        <f>Haver!C161</f>
        <v>2993152.8</v>
      </c>
      <c r="C151" s="7">
        <f>Haver!D161</f>
        <v>4876.7</v>
      </c>
      <c r="D151" s="7">
        <f>UK_HAVER!C163</f>
        <v>647944</v>
      </c>
      <c r="E151" s="30">
        <f>reconstruct_levels_ch!I151</f>
        <v>22082.545258783724</v>
      </c>
      <c r="F151" s="18">
        <f>Haver!M161</f>
        <v>101.56</v>
      </c>
      <c r="G151" s="18">
        <f>Haver!N161</f>
        <v>244.12</v>
      </c>
      <c r="H151" s="7">
        <f>UK_HAVER!E163</f>
        <v>103.08881582386071</v>
      </c>
      <c r="I151" s="13">
        <f>reconstruct_levels_ch!D151</f>
        <v>89.825469548725266</v>
      </c>
      <c r="J151" s="13">
        <f>AWM!C191</f>
        <v>-0.32994781144781143</v>
      </c>
      <c r="K151" s="7">
        <f>Haver!H161</f>
        <v>1.25</v>
      </c>
      <c r="L151" s="7">
        <f>UK_HAVER!D163</f>
        <v>0.25</v>
      </c>
      <c r="M151" s="7">
        <f>Haver!I161</f>
        <v>4.3</v>
      </c>
      <c r="N151" s="7">
        <f>Haver!J161</f>
        <v>0.90882597254982023</v>
      </c>
      <c r="O151" s="7">
        <f>1/UK_HAVER!F163</f>
        <v>0.7816978477252593</v>
      </c>
      <c r="P151" s="28">
        <f>1/ '[2]Exchange rate'!$C156</f>
        <v>8.6009223629141991E-3</v>
      </c>
      <c r="Q151" s="7">
        <f>Haver!Q161</f>
        <v>11.503333333333332</v>
      </c>
      <c r="R151" s="7">
        <f>Haver!R161</f>
        <v>49.669999999999995</v>
      </c>
      <c r="S151" s="7">
        <f>Mater_Q!B152</f>
        <v>0.30533333333333329</v>
      </c>
    </row>
    <row r="152" spans="1:19" x14ac:dyDescent="0.35">
      <c r="A152" s="4">
        <v>42979</v>
      </c>
      <c r="B152" s="7">
        <f>Haver!C162</f>
        <v>3015177.6</v>
      </c>
      <c r="C152" s="7">
        <f>Haver!D162</f>
        <v>4915.2</v>
      </c>
      <c r="D152" s="7">
        <f>UK_HAVER!C164</f>
        <v>652329</v>
      </c>
      <c r="E152" s="30">
        <f>reconstruct_levels_ch!I152</f>
        <v>22383.544692265001</v>
      </c>
      <c r="F152" s="18">
        <f>Haver!M162</f>
        <v>101.77</v>
      </c>
      <c r="G152" s="18">
        <f>Haver!N162</f>
        <v>245.28700000000001</v>
      </c>
      <c r="H152" s="7">
        <f>UK_HAVER!E164</f>
        <v>103.61567764583282</v>
      </c>
      <c r="I152" s="13">
        <f>reconstruct_levels_ch!D152</f>
        <v>90.193343309580584</v>
      </c>
      <c r="J152" s="13">
        <f>AWM!C192</f>
        <v>-0.3296321601104209</v>
      </c>
      <c r="K152" s="7">
        <f>Haver!H162</f>
        <v>1.25</v>
      </c>
      <c r="L152" s="7">
        <f>UK_HAVER!D164</f>
        <v>0.25</v>
      </c>
      <c r="M152" s="7">
        <f>Haver!I162</f>
        <v>4.3</v>
      </c>
      <c r="N152" s="7">
        <f>Haver!J162</f>
        <v>0.85148776199214082</v>
      </c>
      <c r="O152" s="7">
        <f>1/UK_HAVER!F164</f>
        <v>0.7635919364691508</v>
      </c>
      <c r="P152" s="28">
        <f>1/ '[2]Exchange rate'!$C157</f>
        <v>8.5372527291462663E-3</v>
      </c>
      <c r="Q152" s="7">
        <f>Haver!Q162</f>
        <v>10.893333333333333</v>
      </c>
      <c r="R152" s="7">
        <f>Haver!R162</f>
        <v>52.110000000000007</v>
      </c>
      <c r="S152" s="7">
        <f>Mater_Q!B153</f>
        <v>0.45400000000000001</v>
      </c>
    </row>
    <row r="153" spans="1:19" x14ac:dyDescent="0.35">
      <c r="A153" s="4">
        <v>43070</v>
      </c>
      <c r="B153" s="7">
        <f>Haver!C163</f>
        <v>3039729.9</v>
      </c>
      <c r="C153" s="7">
        <f>Haver!D163</f>
        <v>4970.6000000000004</v>
      </c>
      <c r="D153" s="7">
        <f>UK_HAVER!C165</f>
        <v>657225</v>
      </c>
      <c r="E153" s="30">
        <f>reconstruct_levels_ch!I153</f>
        <v>22815.599170778249</v>
      </c>
      <c r="F153" s="18">
        <f>Haver!M163</f>
        <v>102.27333333333333</v>
      </c>
      <c r="G153" s="18">
        <f>Haver!N163</f>
        <v>247.23833333333332</v>
      </c>
      <c r="H153" s="7">
        <f>UK_HAVER!E165</f>
        <v>104.43403668134135</v>
      </c>
      <c r="I153" s="13">
        <f>reconstruct_levels_ch!D153</f>
        <v>90.645455786500037</v>
      </c>
      <c r="J153" s="13">
        <f>AWM!C193</f>
        <v>-0.32881339712918661</v>
      </c>
      <c r="K153" s="7">
        <f>Haver!H163</f>
        <v>1.5</v>
      </c>
      <c r="L153" s="7">
        <f>UK_HAVER!D165</f>
        <v>0.41333333333333333</v>
      </c>
      <c r="M153" s="7">
        <f>Haver!I163</f>
        <v>4.3</v>
      </c>
      <c r="N153" s="7">
        <f>Haver!J163</f>
        <v>0.84913502860311341</v>
      </c>
      <c r="O153" s="7">
        <f>1/UK_HAVER!F165</f>
        <v>0.75333350074077787</v>
      </c>
      <c r="P153" s="28">
        <f>1/ '[2]Exchange rate'!$C158</f>
        <v>8.4427941596127119E-3</v>
      </c>
      <c r="Q153" s="7">
        <f>Haver!Q163</f>
        <v>10.31</v>
      </c>
      <c r="R153" s="7">
        <f>Haver!R163</f>
        <v>61.53</v>
      </c>
      <c r="S153" s="7">
        <f>Mater_Q!B154</f>
        <v>0.38100000000000001</v>
      </c>
    </row>
    <row r="154" spans="1:19" x14ac:dyDescent="0.35">
      <c r="A154" s="4">
        <v>43160</v>
      </c>
      <c r="B154" s="7">
        <f>Haver!C164</f>
        <v>3041095.9</v>
      </c>
      <c r="C154" s="7">
        <f>Haver!D164</f>
        <v>5011</v>
      </c>
      <c r="D154" s="7">
        <f>UK_HAVER!C166</f>
        <v>657741</v>
      </c>
      <c r="E154" s="30">
        <f>reconstruct_levels_ch!I154</f>
        <v>23299.479703762838</v>
      </c>
      <c r="F154" s="18">
        <f>Haver!M164</f>
        <v>102.78666666666668</v>
      </c>
      <c r="G154" s="18">
        <f>Haver!N164</f>
        <v>249.32166666666669</v>
      </c>
      <c r="H154" s="7">
        <f>UK_HAVER!E166</f>
        <v>105.07304187554411</v>
      </c>
      <c r="I154" s="13">
        <f>reconstruct_levels_ch!D154</f>
        <v>91.192693468896024</v>
      </c>
      <c r="J154" s="13">
        <f>AWM!C194</f>
        <v>-0.32828643578643579</v>
      </c>
      <c r="K154" s="7">
        <f>Haver!H164</f>
        <v>1.75</v>
      </c>
      <c r="L154" s="7">
        <f>UK_HAVER!D166</f>
        <v>0.5</v>
      </c>
      <c r="M154" s="7">
        <f>Haver!I164</f>
        <v>4.3</v>
      </c>
      <c r="N154" s="7">
        <f>Haver!J164</f>
        <v>0.81337205345806474</v>
      </c>
      <c r="O154" s="7">
        <f>1/UK_HAVER!F166</f>
        <v>0.71837360216469914</v>
      </c>
      <c r="P154" s="28">
        <f>1/ '[2]Exchange rate'!$C159</f>
        <v>8.347656520646677E-3</v>
      </c>
      <c r="Q154" s="7">
        <f>Haver!Q164</f>
        <v>17.513333333333335</v>
      </c>
      <c r="R154" s="7">
        <f>Haver!R164</f>
        <v>66.806666666666658</v>
      </c>
      <c r="S154" s="7">
        <f>Mater_Q!B155</f>
        <v>0.6196666666666667</v>
      </c>
    </row>
    <row r="155" spans="1:19" x14ac:dyDescent="0.35">
      <c r="A155" s="4">
        <v>43252</v>
      </c>
      <c r="B155" s="7">
        <f>Haver!C165</f>
        <v>3056525.3</v>
      </c>
      <c r="C155" s="7">
        <f>Haver!D165</f>
        <v>5037.6000000000004</v>
      </c>
      <c r="D155" s="7">
        <f>UK_HAVER!C167</f>
        <v>659172</v>
      </c>
      <c r="E155" s="30">
        <f>reconstruct_levels_ch!I155</f>
        <v>23600.898306125026</v>
      </c>
      <c r="F155" s="18">
        <f>Haver!M165</f>
        <v>103.32666666666667</v>
      </c>
      <c r="G155" s="18">
        <f>Haver!N165</f>
        <v>250.679</v>
      </c>
      <c r="H155" s="7">
        <f>UK_HAVER!E167</f>
        <v>105.58061487492856</v>
      </c>
      <c r="I155" s="13">
        <f>reconstruct_levels_ch!D155</f>
        <v>91.541662569036291</v>
      </c>
      <c r="J155" s="13">
        <f>AWM!C195</f>
        <v>-0.32524163059163058</v>
      </c>
      <c r="K155" s="7">
        <f>Haver!H165</f>
        <v>2</v>
      </c>
      <c r="L155" s="7">
        <f>UK_HAVER!D167</f>
        <v>0.5</v>
      </c>
      <c r="M155" s="7">
        <f>Haver!I165</f>
        <v>4.3099999999999996</v>
      </c>
      <c r="N155" s="7">
        <f>Haver!J165</f>
        <v>0.83876620845800665</v>
      </c>
      <c r="O155" s="7">
        <f>1/UK_HAVER!F167</f>
        <v>0.73451999118576017</v>
      </c>
      <c r="P155" s="28">
        <f>1/ '[2]Exchange rate'!$C160</f>
        <v>8.1965130394227679E-3</v>
      </c>
      <c r="Q155" s="7">
        <f>Haver!Q165</f>
        <v>15.356666666666667</v>
      </c>
      <c r="R155" s="7">
        <f>Haver!R165</f>
        <v>74.49666666666667</v>
      </c>
      <c r="S155" s="7">
        <f>Mater_Q!B156</f>
        <v>0.48500000000000004</v>
      </c>
    </row>
    <row r="156" spans="1:19" x14ac:dyDescent="0.35">
      <c r="A156" s="4">
        <v>43344</v>
      </c>
      <c r="B156" s="7">
        <f>Haver!C166</f>
        <v>3059122.1</v>
      </c>
      <c r="C156" s="7">
        <f>Haver!D166</f>
        <v>5069.1000000000004</v>
      </c>
      <c r="D156" s="7">
        <f>UK_HAVER!C168</f>
        <v>661262</v>
      </c>
      <c r="E156" s="30">
        <f>reconstruct_levels_ch!I156</f>
        <v>23858.831513655103</v>
      </c>
      <c r="F156" s="18">
        <f>Haver!M166</f>
        <v>103.89666666666666</v>
      </c>
      <c r="G156" s="18">
        <f>Haver!N166</f>
        <v>251.68633333333332</v>
      </c>
      <c r="H156" s="7">
        <f>UK_HAVER!E168</f>
        <v>106.20129696681755</v>
      </c>
      <c r="I156" s="13">
        <f>reconstruct_levels_ch!D156</f>
        <v>92.297493909439368</v>
      </c>
      <c r="J156" s="13">
        <f>AWM!C196</f>
        <v>-0.31952575757575752</v>
      </c>
      <c r="K156" s="7">
        <f>Haver!H166</f>
        <v>2.25</v>
      </c>
      <c r="L156" s="7">
        <f>UK_HAVER!D168</f>
        <v>0.66333333333333333</v>
      </c>
      <c r="M156" s="7">
        <f>Haver!I166</f>
        <v>4.3099999999999996</v>
      </c>
      <c r="N156" s="7">
        <f>Haver!J166</f>
        <v>0.85976169125441804</v>
      </c>
      <c r="O156" s="7">
        <f>1/UK_HAVER!F168</f>
        <v>0.76714570654119563</v>
      </c>
      <c r="P156" s="28">
        <f>1/ '[2]Exchange rate'!$C161</f>
        <v>8.5130726743988076E-3</v>
      </c>
      <c r="Q156" s="7">
        <f>Haver!Q166</f>
        <v>12.87</v>
      </c>
      <c r="R156" s="7">
        <f>Haver!R166</f>
        <v>75.193333333333328</v>
      </c>
      <c r="S156" s="7">
        <f>Mater_Q!B157</f>
        <v>0.38666666666666666</v>
      </c>
    </row>
    <row r="157" spans="1:19" x14ac:dyDescent="0.35">
      <c r="A157" s="4">
        <v>43435</v>
      </c>
      <c r="B157" s="7">
        <f>Haver!C167</f>
        <v>3075473.6</v>
      </c>
      <c r="C157" s="7">
        <f>Haver!D167</f>
        <v>5076.2</v>
      </c>
      <c r="D157" s="7">
        <f>UK_HAVER!C169</f>
        <v>662120</v>
      </c>
      <c r="E157" s="30">
        <f>reconstruct_levels_ch!I157</f>
        <v>24277.348067306688</v>
      </c>
      <c r="F157" s="18">
        <f>Haver!M167</f>
        <v>104.25</v>
      </c>
      <c r="G157" s="18">
        <f>Haver!N167</f>
        <v>252.71100000000001</v>
      </c>
      <c r="H157" s="7">
        <f>UK_HAVER!E169</f>
        <v>106.80280799919188</v>
      </c>
      <c r="I157" s="13">
        <f>reconstruct_levels_ch!D157</f>
        <v>92.585905034842654</v>
      </c>
      <c r="J157" s="13">
        <f>AWM!C197</f>
        <v>-0.31531800845988472</v>
      </c>
      <c r="K157" s="7">
        <f>Haver!H167</f>
        <v>2.5</v>
      </c>
      <c r="L157" s="7">
        <f>UK_HAVER!D169</f>
        <v>0.75</v>
      </c>
      <c r="M157" s="7">
        <f>Haver!I167</f>
        <v>4.3099999999999996</v>
      </c>
      <c r="N157" s="7">
        <f>Haver!J167</f>
        <v>0.87629337250559436</v>
      </c>
      <c r="O157" s="7">
        <f>1/UK_HAVER!F169</f>
        <v>0.77768560763168815</v>
      </c>
      <c r="P157" s="28">
        <f>1/ '[2]Exchange rate'!$C162</f>
        <v>8.5569624152539835E-3</v>
      </c>
      <c r="Q157" s="7">
        <f>Haver!Q167</f>
        <v>21.23</v>
      </c>
      <c r="R157" s="7">
        <f>Haver!R167</f>
        <v>67.713333333333324</v>
      </c>
      <c r="S157" s="7">
        <f>Mater_Q!B158</f>
        <v>0.36533333333333334</v>
      </c>
    </row>
    <row r="158" spans="1:19" x14ac:dyDescent="0.35">
      <c r="A158" s="4">
        <v>43525</v>
      </c>
      <c r="B158" s="7">
        <f>Haver!C168</f>
        <v>3098367.5</v>
      </c>
      <c r="C158" s="7">
        <f>Haver!D168</f>
        <v>5107.8999999999996</v>
      </c>
      <c r="D158" s="7">
        <f>UK_HAVER!C170</f>
        <v>665456</v>
      </c>
      <c r="E158" s="30">
        <f>reconstruct_levels_ch!I158</f>
        <v>24828.000706458024</v>
      </c>
      <c r="F158" s="18">
        <f>Haver!M168</f>
        <v>104.19</v>
      </c>
      <c r="G158" s="18">
        <f>Haver!N168</f>
        <v>253.38566666666665</v>
      </c>
      <c r="H158" s="7">
        <f>UK_HAVER!E170</f>
        <v>107.04181610213963</v>
      </c>
      <c r="I158" s="13">
        <f>reconstruct_levels_ch!D158</f>
        <v>92.810877406829917</v>
      </c>
      <c r="J158" s="13">
        <f>AWM!C198</f>
        <v>-0.30854682539682532</v>
      </c>
      <c r="K158" s="7">
        <f>Haver!H168</f>
        <v>2.5</v>
      </c>
      <c r="L158" s="7">
        <f>UK_HAVER!D170</f>
        <v>0.75</v>
      </c>
      <c r="M158" s="7">
        <f>Haver!I168</f>
        <v>4.3099999999999996</v>
      </c>
      <c r="N158" s="7">
        <f>Haver!J168</f>
        <v>0.88053903077307816</v>
      </c>
      <c r="O158" s="7">
        <f>1/UK_HAVER!F170</f>
        <v>0.76757752533005819</v>
      </c>
      <c r="P158" s="28">
        <f>1/ '[2]Exchange rate'!$C163</f>
        <v>8.4108321424996822E-3</v>
      </c>
      <c r="Q158" s="7">
        <f>Haver!Q168</f>
        <v>16.43</v>
      </c>
      <c r="R158" s="7">
        <f>Haver!R168</f>
        <v>63.169999999999995</v>
      </c>
      <c r="S158" s="7">
        <f>Mater_Q!B159</f>
        <v>0.13299999999999998</v>
      </c>
    </row>
    <row r="159" spans="1:19" x14ac:dyDescent="0.35">
      <c r="A159" s="4">
        <v>43617</v>
      </c>
      <c r="B159" s="7">
        <f>Haver!C169</f>
        <v>3109048.6</v>
      </c>
      <c r="C159" s="7">
        <f>Haver!D169</f>
        <v>5150.6000000000004</v>
      </c>
      <c r="D159" s="7">
        <f>UK_HAVER!C171</f>
        <v>666875</v>
      </c>
      <c r="E159" s="30">
        <f>reconstruct_levels_ch!I159</f>
        <v>25047.411738258612</v>
      </c>
      <c r="F159" s="18">
        <f>Haver!M169</f>
        <v>104.74000000000001</v>
      </c>
      <c r="G159" s="18">
        <f>Haver!N169</f>
        <v>255.24733333333333</v>
      </c>
      <c r="H159" s="7">
        <f>UK_HAVER!E171</f>
        <v>107.67447576862133</v>
      </c>
      <c r="I159" s="13">
        <f>reconstruct_levels_ch!D159</f>
        <v>94.007195123835359</v>
      </c>
      <c r="J159" s="13">
        <f>AWM!C199</f>
        <v>-0.31707121212121209</v>
      </c>
      <c r="K159" s="7">
        <f>Haver!H169</f>
        <v>2.5</v>
      </c>
      <c r="L159" s="7">
        <f>UK_HAVER!D171</f>
        <v>0.75</v>
      </c>
      <c r="M159" s="7">
        <f>Haver!I169</f>
        <v>4.3099999999999996</v>
      </c>
      <c r="N159" s="7">
        <f>Haver!J169</f>
        <v>0.88977893145854925</v>
      </c>
      <c r="O159" s="7">
        <f>1/UK_HAVER!F171</f>
        <v>0.77802847584221579</v>
      </c>
      <c r="P159" s="28">
        <f>1/ '[2]Exchange rate'!$C164</f>
        <v>8.4257497653428687E-3</v>
      </c>
      <c r="Q159" s="7">
        <f>Haver!Q169</f>
        <v>15.17</v>
      </c>
      <c r="R159" s="7">
        <f>Haver!R169</f>
        <v>68.923333333333332</v>
      </c>
      <c r="S159" s="7">
        <f>Mater_Q!B160</f>
        <v>-0.11266666666666668</v>
      </c>
    </row>
    <row r="160" spans="1:19" x14ac:dyDescent="0.35">
      <c r="A160" s="4">
        <v>43709</v>
      </c>
      <c r="B160" s="7">
        <f>Haver!C170</f>
        <v>3114974.1</v>
      </c>
      <c r="C160" s="7">
        <f>Haver!D170</f>
        <v>5210.8</v>
      </c>
      <c r="D160" s="7">
        <f>UK_HAVER!C172</f>
        <v>670547</v>
      </c>
      <c r="E160" s="30">
        <f>reconstruct_levels_ch!I160</f>
        <v>25289.214628439047</v>
      </c>
      <c r="F160" s="18">
        <f>Haver!M170</f>
        <v>104.96999999999998</v>
      </c>
      <c r="G160" s="18">
        <f>Haver!N170</f>
        <v>256.08933333333334</v>
      </c>
      <c r="H160" s="7">
        <f>UK_HAVER!E172</f>
        <v>108.17767866865314</v>
      </c>
      <c r="I160" s="13">
        <f>reconstruct_levels_ch!D160</f>
        <v>94.938535565220349</v>
      </c>
      <c r="J160" s="13">
        <f>AWM!C200</f>
        <v>-0.39670760399021265</v>
      </c>
      <c r="K160" s="7">
        <f>Haver!H170</f>
        <v>2</v>
      </c>
      <c r="L160" s="7">
        <f>UK_HAVER!D172</f>
        <v>0.75</v>
      </c>
      <c r="M160" s="7">
        <f>Haver!I170</f>
        <v>4.2</v>
      </c>
      <c r="N160" s="7">
        <f>Haver!J170</f>
        <v>0.89959014672915028</v>
      </c>
      <c r="O160" s="7">
        <f>1/UK_HAVER!F172</f>
        <v>0.81103000811030013</v>
      </c>
      <c r="P160" s="28">
        <f>1/ '[2]Exchange rate'!$C165</f>
        <v>8.6349074769663837E-3</v>
      </c>
      <c r="Q160" s="7">
        <f>Haver!Q170</f>
        <v>15.950000000000001</v>
      </c>
      <c r="R160" s="7">
        <f>Haver!R170</f>
        <v>61.893333333333338</v>
      </c>
      <c r="S160" s="7">
        <f>Mater_Q!B161</f>
        <v>-0.5099999999999999</v>
      </c>
    </row>
    <row r="161" spans="1:19" x14ac:dyDescent="0.35">
      <c r="A161" s="4">
        <v>43800</v>
      </c>
      <c r="B161" s="7">
        <f>Haver!C171</f>
        <v>3111644.4</v>
      </c>
      <c r="C161" s="7">
        <f>Haver!D171</f>
        <v>5246.4</v>
      </c>
      <c r="D161" s="7">
        <f>UK_HAVER!C173</f>
        <v>670587</v>
      </c>
      <c r="E161" s="30">
        <f>reconstruct_levels_ch!I161</f>
        <v>25666.018237795452</v>
      </c>
      <c r="F161" s="18">
        <f>Haver!M171</f>
        <v>105.30666666666667</v>
      </c>
      <c r="G161" s="18">
        <f>Haver!N171</f>
        <v>257.88799999999998</v>
      </c>
      <c r="H161" s="7">
        <f>UK_HAVER!E173</f>
        <v>108.28180654106582</v>
      </c>
      <c r="I161" s="13">
        <f>reconstruct_levels_ch!D161</f>
        <v>96.525678860308616</v>
      </c>
      <c r="J161" s="13">
        <f>AWM!C201</f>
        <v>-0.40295175983436843</v>
      </c>
      <c r="K161" s="7">
        <f>Haver!H171</f>
        <v>1.75</v>
      </c>
      <c r="L161" s="7">
        <f>UK_HAVER!D173</f>
        <v>0.75</v>
      </c>
      <c r="M161" s="7">
        <f>Haver!I171</f>
        <v>4.1500000000000004</v>
      </c>
      <c r="N161" s="7">
        <f>Haver!J171</f>
        <v>0.90315281616595366</v>
      </c>
      <c r="O161" s="7">
        <f>1/UK_HAVER!F173</f>
        <v>0.77619663648124193</v>
      </c>
      <c r="P161" s="28">
        <f>1/ '[2]Exchange rate'!$C166</f>
        <v>8.6706580595934321E-3</v>
      </c>
      <c r="Q161" s="7">
        <f>Haver!Q171</f>
        <v>13.916666666666666</v>
      </c>
      <c r="R161" s="7">
        <f>Haver!R171</f>
        <v>63.316666666666663</v>
      </c>
      <c r="S161" s="7">
        <f>Mater_Q!B162</f>
        <v>-0.34833333333333333</v>
      </c>
    </row>
    <row r="162" spans="1:19" x14ac:dyDescent="0.35">
      <c r="A162" s="4">
        <v>43891</v>
      </c>
      <c r="B162" s="7">
        <f>Haver!C172</f>
        <v>3011610.3</v>
      </c>
      <c r="C162" s="7">
        <f>Haver!D172</f>
        <v>5177.3</v>
      </c>
      <c r="D162" s="7">
        <f>UK_HAVER!C174</f>
        <v>652180</v>
      </c>
      <c r="E162" s="30">
        <f>reconstruct_levels_ch!I162</f>
        <v>23167.167502258464</v>
      </c>
      <c r="F162" s="18">
        <f>Haver!M172</f>
        <v>105.36</v>
      </c>
      <c r="G162" s="18">
        <f>Haver!N172</f>
        <v>258.81766666666664</v>
      </c>
      <c r="H162" s="7">
        <f>UK_HAVER!E174</f>
        <v>108.88758793832189</v>
      </c>
      <c r="I162" s="13">
        <f>reconstruct_levels_ch!D162</f>
        <v>97.433028267558612</v>
      </c>
      <c r="J162" s="13">
        <f>AWM!C202</f>
        <v>-0.40554090909090901</v>
      </c>
      <c r="K162" s="7">
        <f>Haver!H172</f>
        <v>0.25</v>
      </c>
      <c r="L162" s="7">
        <f>UK_HAVER!D174</f>
        <v>0.6166666666666667</v>
      </c>
      <c r="M162" s="7">
        <f>Haver!I172</f>
        <v>4.05</v>
      </c>
      <c r="N162" s="7">
        <f>Haver!J172</f>
        <v>0.90720035852558156</v>
      </c>
      <c r="O162" s="7">
        <f>1/UK_HAVER!F174</f>
        <v>0.7812906922235533</v>
      </c>
      <c r="P162" s="28">
        <f>1/ '[2]Exchange rate'!$C167</f>
        <v>8.5140656621771997E-3</v>
      </c>
      <c r="Q162" s="7">
        <f>Haver!Q172</f>
        <v>30.436666666666667</v>
      </c>
      <c r="R162" s="7">
        <f>Haver!R172</f>
        <v>50.423333333333325</v>
      </c>
      <c r="S162" s="7">
        <f>Mater_Q!B163</f>
        <v>-0.40533333333333332</v>
      </c>
    </row>
    <row r="163" spans="1:19" x14ac:dyDescent="0.35">
      <c r="A163" s="4">
        <v>43983</v>
      </c>
      <c r="B163" s="7">
        <f>Haver!C173</f>
        <v>2677667.5</v>
      </c>
      <c r="C163" s="7">
        <f>Haver!D173</f>
        <v>4769.5</v>
      </c>
      <c r="D163" s="7">
        <f>UK_HAVER!C175</f>
        <v>522356</v>
      </c>
      <c r="E163" s="30">
        <f>reconstruct_levels_ch!I163</f>
        <v>25919.110721145902</v>
      </c>
      <c r="F163" s="18">
        <f>Haver!M173</f>
        <v>104.95666666666666</v>
      </c>
      <c r="G163" s="18">
        <f>Haver!N173</f>
        <v>256.29199999999997</v>
      </c>
      <c r="H163" s="7">
        <f>UK_HAVER!E175</f>
        <v>108.32328721819576</v>
      </c>
      <c r="I163" s="13">
        <f>reconstruct_levels_ch!D163</f>
        <v>96.571134481101936</v>
      </c>
      <c r="J163" s="13">
        <f>AWM!C203</f>
        <v>-0.30066666666666669</v>
      </c>
      <c r="K163" s="7">
        <f>Haver!H173</f>
        <v>0.25</v>
      </c>
      <c r="L163" s="7">
        <f>UK_HAVER!D175</f>
        <v>0.10000000000000002</v>
      </c>
      <c r="M163" s="7">
        <f>Haver!I173</f>
        <v>3.85</v>
      </c>
      <c r="N163" s="7">
        <f>Haver!J173</f>
        <v>0.90858595556287802</v>
      </c>
      <c r="O163" s="7">
        <f>1/UK_HAVER!F175</f>
        <v>0.80547724526782116</v>
      </c>
      <c r="P163" s="28">
        <f>1/ '[2]Exchange rate'!$C168</f>
        <v>8.4989423066299408E-3</v>
      </c>
      <c r="Q163" s="7">
        <f>Haver!Q173</f>
        <v>34.49</v>
      </c>
      <c r="R163" s="7">
        <f>Haver!R173</f>
        <v>29.343333333333334</v>
      </c>
      <c r="S163" s="7">
        <f>Mater_Q!B164</f>
        <v>-0.44366666666666665</v>
      </c>
    </row>
    <row r="164" spans="1:19" x14ac:dyDescent="0.35">
      <c r="A164" s="4">
        <v>44075</v>
      </c>
      <c r="B164" s="7">
        <f>Haver!C174</f>
        <v>2984332.5</v>
      </c>
      <c r="C164" s="7">
        <f>Haver!D174</f>
        <v>5139.7</v>
      </c>
      <c r="D164" s="7">
        <f>UK_HAVER!C176</f>
        <v>610972</v>
      </c>
      <c r="E164" s="30">
        <f>reconstruct_levels_ch!I164</f>
        <v>26584.439518108913</v>
      </c>
      <c r="F164" s="18">
        <f>Haver!M174</f>
        <v>104.89666666666666</v>
      </c>
      <c r="G164" s="18">
        <f>Haver!N174</f>
        <v>259.22166666666664</v>
      </c>
      <c r="H164" s="7">
        <f>UK_HAVER!E176</f>
        <v>108.87057585463407</v>
      </c>
      <c r="I164" s="13">
        <f>reconstruct_levels_ch!D164</f>
        <v>97.019519401084111</v>
      </c>
      <c r="J164" s="13">
        <f>AWM!C204</f>
        <v>-0.47173611895351025</v>
      </c>
      <c r="K164" s="7">
        <f>Haver!H174</f>
        <v>0.25</v>
      </c>
      <c r="L164" s="7">
        <f>UK_HAVER!D176</f>
        <v>0.10000000000000002</v>
      </c>
      <c r="M164" s="7">
        <f>Haver!I174</f>
        <v>3.85</v>
      </c>
      <c r="N164" s="7">
        <f>Haver!J174</f>
        <v>0.85509307688141845</v>
      </c>
      <c r="O164" s="7">
        <f>1/UK_HAVER!F176</f>
        <v>0.77337526745894658</v>
      </c>
      <c r="P164" s="28">
        <f>1/ '[2]Exchange rate'!$C169</f>
        <v>8.5303852321970859E-3</v>
      </c>
      <c r="Q164" s="7">
        <f>Haver!Q174</f>
        <v>25.793333333333333</v>
      </c>
      <c r="R164" s="7">
        <f>Haver!R174</f>
        <v>42.963333333333331</v>
      </c>
      <c r="S164" s="7">
        <f>Mater_Q!B165</f>
        <v>-0.47333333333333333</v>
      </c>
    </row>
    <row r="165" spans="1:19" x14ac:dyDescent="0.35">
      <c r="A165" s="4">
        <v>44166</v>
      </c>
      <c r="B165" s="7">
        <f>Haver!C175</f>
        <v>2995715.3</v>
      </c>
      <c r="C165" s="7">
        <f>Haver!D175</f>
        <v>5198</v>
      </c>
      <c r="D165" s="7">
        <f>UK_HAVER!C177</f>
        <v>619330</v>
      </c>
      <c r="E165" s="30">
        <f>reconstruct_levels_ch!I165</f>
        <v>27329.231033429358</v>
      </c>
      <c r="F165" s="18">
        <f>Haver!M175</f>
        <v>105.04333333333334</v>
      </c>
      <c r="G165" s="18">
        <f>Haver!N175</f>
        <v>261.0916666666667</v>
      </c>
      <c r="H165" s="7">
        <f>UK_HAVER!E177</f>
        <v>108.90818692640312</v>
      </c>
      <c r="I165" s="13">
        <f>reconstruct_levels_ch!D165</f>
        <v>96.585197138482727</v>
      </c>
      <c r="J165" s="13">
        <f>AWM!C205</f>
        <v>-0.52269480519480516</v>
      </c>
      <c r="K165" s="7">
        <f>Haver!H175</f>
        <v>0.25</v>
      </c>
      <c r="L165" s="7">
        <f>UK_HAVER!D177</f>
        <v>0.10000000000000002</v>
      </c>
      <c r="M165" s="7">
        <f>Haver!I175</f>
        <v>3.85</v>
      </c>
      <c r="N165" s="7">
        <f>Haver!J175</f>
        <v>0.83839139519786166</v>
      </c>
      <c r="O165" s="7">
        <f>1/UK_HAVER!F177</f>
        <v>0.75734625870948191</v>
      </c>
      <c r="P165" s="28">
        <f>1/ '[2]Exchange rate'!$C170</f>
        <v>8.315870006320062E-3</v>
      </c>
      <c r="Q165" s="7">
        <f>Haver!Q175</f>
        <v>25.603333333333335</v>
      </c>
      <c r="R165" s="7">
        <f>Haver!R175</f>
        <v>44.20000000000001</v>
      </c>
      <c r="S165" s="7">
        <f>Mater_Q!B166</f>
        <v>-0.57266666666666666</v>
      </c>
    </row>
    <row r="166" spans="1:19" x14ac:dyDescent="0.35">
      <c r="A166" s="4">
        <v>44256</v>
      </c>
      <c r="B166" s="7">
        <f>Haver!C176</f>
        <v>3020649.8</v>
      </c>
      <c r="C166" s="7">
        <f>Haver!D176</f>
        <v>5270.5</v>
      </c>
      <c r="D166" s="7">
        <f>UK_HAVER!C178</f>
        <v>612665</v>
      </c>
      <c r="E166" s="30">
        <f>reconstruct_levels_ch!I166</f>
        <v>27520.215345451532</v>
      </c>
      <c r="F166" s="18">
        <f>Haver!M176</f>
        <v>106.33666666666666</v>
      </c>
      <c r="G166" s="18">
        <f>Haver!N176</f>
        <v>263.74233333333336</v>
      </c>
      <c r="H166" s="7">
        <f>UK_HAVER!E178</f>
        <v>109.65471710649963</v>
      </c>
      <c r="I166" s="13">
        <f>reconstruct_levels_ch!D166</f>
        <v>97.468925529756234</v>
      </c>
      <c r="J166" s="13">
        <f>AWM!C206</f>
        <v>-0.54244565217391305</v>
      </c>
      <c r="K166" s="7">
        <f>Haver!H176</f>
        <v>0.25</v>
      </c>
      <c r="L166" s="7">
        <f>UK_HAVER!D178</f>
        <v>0.10000000000000002</v>
      </c>
      <c r="M166" s="7">
        <f>Haver!I176</f>
        <v>3.85</v>
      </c>
      <c r="N166" s="7">
        <f>Haver!J176</f>
        <v>0.82946617768713871</v>
      </c>
      <c r="O166" s="7">
        <f>1/UK_HAVER!F178</f>
        <v>0.72514563341471083</v>
      </c>
      <c r="P166" s="28">
        <f>1/ '[2]Exchange rate'!$C171</f>
        <v>8.1968959994229394E-3</v>
      </c>
      <c r="Q166" s="7">
        <f>Haver!Q176</f>
        <v>23.296666666666667</v>
      </c>
      <c r="R166" s="7">
        <f>Haver!R176</f>
        <v>60.82</v>
      </c>
      <c r="S166" s="7">
        <f>Mater_Q!B167</f>
        <v>-0.41233333333333338</v>
      </c>
    </row>
    <row r="167" spans="1:19" x14ac:dyDescent="0.35">
      <c r="A167" s="4">
        <v>44348</v>
      </c>
      <c r="B167" s="7">
        <f>Haver!C177</f>
        <v>3085678</v>
      </c>
      <c r="C167" s="7">
        <f>Haver!D177</f>
        <v>5360.2</v>
      </c>
      <c r="D167" s="7">
        <f>UK_HAVER!C179</f>
        <v>655443</v>
      </c>
      <c r="E167" s="30">
        <f>reconstruct_levels_ch!I167</f>
        <v>28094.03675533726</v>
      </c>
      <c r="F167" s="18">
        <f>Haver!M177</f>
        <v>106.90666666666668</v>
      </c>
      <c r="G167" s="18">
        <f>Haver!N177</f>
        <v>268.5503333333333</v>
      </c>
      <c r="H167" s="7">
        <f>UK_HAVER!E179</f>
        <v>110.42870632904759</v>
      </c>
      <c r="I167" s="13">
        <f>reconstruct_levels_ch!D167</f>
        <v>97.624794766292993</v>
      </c>
      <c r="J167" s="13">
        <f>AWM!C207</f>
        <v>-0.54038477633477633</v>
      </c>
      <c r="K167" s="7">
        <f>Haver!H177</f>
        <v>0.25</v>
      </c>
      <c r="L167" s="7">
        <f>UK_HAVER!D179</f>
        <v>0.10000000000000002</v>
      </c>
      <c r="M167" s="7">
        <f>Haver!I177</f>
        <v>3.85</v>
      </c>
      <c r="N167" s="7">
        <f>Haver!J177</f>
        <v>0.82936872046929</v>
      </c>
      <c r="O167" s="7">
        <f>1/UK_HAVER!F179</f>
        <v>0.71506888496925203</v>
      </c>
      <c r="P167" s="28">
        <f>1/ '[2]Exchange rate'!$C172</f>
        <v>8.1290502993116315E-3</v>
      </c>
      <c r="Q167" s="7">
        <f>Haver!Q177</f>
        <v>18.04666666666667</v>
      </c>
      <c r="R167" s="7">
        <f>Haver!R177</f>
        <v>68.83</v>
      </c>
      <c r="S167" s="7">
        <f>Mater_Q!B168</f>
        <v>-0.21533333333333335</v>
      </c>
    </row>
    <row r="168" spans="1:19" x14ac:dyDescent="0.35">
      <c r="A168" s="4">
        <v>44440</v>
      </c>
      <c r="B168" s="7">
        <f>Haver!C178</f>
        <v>3139738.2</v>
      </c>
      <c r="C168" s="7">
        <f>Haver!D178</f>
        <v>5404.5</v>
      </c>
      <c r="D168" s="7">
        <f>UK_HAVER!C180</f>
        <v>666498</v>
      </c>
      <c r="E168" s="30">
        <f>reconstruct_levels_ch!I168</f>
        <v>28074.869546695943</v>
      </c>
      <c r="F168" s="18">
        <f>Haver!M178</f>
        <v>108.05</v>
      </c>
      <c r="G168" s="18">
        <f>Haver!N178</f>
        <v>272.8296666666667</v>
      </c>
      <c r="H168" s="7">
        <f>UK_HAVER!E180</f>
        <v>111.89687425898363</v>
      </c>
      <c r="I168" s="13">
        <f>reconstruct_levels_ch!D168</f>
        <v>97.628579710794838</v>
      </c>
      <c r="J168" s="13">
        <f>AWM!C208</f>
        <v>-0.54581818181818198</v>
      </c>
      <c r="K168" s="7">
        <f>Haver!H178</f>
        <v>0.25</v>
      </c>
      <c r="L168" s="7">
        <f>UK_HAVER!D180</f>
        <v>0.10000000000000002</v>
      </c>
      <c r="M168" s="7">
        <f>Haver!I178</f>
        <v>3.85</v>
      </c>
      <c r="N168" s="7">
        <f>Haver!J178</f>
        <v>0.84832128528592377</v>
      </c>
      <c r="O168" s="7">
        <f>1/UK_HAVER!F180</f>
        <v>0.72574207126787138</v>
      </c>
      <c r="P168" s="28">
        <f>1/ '[2]Exchange rate'!$C173</f>
        <v>8.0330769978463317E-3</v>
      </c>
      <c r="Q168" s="7">
        <f>Haver!Q178</f>
        <v>18.296666666666667</v>
      </c>
      <c r="R168" s="7">
        <f>Haver!R178</f>
        <v>73.456666666666663</v>
      </c>
      <c r="S168" s="7">
        <f>Mater_Q!B169</f>
        <v>-0.371</v>
      </c>
    </row>
    <row r="169" spans="1:19" x14ac:dyDescent="0.35">
      <c r="A169" s="4">
        <v>44531</v>
      </c>
      <c r="B169" s="7">
        <f>Haver!C179</f>
        <v>3164750.8</v>
      </c>
      <c r="C169" s="7">
        <f>Haver!D179</f>
        <v>5497.2</v>
      </c>
      <c r="D169" s="7">
        <f>UK_HAVER!C181</f>
        <v>675680</v>
      </c>
      <c r="E169" s="30">
        <f>reconstruct_levels_ch!I169</f>
        <v>28534.060328682128</v>
      </c>
      <c r="F169" s="18">
        <f>Haver!M179</f>
        <v>109.91666666666667</v>
      </c>
      <c r="G169" s="18">
        <f>Haver!N179</f>
        <v>278.77133333333336</v>
      </c>
      <c r="H169" s="7">
        <f>UK_HAVER!E181</f>
        <v>114.24343759738657</v>
      </c>
      <c r="I169" s="13">
        <f>reconstruct_levels_ch!D169</f>
        <v>98.401760332643008</v>
      </c>
      <c r="J169" s="13">
        <f>AWM!C209</f>
        <v>-0.56637656063743014</v>
      </c>
      <c r="K169" s="7">
        <f>Haver!H179</f>
        <v>0.25</v>
      </c>
      <c r="L169" s="7">
        <f>UK_HAVER!D181</f>
        <v>0.12333333333333334</v>
      </c>
      <c r="M169" s="7">
        <f>Haver!I179</f>
        <v>3.8</v>
      </c>
      <c r="N169" s="7">
        <f>Haver!J179</f>
        <v>0.87414344868821647</v>
      </c>
      <c r="O169" s="7">
        <f>1/UK_HAVER!F181</f>
        <v>0.74134479946623166</v>
      </c>
      <c r="P169" s="28">
        <f>1/ '[2]Exchange rate'!$C174</f>
        <v>7.7797278962371012E-3</v>
      </c>
      <c r="Q169" s="7">
        <f>Haver!Q179</f>
        <v>19.240000000000002</v>
      </c>
      <c r="R169" s="7">
        <f>Haver!R179</f>
        <v>79.7</v>
      </c>
      <c r="S169" s="7">
        <f>Mater_Q!B170</f>
        <v>-0.23700000000000002</v>
      </c>
    </row>
    <row r="170" spans="1:19" x14ac:dyDescent="0.35">
      <c r="A170" s="4">
        <v>44621</v>
      </c>
      <c r="B170" s="7">
        <f>Haver!C180</f>
        <v>3189106.4</v>
      </c>
      <c r="C170" s="7">
        <f>Haver!D180</f>
        <v>5483.2</v>
      </c>
      <c r="D170" s="7">
        <f>UK_HAVER!C182</f>
        <v>682527</v>
      </c>
      <c r="E170" s="30">
        <f>reconstruct_levels_ch!I170</f>
        <v>28747.597737199823</v>
      </c>
      <c r="F170" s="18">
        <f>Haver!M180</f>
        <v>112.86</v>
      </c>
      <c r="G170" s="18">
        <f>Haver!N180</f>
        <v>284.90566666666666</v>
      </c>
      <c r="H170" s="7">
        <f>UK_HAVER!E182</f>
        <v>116.50436447655753</v>
      </c>
      <c r="I170" s="13">
        <f>reconstruct_levels_ch!D170</f>
        <v>98.672880240840499</v>
      </c>
      <c r="J170" s="13">
        <f>AWM!C210</f>
        <v>-0.52902587993385097</v>
      </c>
      <c r="K170" s="7">
        <f>Haver!H180</f>
        <v>0.5</v>
      </c>
      <c r="L170" s="7">
        <f>UK_HAVER!D182</f>
        <v>0.45</v>
      </c>
      <c r="M170" s="7">
        <f>Haver!I180</f>
        <v>3.7</v>
      </c>
      <c r="N170" s="7">
        <f>Haver!J180</f>
        <v>0.89085960230839534</v>
      </c>
      <c r="O170" s="7">
        <f>1/UK_HAVER!F182</f>
        <v>0.74510096118023983</v>
      </c>
      <c r="P170" s="28">
        <f>1/ '[2]Exchange rate'!$C175</f>
        <v>7.6183742998714027E-3</v>
      </c>
      <c r="Q170" s="7">
        <f>Haver!Q180</f>
        <v>25.3</v>
      </c>
      <c r="R170" s="7">
        <f>Haver!R180</f>
        <v>100.31</v>
      </c>
      <c r="S170" s="7">
        <f>Mater_Q!B171</f>
        <v>0.16133333333333333</v>
      </c>
    </row>
    <row r="171" spans="1:19" x14ac:dyDescent="0.35">
      <c r="A171" s="4">
        <v>44713</v>
      </c>
      <c r="B171" s="7">
        <f>Haver!C181</f>
        <v>3218355.8</v>
      </c>
      <c r="C171" s="7">
        <f>Haver!D181</f>
        <v>5491.8</v>
      </c>
      <c r="D171" s="7">
        <f>UK_HAVER!C183</f>
        <v>686335</v>
      </c>
      <c r="E171" s="30">
        <f>reconstruct_levels_ch!I171</f>
        <v>28407.482745310903</v>
      </c>
      <c r="F171" s="18">
        <f>Haver!M181</f>
        <v>115.52666666666666</v>
      </c>
      <c r="G171" s="18">
        <f>Haver!N181</f>
        <v>291.60533333333331</v>
      </c>
      <c r="H171" s="7">
        <f>UK_HAVER!E183</f>
        <v>120.43800664580029</v>
      </c>
      <c r="I171" s="13">
        <f>reconstruct_levels_ch!D171</f>
        <v>99.750145784071961</v>
      </c>
      <c r="J171" s="13">
        <f>AWM!C211</f>
        <v>-0.35761642743221683</v>
      </c>
      <c r="K171" s="7">
        <f>Haver!H181</f>
        <v>1.75</v>
      </c>
      <c r="L171" s="7">
        <f>UK_HAVER!D183</f>
        <v>0.95666666666666667</v>
      </c>
      <c r="M171" s="7">
        <f>Haver!I181</f>
        <v>3.7</v>
      </c>
      <c r="N171" s="7">
        <f>Haver!J181</f>
        <v>0.93858347730161007</v>
      </c>
      <c r="O171" s="7">
        <f>1/UK_HAVER!F183</f>
        <v>0.7959459817993686</v>
      </c>
      <c r="P171" s="28">
        <f>1/ '[2]Exchange rate'!$C176</f>
        <v>7.6417136695738292E-3</v>
      </c>
      <c r="Q171" s="7">
        <f>Haver!Q181</f>
        <v>27.303333333333331</v>
      </c>
      <c r="R171" s="7">
        <f>Haver!R181</f>
        <v>113.54333333333334</v>
      </c>
      <c r="S171" s="7">
        <f>Mater_Q!B172</f>
        <v>1.097</v>
      </c>
    </row>
    <row r="172" spans="1:19" x14ac:dyDescent="0.35">
      <c r="A172" s="4">
        <v>44805</v>
      </c>
      <c r="B172" s="7">
        <f>Haver!C182</f>
        <v>3232605.5</v>
      </c>
      <c r="C172" s="7">
        <f>Haver!D182</f>
        <v>5531.4</v>
      </c>
      <c r="D172" s="7">
        <f>UK_HAVER!C184</f>
        <v>687029</v>
      </c>
      <c r="E172" s="30">
        <f>reconstruct_levels_ch!I172</f>
        <v>29217.641292068158</v>
      </c>
      <c r="F172" s="18">
        <f>Haver!M182</f>
        <v>118.05333333333333</v>
      </c>
      <c r="G172" s="18">
        <f>Haver!N182</f>
        <v>295.45299999999997</v>
      </c>
      <c r="H172" s="7">
        <f>UK_HAVER!E184</f>
        <v>123.1188350093873</v>
      </c>
      <c r="I172" s="13">
        <f>reconstruct_levels_ch!D172</f>
        <v>100.09113562804295</v>
      </c>
      <c r="J172" s="13">
        <f>AWM!C212</f>
        <v>0.48074060480582209</v>
      </c>
      <c r="K172" s="7">
        <f>Haver!H182</f>
        <v>3.25</v>
      </c>
      <c r="L172" s="7">
        <f>UK_HAVER!D184</f>
        <v>1.6166666666666665</v>
      </c>
      <c r="M172" s="7">
        <f>Haver!I182</f>
        <v>3.65</v>
      </c>
      <c r="N172" s="7">
        <f>Haver!J182</f>
        <v>0.99301250202740066</v>
      </c>
      <c r="O172" s="7">
        <f>1/UK_HAVER!F184</f>
        <v>0.85009917823746106</v>
      </c>
      <c r="P172" s="28">
        <f>1/ '[2]Exchange rate'!$C177</f>
        <v>7.6142789049448651E-3</v>
      </c>
      <c r="Q172" s="7">
        <f>Haver!Q182</f>
        <v>24.83666666666667</v>
      </c>
      <c r="R172" s="7">
        <f>Haver!R182</f>
        <v>100.73</v>
      </c>
      <c r="S172" s="7">
        <f>Mater_Q!B173</f>
        <v>1.3593333333333335</v>
      </c>
    </row>
    <row r="173" spans="1:19" x14ac:dyDescent="0.35">
      <c r="A173" s="4">
        <v>44896</v>
      </c>
      <c r="B173" s="7">
        <f>Haver!C183</f>
        <v>3230917.6</v>
      </c>
      <c r="C173" s="7">
        <f>Haver!D183</f>
        <v>5569.6</v>
      </c>
      <c r="D173" s="7">
        <f>UK_HAVER!C185</f>
        <v>688817</v>
      </c>
      <c r="E173" s="30">
        <f>reconstruct_levels_ch!I173</f>
        <v>29414.910791174261</v>
      </c>
      <c r="F173" s="18">
        <f>Haver!M183</f>
        <v>120.88333333333333</v>
      </c>
      <c r="G173" s="18">
        <f>Haver!N183</f>
        <v>298.54166666666669</v>
      </c>
      <c r="H173" s="7">
        <f>UK_HAVER!E185</f>
        <v>126.56303647631806</v>
      </c>
      <c r="I173" s="13">
        <f>reconstruct_levels_ch!D173</f>
        <v>100.22772158154264</v>
      </c>
      <c r="J173" s="13">
        <f>AWM!C213</f>
        <v>1.7721233766233759</v>
      </c>
      <c r="K173" s="7">
        <f>Haver!H183</f>
        <v>4.5</v>
      </c>
      <c r="L173" s="7">
        <f>UK_HAVER!D185</f>
        <v>2.81</v>
      </c>
      <c r="M173" s="7">
        <f>Haver!I183</f>
        <v>3.65</v>
      </c>
      <c r="N173" s="7">
        <f>Haver!J183</f>
        <v>0.97988780284657417</v>
      </c>
      <c r="O173" s="7">
        <f>1/UK_HAVER!F185</f>
        <v>0.8513294928913987</v>
      </c>
      <c r="P173" s="28">
        <f>1/ '[2]Exchange rate'!$C178</f>
        <v>7.8308719597618478E-3</v>
      </c>
      <c r="Q173" s="7">
        <f>Haver!Q183</f>
        <v>25.03</v>
      </c>
      <c r="R173" s="7">
        <f>Haver!R183</f>
        <v>88.606666666666669</v>
      </c>
      <c r="S173" s="7">
        <f>Mater_Q!B174</f>
        <v>2.137</v>
      </c>
    </row>
    <row r="174" spans="1:19" x14ac:dyDescent="0.35">
      <c r="A174" s="4">
        <v>44986</v>
      </c>
      <c r="B174" s="7">
        <f>Haver!C184</f>
        <v>3231041</v>
      </c>
      <c r="C174" s="7">
        <f>Haver!D184</f>
        <v>5609.9</v>
      </c>
      <c r="D174" s="7">
        <f>UK_HAVER!C186</f>
        <v>689206</v>
      </c>
      <c r="E174" s="30">
        <f>reconstruct_levels_ch!I174</f>
        <v>29971.110075440662</v>
      </c>
      <c r="F174" s="18">
        <f>Haver!M184</f>
        <v>121.94333333333334</v>
      </c>
      <c r="G174" s="18">
        <f>Haver!N184</f>
        <v>301.23033333333336</v>
      </c>
      <c r="H174" s="7">
        <f>UK_HAVER!E186</f>
        <v>128.3840316076548</v>
      </c>
      <c r="I174" s="13">
        <f>reconstruct_levels_ch!D174</f>
        <v>100.0276560310276</v>
      </c>
      <c r="J174" s="13">
        <f>AWM!C214</f>
        <v>2.6319262845849805</v>
      </c>
      <c r="K174" s="7">
        <f>Haver!H184</f>
        <v>5</v>
      </c>
      <c r="L174" s="7">
        <f>UK_HAVER!D186</f>
        <v>3.8533333333333335</v>
      </c>
      <c r="M174" s="7">
        <f>Haver!I184</f>
        <v>3.65</v>
      </c>
      <c r="N174" s="7">
        <f>Haver!J184</f>
        <v>0.93196847585564802</v>
      </c>
      <c r="O174" s="7">
        <f>1/UK_HAVER!F186</f>
        <v>0.82284209660166208</v>
      </c>
      <c r="P174" s="28">
        <f>1/ '[2]Exchange rate'!$C179</f>
        <v>7.8060782809142165E-3</v>
      </c>
      <c r="Q174" s="7">
        <f>Haver!Q184</f>
        <v>20.643333333333334</v>
      </c>
      <c r="R174" s="7">
        <f>Haver!R184</f>
        <v>81.186666666666667</v>
      </c>
      <c r="S174" s="7">
        <f>Mater_Q!B175</f>
        <v>2.3426666666666667</v>
      </c>
    </row>
    <row r="175" spans="1:19" x14ac:dyDescent="0.35">
      <c r="A175" s="4">
        <v>45078</v>
      </c>
      <c r="B175" s="7">
        <f>Haver!C185</f>
        <v>3237338</v>
      </c>
      <c r="C175" s="7">
        <f>Haver!D185</f>
        <v>5645.1</v>
      </c>
      <c r="D175" s="7">
        <f>UK_HAVER!C187</f>
        <v>689491</v>
      </c>
      <c r="E175" s="30">
        <f>reconstruct_levels_ch!I175</f>
        <v>30359.139408266437</v>
      </c>
      <c r="F175" s="18">
        <f>Haver!M185</f>
        <v>122.69000000000001</v>
      </c>
      <c r="G175" s="18">
        <f>Haver!N185</f>
        <v>303.39766666666668</v>
      </c>
      <c r="H175" s="7">
        <f>UK_HAVER!E187</f>
        <v>130.52273356327208</v>
      </c>
      <c r="I175" s="13">
        <f>reconstruct_levels_ch!D175</f>
        <v>99.844785781086955</v>
      </c>
      <c r="J175" s="13">
        <f>AWM!C215</f>
        <v>3.3564328063241109</v>
      </c>
      <c r="K175" s="7">
        <f>Haver!H185</f>
        <v>5.25</v>
      </c>
      <c r="L175" s="7">
        <f>UK_HAVER!D187</f>
        <v>4.4466666666666663</v>
      </c>
      <c r="M175" s="7">
        <f>Haver!I185</f>
        <v>3.55</v>
      </c>
      <c r="N175" s="7">
        <f>Haver!J185</f>
        <v>0.91813088139340449</v>
      </c>
      <c r="O175" s="7">
        <f>1/UK_HAVER!F187</f>
        <v>0.79878584551481746</v>
      </c>
      <c r="P175" s="28">
        <f>1/ '[2]Exchange rate'!$C180</f>
        <v>7.9525645430138306E-3</v>
      </c>
      <c r="Q175" s="7">
        <f>Haver!Q185</f>
        <v>16.486666666666668</v>
      </c>
      <c r="R175" s="7">
        <f>Haver!R185</f>
        <v>78.320000000000007</v>
      </c>
      <c r="S175" s="7">
        <f>Mater_Q!B176</f>
        <v>2.3706666666666667</v>
      </c>
    </row>
    <row r="176" spans="1:19" x14ac:dyDescent="0.35">
      <c r="A176" s="4">
        <v>45170</v>
      </c>
      <c r="B176" s="7">
        <f>Haver!C186</f>
        <v>3237922.5</v>
      </c>
      <c r="C176" s="7">
        <f>Haver!D186</f>
        <v>5710.3</v>
      </c>
      <c r="D176" s="7">
        <f>UK_HAVER!C188</f>
        <v>687839</v>
      </c>
      <c r="E176" s="30">
        <f>reconstruct_levels_ch!I176</f>
        <v>30716.600598711666</v>
      </c>
      <c r="F176" s="18">
        <f>Haver!M186</f>
        <v>123.75333333333333</v>
      </c>
      <c r="G176" s="18">
        <f>Haver!N186</f>
        <v>305.98900000000003</v>
      </c>
      <c r="H176" s="7">
        <f>UK_HAVER!E188</f>
        <v>131.40872018714575</v>
      </c>
      <c r="I176" s="13">
        <f>reconstruct_levels_ch!D176</f>
        <v>99.944340027480678</v>
      </c>
      <c r="J176" s="13">
        <f>AWM!C216</f>
        <v>3.7773871635610754</v>
      </c>
      <c r="K176" s="7">
        <f>Haver!H186</f>
        <v>5.5</v>
      </c>
      <c r="L176" s="7">
        <f>UK_HAVER!D188</f>
        <v>5.16</v>
      </c>
      <c r="M176" s="7">
        <f>Haver!I186</f>
        <v>3.45</v>
      </c>
      <c r="N176" s="7">
        <f>Haver!J186</f>
        <v>0.91881306503175109</v>
      </c>
      <c r="O176" s="7">
        <f>1/UK_HAVER!F188</f>
        <v>0.78988941548183256</v>
      </c>
      <c r="P176" s="28">
        <f>1/ '[2]Exchange rate'!$C181</f>
        <v>8.0769181065119336E-3</v>
      </c>
      <c r="Q176" s="7">
        <f>Haver!Q186</f>
        <v>14.983333333333334</v>
      </c>
      <c r="R176" s="7">
        <f>Haver!R186</f>
        <v>86.660000000000011</v>
      </c>
      <c r="S176" s="7">
        <f>Mater_Q!B177</f>
        <v>2.593</v>
      </c>
    </row>
    <row r="177" spans="1:19" x14ac:dyDescent="0.35">
      <c r="A177" s="4">
        <v>45261</v>
      </c>
      <c r="B177" s="7">
        <f>Haver!C187</f>
        <v>3240423.9</v>
      </c>
      <c r="C177" s="7">
        <f>Haver!D187</f>
        <v>5758.5</v>
      </c>
      <c r="D177" s="7">
        <f>UK_HAVER!C189</f>
        <v>685628</v>
      </c>
      <c r="E177" s="30">
        <f>reconstruct_levels_ch!I177</f>
        <v>31014.232169712148</v>
      </c>
      <c r="F177" s="18">
        <f>Haver!M187</f>
        <v>124.2</v>
      </c>
      <c r="G177" s="18">
        <f>Haver!N187</f>
        <v>308.19499999999999</v>
      </c>
      <c r="H177" s="7">
        <f>UK_HAVER!E189</f>
        <v>131.85889942964809</v>
      </c>
      <c r="I177" s="13">
        <f>reconstruct_levels_ch!D177</f>
        <v>99.889939101342719</v>
      </c>
      <c r="J177" s="13">
        <f>AWM!C217</f>
        <v>3.9574559884559881</v>
      </c>
      <c r="K177" s="7">
        <f>Haver!H187</f>
        <v>5.5</v>
      </c>
      <c r="L177" s="7">
        <f>UK_HAVER!D189</f>
        <v>5.25</v>
      </c>
      <c r="M177" s="7">
        <f>Haver!I187</f>
        <v>3.45</v>
      </c>
      <c r="N177" s="7">
        <f>Haver!J187</f>
        <v>0.92954570312851004</v>
      </c>
      <c r="O177" s="7">
        <f>1/UK_HAVER!F189</f>
        <v>0.80495854463495131</v>
      </c>
      <c r="P177" s="28">
        <f>1/ '[2]Exchange rate'!$C182</f>
        <v>7.9534753505891929E-3</v>
      </c>
      <c r="Q177" s="7">
        <f>Haver!Q187</f>
        <v>15.209999999999999</v>
      </c>
      <c r="R177" s="7">
        <f>Haver!R187</f>
        <v>83.776666666666657</v>
      </c>
      <c r="S177" s="7">
        <f>Mater_Q!B178</f>
        <v>2.5263333333333331</v>
      </c>
    </row>
    <row r="178" spans="1:19" x14ac:dyDescent="0.35">
      <c r="A178" s="4">
        <v>45352</v>
      </c>
      <c r="B178" s="7">
        <f>Haver!C188</f>
        <v>3251227.4</v>
      </c>
      <c r="C178" s="7">
        <f>Haver!D188</f>
        <v>5770.5</v>
      </c>
      <c r="D178" s="7">
        <f>UK_HAVER!C190</f>
        <v>690605</v>
      </c>
      <c r="E178" s="30">
        <f>reconstruct_levels_ch!I178</f>
        <v>31424.029356594481</v>
      </c>
      <c r="F178" s="18">
        <f>Haver!M188</f>
        <v>125.08999999999999</v>
      </c>
      <c r="G178" s="18">
        <f>Haver!N188</f>
        <v>311.00333333333333</v>
      </c>
      <c r="H178" s="7">
        <f>UK_HAVER!E190</f>
        <v>132.94596420811652</v>
      </c>
      <c r="I178" s="13">
        <f>reconstruct_levels_ch!D178</f>
        <v>100.1010546705413</v>
      </c>
      <c r="J178" s="7">
        <f>Haver!G188</f>
        <v>4</v>
      </c>
      <c r="K178" s="7">
        <f>Haver!H188</f>
        <v>5.5</v>
      </c>
      <c r="L178" s="7">
        <f>UK_HAVER!D190</f>
        <v>5.25</v>
      </c>
      <c r="M178" s="7">
        <f>Haver!I188</f>
        <v>3.45</v>
      </c>
      <c r="N178" s="7">
        <f>Haver!J188</f>
        <v>0.92103505919952855</v>
      </c>
      <c r="O178" s="7">
        <f>1/UK_HAVER!F190</f>
        <v>0.78856061402586475</v>
      </c>
      <c r="P178" s="28">
        <f>1/ '[2]Exchange rate'!$C183</f>
        <v>7.9204470300303746E-3</v>
      </c>
      <c r="Q178" s="7">
        <f>Haver!Q188</f>
        <v>13.719999999999999</v>
      </c>
      <c r="R178" s="7">
        <f>Haver!R188</f>
        <v>83.003333333333345</v>
      </c>
      <c r="S178" s="7">
        <f>Mater_Q!B179</f>
        <v>2.3163333333333331</v>
      </c>
    </row>
    <row r="179" spans="1:19" x14ac:dyDescent="0.35">
      <c r="A179" s="4">
        <v>45444</v>
      </c>
      <c r="B179" s="7">
        <f>Haver!C189</f>
        <v>3258283.2</v>
      </c>
      <c r="C179" s="7">
        <f>Haver!D189</f>
        <v>5821.6</v>
      </c>
      <c r="D179" s="7">
        <f>UK_HAVER!C191</f>
        <v>694810</v>
      </c>
      <c r="E179" s="30">
        <f>reconstruct_levels_ch!I179</f>
        <v>31824.913961607475</v>
      </c>
      <c r="F179" s="18">
        <f>Haver!M189</f>
        <v>125.74333333333334</v>
      </c>
      <c r="G179" s="18">
        <f>Haver!N189</f>
        <v>313.08066666666667</v>
      </c>
      <c r="H179" s="7">
        <f>UK_HAVER!E191</f>
        <v>133.22907689339593</v>
      </c>
      <c r="I179" s="13">
        <f>reconstruct_levels_ch!D179</f>
        <v>100.11339331153897</v>
      </c>
      <c r="J179" s="7">
        <f>Haver!G189</f>
        <v>3.75</v>
      </c>
      <c r="K179" s="7">
        <f>Haver!H189</f>
        <v>5.5</v>
      </c>
      <c r="L179" s="7">
        <f>UK_HAVER!D191</f>
        <v>5.25</v>
      </c>
      <c r="M179" s="7">
        <f>Haver!I189</f>
        <v>3.45</v>
      </c>
      <c r="N179" s="7">
        <f>Haver!J189</f>
        <v>0.92882161330741309</v>
      </c>
      <c r="O179" s="7">
        <f>1/UK_HAVER!F191</f>
        <v>0.79220470569595181</v>
      </c>
      <c r="P179" s="28">
        <f>1/ '[2]Exchange rate'!$C184</f>
        <v>7.841784162732705E-3</v>
      </c>
      <c r="Q179" s="7">
        <f>Haver!Q189</f>
        <v>13.956666666666669</v>
      </c>
      <c r="R179" s="7">
        <f>Haver!R189</f>
        <v>84.646666666666661</v>
      </c>
      <c r="S179" s="7">
        <f>Mater_Q!B180</f>
        <v>2.4976666666666669</v>
      </c>
    </row>
    <row r="180" spans="1:19" x14ac:dyDescent="0.35">
      <c r="A180" s="4">
        <v>45536</v>
      </c>
      <c r="B180" s="7">
        <f>Haver!C190</f>
        <v>3272596.7</v>
      </c>
      <c r="C180" s="7">
        <f>Haver!D190</f>
        <v>5869.7</v>
      </c>
      <c r="D180" s="7">
        <f>UK_HAVER!C192</f>
        <v>696183</v>
      </c>
      <c r="E180" s="30">
        <f>reconstruct_levels_ch!I180</f>
        <v>32139.742946220511</v>
      </c>
      <c r="F180" s="18">
        <f>Haver!M190</f>
        <v>126.34666666666668</v>
      </c>
      <c r="G180" s="18">
        <f>Haver!N190</f>
        <v>314.12100000000004</v>
      </c>
      <c r="H180" s="7">
        <f>UK_HAVER!E192</f>
        <v>134.1063322340656</v>
      </c>
      <c r="I180" s="13">
        <f>reconstruct_levels_ch!D180</f>
        <v>100.39573597437641</v>
      </c>
      <c r="J180" s="7">
        <f>Haver!G190</f>
        <v>3.5</v>
      </c>
      <c r="K180" s="7">
        <f>Haver!H190</f>
        <v>5</v>
      </c>
      <c r="L180" s="7">
        <f>UK_HAVER!D192</f>
        <v>5.083333333333333</v>
      </c>
      <c r="M180" s="7">
        <f>Haver!I190</f>
        <v>3.35</v>
      </c>
      <c r="N180" s="7">
        <f>Haver!J190</f>
        <v>0.91013149276430305</v>
      </c>
      <c r="O180" s="7">
        <f>1/UK_HAVER!F192</f>
        <v>0.76856074191730273</v>
      </c>
      <c r="P180" s="28">
        <f>1/ '[2]Exchange rate'!$C185</f>
        <v>7.8691641295169992E-3</v>
      </c>
      <c r="Q180" s="7">
        <f>Haver!Q190</f>
        <v>17.113333333333333</v>
      </c>
      <c r="R180" s="7">
        <f>Haver!R190</f>
        <v>79.803333333333327</v>
      </c>
      <c r="S180" s="7">
        <f>Mater_Q!B181</f>
        <v>2.2966666666666669</v>
      </c>
    </row>
    <row r="181" spans="1:19" x14ac:dyDescent="0.35">
      <c r="A181" s="4">
        <v>45627</v>
      </c>
      <c r="B181" s="7">
        <f>Haver!C191</f>
        <v>3284793.9</v>
      </c>
      <c r="C181" s="7">
        <f>Haver!D191</f>
        <v>5896.6</v>
      </c>
      <c r="D181" s="7">
        <f>UK_HAVER!C193</f>
        <v>699177</v>
      </c>
      <c r="E181" s="30">
        <f>reconstruct_levels_ch!I181</f>
        <v>32695.369537412505</v>
      </c>
      <c r="F181" s="18">
        <f>Haver!M191</f>
        <v>126.98</v>
      </c>
      <c r="G181" s="18">
        <f>Haver!N191</f>
        <v>316.58766666666662</v>
      </c>
      <c r="H181" s="7">
        <f>UK_HAVER!E193</f>
        <v>135.18860300753124</v>
      </c>
      <c r="I181" s="13">
        <f>reconstruct_levels_ch!D181</f>
        <v>100.09547111877282</v>
      </c>
      <c r="J181" s="7">
        <f>Haver!G191</f>
        <v>3</v>
      </c>
      <c r="K181" s="7">
        <f>Haver!H191</f>
        <v>4.5</v>
      </c>
      <c r="L181" s="7">
        <f>UK_HAVER!D193</f>
        <v>4.8500000000000005</v>
      </c>
      <c r="M181" s="7">
        <f>Haver!I191</f>
        <v>3.1</v>
      </c>
      <c r="N181" s="7">
        <f>Haver!J191</f>
        <v>0.93711226979837092</v>
      </c>
      <c r="O181" s="7">
        <f>1/UK_HAVER!F193</f>
        <v>0.78068075361715417</v>
      </c>
      <c r="P181" s="28">
        <f>1/ '[2]Exchange rate'!$C186</f>
        <v>7.754607012025844E-3</v>
      </c>
      <c r="Q181" s="7">
        <f>Haver!Q191</f>
        <v>17.283333333333335</v>
      </c>
      <c r="R181" s="7">
        <f>Haver!R191</f>
        <v>74.62</v>
      </c>
      <c r="S181" s="7">
        <f>Mater_Q!B182</f>
        <v>2.2606666666666668</v>
      </c>
    </row>
    <row r="182" spans="1:19" x14ac:dyDescent="0.35">
      <c r="A182" s="4">
        <v>45717</v>
      </c>
      <c r="B182" s="7">
        <f>Haver!C192</f>
        <v>3306314.3</v>
      </c>
      <c r="C182" s="7">
        <f>Haver!D192</f>
        <v>5887.1</v>
      </c>
      <c r="D182" s="7">
        <f>UK_HAVER!C194</f>
        <v>703218</v>
      </c>
      <c r="E182" s="30">
        <f>reconstruct_levels_ch!I182</f>
        <v>33070.305392776652</v>
      </c>
      <c r="F182" s="18">
        <f>Haver!M192</f>
        <v>127.99000000000001</v>
      </c>
      <c r="G182" s="18">
        <f>Haver!N192</f>
        <v>319.47499999999997</v>
      </c>
      <c r="H182" s="7">
        <f>UK_HAVER!E194</f>
        <v>136.62337424992413</v>
      </c>
      <c r="I182" s="13">
        <f>reconstruct_levels_ch!D182</f>
        <v>100.0285116777965</v>
      </c>
      <c r="J182" s="7">
        <f>Haver!G192</f>
        <v>2.5</v>
      </c>
      <c r="K182" s="7">
        <f>Haver!H192</f>
        <v>4.5</v>
      </c>
      <c r="L182" s="7">
        <f>UK_HAVER!D194</f>
        <v>4.5966666666666667</v>
      </c>
      <c r="M182" s="7">
        <f>Haver!I192</f>
        <v>3.1</v>
      </c>
      <c r="N182" s="7">
        <f>Haver!J192</f>
        <v>0.95017774658379428</v>
      </c>
      <c r="O182" s="7">
        <f>1/UK_HAVER!F194</f>
        <v>0.7934618741569468</v>
      </c>
      <c r="P182" s="28">
        <f>1/ '[2]Exchange rate'!$C187</f>
        <v>7.7554970963418877E-3</v>
      </c>
      <c r="Q182" s="7">
        <f>Haver!Q192</f>
        <v>18.523333333333337</v>
      </c>
      <c r="R182" s="7">
        <f>Haver!R192</f>
        <v>75.833333333333329</v>
      </c>
      <c r="S182" s="7">
        <f>Mater_Q!B183</f>
        <v>2.58</v>
      </c>
    </row>
    <row r="183" spans="1:19" x14ac:dyDescent="0.35">
      <c r="A183" s="4">
        <v>45809</v>
      </c>
      <c r="B183" s="7">
        <f>Haver!C193</f>
        <v>3310395</v>
      </c>
      <c r="C183" s="7">
        <f>Haver!D193</f>
        <v>5942.8</v>
      </c>
      <c r="D183" s="7">
        <f>UK_HAVER!C195</f>
        <v>704206</v>
      </c>
      <c r="E183" s="30">
        <f>reconstruct_levels_ch!I183</f>
        <v>33501.030636637261</v>
      </c>
      <c r="F183" s="18">
        <f>Haver!M193</f>
        <v>128.26666666666668</v>
      </c>
      <c r="G183" s="18">
        <f>Haver!N193</f>
        <v>320.78566666666666</v>
      </c>
      <c r="H183" s="7">
        <f>UK_HAVER!E195</f>
        <v>137.86657109137047</v>
      </c>
      <c r="I183" s="13">
        <f>reconstruct_levels_ch!D183</f>
        <v>100.13057207576142</v>
      </c>
      <c r="J183" s="7">
        <f>Haver!G193</f>
        <v>2</v>
      </c>
      <c r="K183" s="7">
        <f>Haver!H193</f>
        <v>4.5</v>
      </c>
      <c r="L183" s="7">
        <f>UK_HAVER!D195</f>
        <v>4.3500000000000005</v>
      </c>
      <c r="M183" s="7">
        <f>Haver!I193</f>
        <v>3</v>
      </c>
      <c r="N183" s="7">
        <f>Haver!J193</f>
        <v>0.88214044910946443</v>
      </c>
      <c r="O183" s="7">
        <f>1/UK_HAVER!F195</f>
        <v>0.74852166970233791</v>
      </c>
      <c r="P183" s="28">
        <f>1/ '[2]Exchange rate'!$C188</f>
        <v>8.0429558184350984E-3</v>
      </c>
      <c r="Q183" s="7">
        <f>Haver!Q193</f>
        <v>23.61</v>
      </c>
      <c r="R183" s="7">
        <f>Haver!R193</f>
        <v>68.006666666666661</v>
      </c>
      <c r="S183" s="7">
        <f>Mater_Q!B184</f>
        <v>2.5540000000000003</v>
      </c>
    </row>
    <row r="184" spans="1:19" x14ac:dyDescent="0.35">
      <c r="A184" s="4">
        <v>45901</v>
      </c>
      <c r="B184" s="7">
        <f>Haver!C194</f>
        <v>3319134.1</v>
      </c>
      <c r="C184" s="7">
        <f>Haver!D194</f>
        <v>6006.7</v>
      </c>
      <c r="D184" s="7">
        <f>UK_HAVER!C196</f>
        <v>705348</v>
      </c>
      <c r="E184" s="30">
        <f>reconstruct_levels_ch!I184</f>
        <v>33713.27181534683</v>
      </c>
      <c r="F184" s="18">
        <f>Haver!M194</f>
        <v>129.03333333333333</v>
      </c>
      <c r="G184" s="18">
        <f>Haver!N194</f>
        <v>323.23500000000001</v>
      </c>
      <c r="H184" s="7">
        <f>UK_HAVER!E196</f>
        <v>139.19487544094324</v>
      </c>
      <c r="I184" s="13">
        <f>reconstruct_levels_ch!D184</f>
        <v>100.14608034922757</v>
      </c>
      <c r="J184" s="7">
        <f>Haver!G194</f>
        <v>2</v>
      </c>
      <c r="K184" s="7">
        <f>Haver!H194</f>
        <v>4.25</v>
      </c>
      <c r="L184" s="7">
        <f>UK_HAVER!D196</f>
        <v>4.1000000000000005</v>
      </c>
      <c r="M184" s="7">
        <f>Haver!I194</f>
        <v>3</v>
      </c>
      <c r="N184" s="7">
        <f>Haver!J194</f>
        <v>0.856151433782537</v>
      </c>
      <c r="O184" s="7">
        <f>1/UK_HAVER!F196</f>
        <v>0.7416380311982399</v>
      </c>
      <c r="P184" s="28">
        <f>1/ '[2]Exchange rate'!$C189</f>
        <v>8.0369636030029317E-3</v>
      </c>
      <c r="Q184" s="7">
        <f>Haver!Q194</f>
        <v>15.973333333333331</v>
      </c>
      <c r="R184" s="7">
        <f>Haver!R194</f>
        <v>68.953333333333333</v>
      </c>
      <c r="S184" s="7">
        <f>Mater_Q!B185</f>
        <v>2.6970000000000005</v>
      </c>
    </row>
    <row r="185" spans="1:19" x14ac:dyDescent="0.35">
      <c r="A185" s="4">
        <v>45992</v>
      </c>
      <c r="B185" s="7">
        <f>Haver!C195</f>
        <v>3324699.5</v>
      </c>
      <c r="C185" s="7">
        <f>Haver!D195</f>
        <v>6013.9</v>
      </c>
      <c r="D185" s="7">
        <f>UK_HAVER!C197</f>
        <v>706453</v>
      </c>
      <c r="E185" s="30">
        <f>reconstruct_levels_ch!I185</f>
        <v>34154.913402011785</v>
      </c>
      <c r="F185" s="18">
        <f>Haver!M195</f>
        <v>129.6</v>
      </c>
      <c r="G185" s="13">
        <f>Haver_M!D563</f>
        <v>325.54700000000003</v>
      </c>
      <c r="H185" s="7">
        <f>UK_HAVER!E197</f>
        <v>139.80389960439072</v>
      </c>
      <c r="I185" s="13">
        <f>reconstruct_levels_ch!D185</f>
        <v>100.6273102688745</v>
      </c>
      <c r="J185" s="7">
        <f>Haver!G195</f>
        <v>2</v>
      </c>
      <c r="K185" s="7">
        <f>Haver!H195</f>
        <v>3.75</v>
      </c>
      <c r="L185" s="7">
        <f>UK_HAVER!D197</f>
        <v>3.9666666666666668</v>
      </c>
      <c r="M185" s="7">
        <f>Haver!I195</f>
        <v>3</v>
      </c>
      <c r="N185" s="7">
        <f>Haver!J195</f>
        <v>0.85961511019979175</v>
      </c>
      <c r="O185" s="7">
        <f>1/UK_HAVER!F197</f>
        <v>0.7522001855427124</v>
      </c>
      <c r="P185" s="28">
        <f>1/ '[2]Exchange rate'!$C190</f>
        <v>7.8526959875864586E-3</v>
      </c>
      <c r="Q185" s="7">
        <f>Haver!Q195</f>
        <v>17.803333333333331</v>
      </c>
      <c r="R185" s="7">
        <f>Haver!R195</f>
        <v>63.606666666666662</v>
      </c>
      <c r="S185" s="7">
        <f>Mater_Q!B186</f>
        <v>2.7173333333333329</v>
      </c>
    </row>
    <row r="186" spans="1:19" x14ac:dyDescent="0.35">
      <c r="M186" s="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96"/>
  <sheetViews>
    <sheetView showGridLines="0" workbookViewId="0">
      <pane xSplit="2" ySplit="11" topLeftCell="C153" activePane="bottomRight" state="frozen"/>
      <selection pane="topRight" activeCell="C1" sqref="C1"/>
      <selection pane="bottomLeft" activeCell="A11" sqref="A11"/>
      <selection pane="bottomRight" activeCell="I3" sqref="I3"/>
    </sheetView>
  </sheetViews>
  <sheetFormatPr baseColWidth="10" defaultColWidth="8.7265625" defaultRowHeight="14.5" x14ac:dyDescent="0.35"/>
  <cols>
    <col min="2" max="2" width="10.453125" style="4" bestFit="1" customWidth="1"/>
    <col min="3" max="3" width="48.08984375" bestFit="1" customWidth="1"/>
    <col min="8" max="8" width="29.1796875" customWidth="1"/>
    <col min="10" max="10" width="56.1796875" customWidth="1"/>
    <col min="11" max="11" width="57.6328125" customWidth="1"/>
    <col min="13" max="13" width="29.08984375" customWidth="1"/>
    <col min="14" max="14" width="26" customWidth="1"/>
  </cols>
  <sheetData>
    <row r="1" spans="1:20" s="5" customFormat="1" x14ac:dyDescent="0.35">
      <c r="B1" s="14"/>
      <c r="C1" s="5" t="s">
        <v>212</v>
      </c>
      <c r="D1" s="5" t="s">
        <v>213</v>
      </c>
      <c r="E1" s="5" t="s">
        <v>214</v>
      </c>
      <c r="F1" s="5" t="s">
        <v>214</v>
      </c>
      <c r="G1" s="5" t="s">
        <v>216</v>
      </c>
      <c r="H1" s="5" t="s">
        <v>217</v>
      </c>
      <c r="I1" s="5" t="s">
        <v>218</v>
      </c>
      <c r="J1" s="5" t="s">
        <v>521</v>
      </c>
      <c r="K1" s="5" t="s">
        <v>522</v>
      </c>
      <c r="L1" s="5" t="s">
        <v>523</v>
      </c>
      <c r="M1" s="5" t="s">
        <v>524</v>
      </c>
      <c r="N1" s="5" t="s">
        <v>525</v>
      </c>
      <c r="O1" s="5" t="s">
        <v>526</v>
      </c>
      <c r="P1" s="5" t="s">
        <v>526</v>
      </c>
      <c r="Q1" s="5" t="s">
        <v>563</v>
      </c>
      <c r="R1" s="5" t="s">
        <v>564</v>
      </c>
      <c r="S1" s="5" t="s">
        <v>565</v>
      </c>
      <c r="T1" s="5" t="s">
        <v>583</v>
      </c>
    </row>
    <row r="2" spans="1:20" x14ac:dyDescent="0.35">
      <c r="A2" s="1" t="s">
        <v>3</v>
      </c>
      <c r="B2" s="15" t="s">
        <v>4</v>
      </c>
      <c r="C2" t="s">
        <v>0</v>
      </c>
      <c r="D2" t="s">
        <v>1</v>
      </c>
      <c r="E2" t="s">
        <v>2</v>
      </c>
      <c r="F2" t="s">
        <v>1373</v>
      </c>
      <c r="G2" t="s">
        <v>1393</v>
      </c>
      <c r="H2" t="s">
        <v>220</v>
      </c>
      <c r="I2" t="s">
        <v>219</v>
      </c>
      <c r="J2" t="s">
        <v>532</v>
      </c>
      <c r="K2" t="s">
        <v>533</v>
      </c>
      <c r="L2" t="s">
        <v>534</v>
      </c>
      <c r="M2" t="s">
        <v>545</v>
      </c>
      <c r="N2" s="24" t="s">
        <v>546</v>
      </c>
      <c r="O2" t="s">
        <v>544</v>
      </c>
      <c r="P2" t="s">
        <v>1379</v>
      </c>
      <c r="Q2" t="s">
        <v>566</v>
      </c>
      <c r="R2" t="s">
        <v>567</v>
      </c>
      <c r="S2" t="s">
        <v>568</v>
      </c>
      <c r="T2" t="s">
        <v>584</v>
      </c>
    </row>
    <row r="3" spans="1:20" x14ac:dyDescent="0.35">
      <c r="A3" t="s">
        <v>195</v>
      </c>
      <c r="C3" t="s">
        <v>1375</v>
      </c>
      <c r="D3" t="s">
        <v>207</v>
      </c>
      <c r="E3" t="s">
        <v>211</v>
      </c>
      <c r="F3" t="s">
        <v>1377</v>
      </c>
      <c r="G3" t="s">
        <v>1395</v>
      </c>
      <c r="H3" t="s">
        <v>229</v>
      </c>
      <c r="I3" t="s">
        <v>233</v>
      </c>
      <c r="J3" t="s">
        <v>531</v>
      </c>
      <c r="K3" t="s">
        <v>536</v>
      </c>
      <c r="L3" t="s">
        <v>538</v>
      </c>
      <c r="M3" t="s">
        <v>593</v>
      </c>
      <c r="N3" t="s">
        <v>551</v>
      </c>
      <c r="O3" t="s">
        <v>594</v>
      </c>
      <c r="P3" t="s">
        <v>594</v>
      </c>
      <c r="Q3" t="s">
        <v>573</v>
      </c>
      <c r="R3" t="s">
        <v>577</v>
      </c>
      <c r="S3" t="s">
        <v>581</v>
      </c>
      <c r="T3" t="s">
        <v>595</v>
      </c>
    </row>
    <row r="4" spans="1:20" x14ac:dyDescent="0.35">
      <c r="A4" t="s">
        <v>194</v>
      </c>
      <c r="C4" t="s">
        <v>202</v>
      </c>
      <c r="D4" t="s">
        <v>206</v>
      </c>
      <c r="E4" t="s">
        <v>210</v>
      </c>
      <c r="F4" t="s">
        <v>210</v>
      </c>
      <c r="G4" t="s">
        <v>1394</v>
      </c>
      <c r="H4" t="s">
        <v>228</v>
      </c>
      <c r="I4" t="s">
        <v>232</v>
      </c>
      <c r="J4" t="s">
        <v>530</v>
      </c>
      <c r="K4" t="s">
        <v>535</v>
      </c>
      <c r="L4" t="s">
        <v>537</v>
      </c>
      <c r="M4" t="s">
        <v>547</v>
      </c>
      <c r="N4" t="s">
        <v>550</v>
      </c>
      <c r="O4" t="s">
        <v>554</v>
      </c>
      <c r="P4" t="s">
        <v>554</v>
      </c>
      <c r="Q4" t="s">
        <v>572</v>
      </c>
      <c r="R4" t="s">
        <v>576</v>
      </c>
      <c r="S4" t="s">
        <v>580</v>
      </c>
      <c r="T4" t="s">
        <v>585</v>
      </c>
    </row>
    <row r="5" spans="1:20" x14ac:dyDescent="0.35">
      <c r="A5" t="s">
        <v>193</v>
      </c>
      <c r="C5" t="s">
        <v>1352</v>
      </c>
      <c r="D5" t="s">
        <v>1352</v>
      </c>
      <c r="E5" t="s">
        <v>1352</v>
      </c>
      <c r="F5" t="s">
        <v>1352</v>
      </c>
      <c r="G5" t="s">
        <v>1378</v>
      </c>
      <c r="H5" t="s">
        <v>1378</v>
      </c>
      <c r="I5" t="s">
        <v>1378</v>
      </c>
      <c r="J5" t="s">
        <v>1378</v>
      </c>
      <c r="K5" t="s">
        <v>1378</v>
      </c>
      <c r="L5" t="s">
        <v>1378</v>
      </c>
      <c r="M5" t="s">
        <v>592</v>
      </c>
      <c r="N5" t="s">
        <v>1359</v>
      </c>
      <c r="O5" t="s">
        <v>1359</v>
      </c>
      <c r="P5" t="s">
        <v>1359</v>
      </c>
      <c r="Q5" t="s">
        <v>1378</v>
      </c>
      <c r="R5" t="s">
        <v>1378</v>
      </c>
      <c r="S5" t="s">
        <v>1378</v>
      </c>
      <c r="T5" t="s">
        <v>1359</v>
      </c>
    </row>
    <row r="6" spans="1:20" x14ac:dyDescent="0.35">
      <c r="A6" t="s">
        <v>192</v>
      </c>
      <c r="C6" t="s">
        <v>201</v>
      </c>
      <c r="D6" t="s">
        <v>205</v>
      </c>
      <c r="E6" t="s">
        <v>209</v>
      </c>
      <c r="F6" t="s">
        <v>209</v>
      </c>
      <c r="G6" t="s">
        <v>225</v>
      </c>
      <c r="H6" t="s">
        <v>227</v>
      </c>
      <c r="I6" t="s">
        <v>231</v>
      </c>
      <c r="J6" t="s">
        <v>225</v>
      </c>
      <c r="K6" t="s">
        <v>227</v>
      </c>
      <c r="L6" t="s">
        <v>225</v>
      </c>
      <c r="M6" t="s">
        <v>591</v>
      </c>
      <c r="N6" t="s">
        <v>549</v>
      </c>
      <c r="O6" t="s">
        <v>553</v>
      </c>
      <c r="P6" t="s">
        <v>553</v>
      </c>
      <c r="Q6" t="s">
        <v>571</v>
      </c>
      <c r="R6" t="s">
        <v>575</v>
      </c>
      <c r="S6" t="s">
        <v>579</v>
      </c>
      <c r="T6" t="s">
        <v>225</v>
      </c>
    </row>
    <row r="7" spans="1:20" x14ac:dyDescent="0.35">
      <c r="A7" t="s">
        <v>191</v>
      </c>
      <c r="C7" t="s">
        <v>200</v>
      </c>
      <c r="D7" t="s">
        <v>204</v>
      </c>
      <c r="E7" t="s">
        <v>208</v>
      </c>
      <c r="F7" t="s">
        <v>208</v>
      </c>
      <c r="G7" t="s">
        <v>224</v>
      </c>
      <c r="H7" t="s">
        <v>226</v>
      </c>
      <c r="I7" t="s">
        <v>230</v>
      </c>
      <c r="J7" t="s">
        <v>224</v>
      </c>
      <c r="K7" t="s">
        <v>226</v>
      </c>
      <c r="L7" t="s">
        <v>224</v>
      </c>
      <c r="M7" t="s">
        <v>590</v>
      </c>
      <c r="N7" t="s">
        <v>548</v>
      </c>
      <c r="O7" t="s">
        <v>552</v>
      </c>
      <c r="P7" t="s">
        <v>552</v>
      </c>
      <c r="Q7" t="s">
        <v>570</v>
      </c>
      <c r="R7" t="s">
        <v>574</v>
      </c>
      <c r="S7" t="s">
        <v>578</v>
      </c>
      <c r="T7" t="s">
        <v>224</v>
      </c>
    </row>
    <row r="8" spans="1:20" x14ac:dyDescent="0.35">
      <c r="A8" t="s">
        <v>190</v>
      </c>
      <c r="C8" t="s">
        <v>199</v>
      </c>
      <c r="D8" t="s">
        <v>199</v>
      </c>
      <c r="E8" t="s">
        <v>199</v>
      </c>
      <c r="F8" t="s">
        <v>199</v>
      </c>
      <c r="G8" t="s">
        <v>223</v>
      </c>
      <c r="H8" t="s">
        <v>223</v>
      </c>
      <c r="I8" t="s">
        <v>223</v>
      </c>
      <c r="J8" t="s">
        <v>528</v>
      </c>
      <c r="K8" t="s">
        <v>528</v>
      </c>
      <c r="L8" t="s">
        <v>528</v>
      </c>
      <c r="M8" t="s">
        <v>528</v>
      </c>
      <c r="N8" t="s">
        <v>528</v>
      </c>
      <c r="O8" t="s">
        <v>528</v>
      </c>
      <c r="P8" t="s">
        <v>528</v>
      </c>
      <c r="Q8" t="s">
        <v>528</v>
      </c>
      <c r="R8" t="s">
        <v>528</v>
      </c>
      <c r="S8" t="s">
        <v>528</v>
      </c>
      <c r="T8" t="s">
        <v>528</v>
      </c>
    </row>
    <row r="9" spans="1:20" x14ac:dyDescent="0.35">
      <c r="A9" t="s">
        <v>189</v>
      </c>
      <c r="C9" t="s">
        <v>198</v>
      </c>
      <c r="D9" t="s">
        <v>198</v>
      </c>
      <c r="E9" t="s">
        <v>198</v>
      </c>
      <c r="F9" t="s">
        <v>198</v>
      </c>
      <c r="G9" t="s">
        <v>222</v>
      </c>
      <c r="H9" t="s">
        <v>222</v>
      </c>
      <c r="I9" t="s">
        <v>222</v>
      </c>
      <c r="J9" t="s">
        <v>222</v>
      </c>
      <c r="K9" t="s">
        <v>222</v>
      </c>
      <c r="L9" t="s">
        <v>222</v>
      </c>
      <c r="M9" t="s">
        <v>222</v>
      </c>
      <c r="N9" t="s">
        <v>222</v>
      </c>
      <c r="O9" t="s">
        <v>222</v>
      </c>
      <c r="P9" t="s">
        <v>222</v>
      </c>
      <c r="Q9" t="s">
        <v>222</v>
      </c>
      <c r="R9" t="s">
        <v>222</v>
      </c>
      <c r="S9" t="s">
        <v>222</v>
      </c>
      <c r="T9" t="s">
        <v>222</v>
      </c>
    </row>
    <row r="10" spans="1:20" x14ac:dyDescent="0.35">
      <c r="A10" t="s">
        <v>188</v>
      </c>
      <c r="C10" t="s">
        <v>197</v>
      </c>
      <c r="D10" t="s">
        <v>203</v>
      </c>
      <c r="E10" t="s">
        <v>203</v>
      </c>
      <c r="F10" t="s">
        <v>1376</v>
      </c>
      <c r="G10" t="s">
        <v>221</v>
      </c>
      <c r="H10" t="s">
        <v>221</v>
      </c>
      <c r="I10" t="s">
        <v>221</v>
      </c>
      <c r="J10" t="s">
        <v>221</v>
      </c>
      <c r="K10" t="s">
        <v>221</v>
      </c>
      <c r="L10" t="s">
        <v>221</v>
      </c>
      <c r="M10" t="s">
        <v>221</v>
      </c>
      <c r="N10" t="s">
        <v>221</v>
      </c>
      <c r="O10" t="s">
        <v>221</v>
      </c>
      <c r="P10" t="s">
        <v>221</v>
      </c>
      <c r="Q10" t="s">
        <v>221</v>
      </c>
      <c r="R10" t="s">
        <v>221</v>
      </c>
      <c r="S10" t="s">
        <v>221</v>
      </c>
      <c r="T10" t="s">
        <v>221</v>
      </c>
    </row>
    <row r="11" spans="1:20" x14ac:dyDescent="0.35">
      <c r="A11" t="s">
        <v>187</v>
      </c>
      <c r="C11" t="s">
        <v>196</v>
      </c>
      <c r="D11" t="s">
        <v>196</v>
      </c>
      <c r="E11" t="s">
        <v>196</v>
      </c>
      <c r="F11" t="s">
        <v>196</v>
      </c>
      <c r="G11" t="s">
        <v>196</v>
      </c>
      <c r="H11" t="s">
        <v>196</v>
      </c>
      <c r="I11" t="s">
        <v>196</v>
      </c>
      <c r="J11" t="s">
        <v>529</v>
      </c>
      <c r="K11" t="s">
        <v>527</v>
      </c>
      <c r="L11" t="s">
        <v>529</v>
      </c>
      <c r="M11" t="s">
        <v>196</v>
      </c>
      <c r="N11" t="s">
        <v>196</v>
      </c>
      <c r="O11" t="s">
        <v>196</v>
      </c>
      <c r="P11" t="s">
        <v>196</v>
      </c>
      <c r="Q11" t="s">
        <v>196</v>
      </c>
      <c r="R11" t="s">
        <v>196</v>
      </c>
      <c r="S11" t="s">
        <v>196</v>
      </c>
      <c r="T11" t="s">
        <v>196</v>
      </c>
    </row>
    <row r="12" spans="1:20" x14ac:dyDescent="0.35">
      <c r="A12" t="s">
        <v>5</v>
      </c>
      <c r="B12" s="4">
        <v>29311</v>
      </c>
      <c r="C12" s="2" t="e">
        <v>#N/A</v>
      </c>
      <c r="D12" s="2">
        <v>1835.4</v>
      </c>
      <c r="E12" s="3" t="e">
        <v>#N/A</v>
      </c>
      <c r="F12" s="29" t="e">
        <v>#N/A</v>
      </c>
      <c r="G12" s="3" t="e">
        <v>#N/A</v>
      </c>
      <c r="H12" s="8" t="e">
        <v>#N/A</v>
      </c>
      <c r="I12" s="8" t="e">
        <v>#N/A</v>
      </c>
      <c r="J12" s="20">
        <v>0.70891484042326947</v>
      </c>
      <c r="K12" s="8">
        <v>1.5151333333333332</v>
      </c>
      <c r="L12" s="8" t="e">
        <v>#N/A</v>
      </c>
      <c r="M12" s="3" t="e">
        <v>#N/A</v>
      </c>
      <c r="N12" s="21">
        <v>79.033333333333331</v>
      </c>
      <c r="O12" s="3" t="e">
        <v>#N/A</v>
      </c>
      <c r="P12" s="29" t="e">
        <v>#N/A</v>
      </c>
      <c r="Q12" s="3" t="e">
        <v>#N/A</v>
      </c>
      <c r="R12" s="3" t="e">
        <v>#N/A</v>
      </c>
      <c r="S12" s="21">
        <v>35.833333333333336</v>
      </c>
      <c r="T12" s="3" t="e">
        <v>#N/A</v>
      </c>
    </row>
    <row r="13" spans="1:20" x14ac:dyDescent="0.35">
      <c r="A13" t="s">
        <v>6</v>
      </c>
      <c r="B13" s="4">
        <v>29402</v>
      </c>
      <c r="C13" s="2" t="e">
        <v>#N/A</v>
      </c>
      <c r="D13" s="2">
        <v>1797.6</v>
      </c>
      <c r="E13" s="3" t="e">
        <v>#N/A</v>
      </c>
      <c r="F13" s="29" t="e">
        <v>#N/A</v>
      </c>
      <c r="G13" s="3" t="e">
        <v>#N/A</v>
      </c>
      <c r="H13" s="8" t="e">
        <v>#N/A</v>
      </c>
      <c r="I13" s="8" t="e">
        <v>#N/A</v>
      </c>
      <c r="J13" s="20">
        <v>0.71904683152013682</v>
      </c>
      <c r="K13" s="8">
        <v>1.5008333333333332</v>
      </c>
      <c r="L13" s="8" t="e">
        <v>#N/A</v>
      </c>
      <c r="M13" s="3" t="e">
        <v>#N/A</v>
      </c>
      <c r="N13" s="21">
        <v>81.7</v>
      </c>
      <c r="O13" s="3" t="e">
        <v>#N/A</v>
      </c>
      <c r="P13" s="29" t="e">
        <v>#N/A</v>
      </c>
      <c r="Q13" s="3" t="e">
        <v>#N/A</v>
      </c>
      <c r="R13" s="3" t="e">
        <v>#N/A</v>
      </c>
      <c r="S13" s="21">
        <v>39.5</v>
      </c>
      <c r="T13" s="3" t="e">
        <v>#N/A</v>
      </c>
    </row>
    <row r="14" spans="1:20" x14ac:dyDescent="0.35">
      <c r="A14" t="s">
        <v>7</v>
      </c>
      <c r="B14" s="4">
        <v>29494</v>
      </c>
      <c r="C14" s="2" t="e">
        <v>#N/A</v>
      </c>
      <c r="D14" s="2">
        <v>1795.4</v>
      </c>
      <c r="E14" s="3" t="e">
        <v>#N/A</v>
      </c>
      <c r="F14" s="29" t="e">
        <v>#N/A</v>
      </c>
      <c r="G14" s="3" t="e">
        <v>#N/A</v>
      </c>
      <c r="H14" s="8" t="e">
        <v>#N/A</v>
      </c>
      <c r="I14" s="8" t="e">
        <v>#N/A</v>
      </c>
      <c r="J14" s="20">
        <v>0.70283288508213781</v>
      </c>
      <c r="K14" s="8">
        <v>1.4643999999999997</v>
      </c>
      <c r="L14" s="8" t="e">
        <v>#N/A</v>
      </c>
      <c r="M14" s="3" t="e">
        <v>#N/A</v>
      </c>
      <c r="N14" s="21">
        <v>83.233333333333334</v>
      </c>
      <c r="O14" s="3" t="e">
        <v>#N/A</v>
      </c>
      <c r="P14" s="29" t="e">
        <v>#N/A</v>
      </c>
      <c r="Q14" s="3" t="e">
        <v>#N/A</v>
      </c>
      <c r="R14" s="3" t="e">
        <v>#N/A</v>
      </c>
      <c r="S14" s="21">
        <v>37.833333333333336</v>
      </c>
      <c r="T14" s="3" t="e">
        <v>#N/A</v>
      </c>
    </row>
    <row r="15" spans="1:20" x14ac:dyDescent="0.35">
      <c r="A15" t="s">
        <v>8</v>
      </c>
      <c r="B15" s="4">
        <v>29586</v>
      </c>
      <c r="C15" s="2" t="e">
        <v>#N/A</v>
      </c>
      <c r="D15" s="2">
        <v>1828.9</v>
      </c>
      <c r="E15" s="3" t="e">
        <v>#N/A</v>
      </c>
      <c r="F15" s="29" t="e">
        <v>#N/A</v>
      </c>
      <c r="G15" s="3" t="e">
        <v>#N/A</v>
      </c>
      <c r="H15" s="8" t="e">
        <v>#N/A</v>
      </c>
      <c r="I15" s="8" t="e">
        <v>#N/A</v>
      </c>
      <c r="J15" s="20">
        <v>0.74632620923504034</v>
      </c>
      <c r="K15" s="8">
        <v>1.5131666666666668</v>
      </c>
      <c r="L15" s="8" t="e">
        <v>#N/A</v>
      </c>
      <c r="M15" s="3" t="e">
        <v>#N/A</v>
      </c>
      <c r="N15" s="21">
        <v>85.566666666666677</v>
      </c>
      <c r="O15" s="3" t="e">
        <v>#N/A</v>
      </c>
      <c r="P15" s="29" t="e">
        <v>#N/A</v>
      </c>
      <c r="Q15" s="3" t="e">
        <v>#N/A</v>
      </c>
      <c r="R15" s="3" t="e">
        <v>#N/A</v>
      </c>
      <c r="S15" s="21">
        <v>36.333333333333336</v>
      </c>
      <c r="T15" s="3" t="e">
        <v>#N/A</v>
      </c>
    </row>
    <row r="16" spans="1:20" x14ac:dyDescent="0.35">
      <c r="A16" t="s">
        <v>9</v>
      </c>
      <c r="B16" s="4">
        <v>29676</v>
      </c>
      <c r="C16" s="2" t="e">
        <v>#N/A</v>
      </c>
      <c r="D16" s="2">
        <v>1864.8</v>
      </c>
      <c r="E16" s="3" t="e">
        <v>#N/A</v>
      </c>
      <c r="F16" s="29" t="e">
        <v>#N/A</v>
      </c>
      <c r="G16" s="3" t="e">
        <v>#N/A</v>
      </c>
      <c r="H16" s="8" t="e">
        <v>#N/A</v>
      </c>
      <c r="I16" s="8" t="e">
        <v>#N/A</v>
      </c>
      <c r="J16" s="20">
        <v>0.8111089481539161</v>
      </c>
      <c r="K16" s="8">
        <v>1.5987666666666669</v>
      </c>
      <c r="L16" s="8" t="e">
        <v>#N/A</v>
      </c>
      <c r="M16" s="3" t="e">
        <v>#N/A</v>
      </c>
      <c r="N16" s="21">
        <v>87.933333333333323</v>
      </c>
      <c r="O16" s="3" t="e">
        <v>#N/A</v>
      </c>
      <c r="P16" s="29" t="e">
        <v>#N/A</v>
      </c>
      <c r="Q16" s="3" t="e">
        <v>#N/A</v>
      </c>
      <c r="R16" s="3" t="e">
        <v>#N/A</v>
      </c>
      <c r="S16" s="21">
        <v>38</v>
      </c>
      <c r="T16" s="3" t="e">
        <v>#N/A</v>
      </c>
    </row>
    <row r="17" spans="1:20" x14ac:dyDescent="0.35">
      <c r="A17" t="s">
        <v>10</v>
      </c>
      <c r="B17" s="4">
        <v>29767</v>
      </c>
      <c r="C17" s="2" t="e">
        <v>#N/A</v>
      </c>
      <c r="D17" s="2">
        <v>1850.9</v>
      </c>
      <c r="E17" s="3" t="e">
        <v>#N/A</v>
      </c>
      <c r="F17" s="29" t="e">
        <v>#N/A</v>
      </c>
      <c r="G17" s="3" t="e">
        <v>#N/A</v>
      </c>
      <c r="H17" s="8" t="e">
        <v>#N/A</v>
      </c>
      <c r="I17" s="8" t="e">
        <v>#N/A</v>
      </c>
      <c r="J17" s="20">
        <v>0.89624205705476923</v>
      </c>
      <c r="K17" s="8">
        <v>1.7178333333333331</v>
      </c>
      <c r="L17" s="8" t="e">
        <v>#N/A</v>
      </c>
      <c r="M17" s="3" t="e">
        <v>#N/A</v>
      </c>
      <c r="N17" s="21">
        <v>89.766666666666666</v>
      </c>
      <c r="O17" s="3" t="e">
        <v>#N/A</v>
      </c>
      <c r="P17" s="29" t="e">
        <v>#N/A</v>
      </c>
      <c r="Q17" s="3" t="e">
        <v>#N/A</v>
      </c>
      <c r="R17" s="3" t="e">
        <v>#N/A</v>
      </c>
      <c r="S17" s="21">
        <v>37.333333333333336</v>
      </c>
      <c r="T17" s="3" t="e">
        <v>#N/A</v>
      </c>
    </row>
    <row r="18" spans="1:20" x14ac:dyDescent="0.35">
      <c r="A18" t="s">
        <v>11</v>
      </c>
      <c r="B18" s="4">
        <v>29859</v>
      </c>
      <c r="C18" s="2" t="e">
        <v>#N/A</v>
      </c>
      <c r="D18" s="2">
        <v>1873.1</v>
      </c>
      <c r="E18" s="3" t="e">
        <v>#N/A</v>
      </c>
      <c r="F18" s="29" t="e">
        <v>#N/A</v>
      </c>
      <c r="G18" s="3" t="e">
        <v>#N/A</v>
      </c>
      <c r="H18" s="8" t="e">
        <v>#N/A</v>
      </c>
      <c r="I18" s="8" t="e">
        <v>#N/A</v>
      </c>
      <c r="J18" s="20">
        <v>0.96849798875251014</v>
      </c>
      <c r="K18" s="8">
        <v>1.7730666666666668</v>
      </c>
      <c r="L18" s="8" t="e">
        <v>#N/A</v>
      </c>
      <c r="M18" s="3" t="e">
        <v>#N/A</v>
      </c>
      <c r="N18" s="21">
        <v>92.266666666666652</v>
      </c>
      <c r="O18" s="3" t="e">
        <v>#N/A</v>
      </c>
      <c r="P18" s="29" t="e">
        <v>#N/A</v>
      </c>
      <c r="Q18" s="3" t="e">
        <v>#N/A</v>
      </c>
      <c r="R18" s="3" t="e">
        <v>#N/A</v>
      </c>
      <c r="S18" s="21">
        <v>36</v>
      </c>
      <c r="T18" s="3" t="e">
        <v>#N/A</v>
      </c>
    </row>
    <row r="19" spans="1:20" x14ac:dyDescent="0.35">
      <c r="A19" t="s">
        <v>12</v>
      </c>
      <c r="B19" s="4">
        <v>29951</v>
      </c>
      <c r="C19" s="2" t="e">
        <v>#N/A</v>
      </c>
      <c r="D19" s="2">
        <v>1852.7</v>
      </c>
      <c r="E19" s="3" t="e">
        <v>#N/A</v>
      </c>
      <c r="F19" s="29" t="e">
        <v>#N/A</v>
      </c>
      <c r="G19" s="3" t="e">
        <v>#N/A</v>
      </c>
      <c r="H19" s="8" t="e">
        <v>#N/A</v>
      </c>
      <c r="I19" s="8" t="e">
        <v>#N/A</v>
      </c>
      <c r="J19" s="20">
        <v>0.91801512888932413</v>
      </c>
      <c r="K19" s="8">
        <v>1.7463333333333333</v>
      </c>
      <c r="L19" s="8" t="e">
        <v>#N/A</v>
      </c>
      <c r="M19" s="3" t="e">
        <v>#N/A</v>
      </c>
      <c r="N19" s="21">
        <v>93.766666666666652</v>
      </c>
      <c r="O19" s="3" t="e">
        <v>#N/A</v>
      </c>
      <c r="P19" s="29" t="e">
        <v>#N/A</v>
      </c>
      <c r="Q19" s="3" t="e">
        <v>#N/A</v>
      </c>
      <c r="R19" s="3" t="e">
        <v>#N/A</v>
      </c>
      <c r="S19" s="21">
        <v>35.333333333333336</v>
      </c>
      <c r="T19" s="3" t="e">
        <v>#N/A</v>
      </c>
    </row>
    <row r="20" spans="1:20" x14ac:dyDescent="0.35">
      <c r="A20" t="s">
        <v>13</v>
      </c>
      <c r="B20" s="4">
        <v>30041</v>
      </c>
      <c r="C20" s="2" t="e">
        <v>#N/A</v>
      </c>
      <c r="D20" s="2">
        <v>1823.9</v>
      </c>
      <c r="E20" s="3" t="e">
        <v>#N/A</v>
      </c>
      <c r="F20" s="29" t="e">
        <v>#N/A</v>
      </c>
      <c r="G20" s="3" t="e">
        <v>#N/A</v>
      </c>
      <c r="H20" s="8" t="e">
        <v>#N/A</v>
      </c>
      <c r="I20" s="8" t="e">
        <v>#N/A</v>
      </c>
      <c r="J20" s="20">
        <v>0.96385851842094261</v>
      </c>
      <c r="K20" s="8">
        <v>1.8114000000000001</v>
      </c>
      <c r="L20" s="8" t="e">
        <v>#N/A</v>
      </c>
      <c r="M20" s="3" t="e">
        <v>#N/A</v>
      </c>
      <c r="N20" s="21">
        <v>94.600000000000009</v>
      </c>
      <c r="O20" s="3" t="e">
        <v>#N/A</v>
      </c>
      <c r="P20" s="29" t="e">
        <v>#N/A</v>
      </c>
      <c r="Q20" s="3" t="e">
        <v>#N/A</v>
      </c>
      <c r="R20" s="3" t="e">
        <v>#N/A</v>
      </c>
      <c r="S20" s="21">
        <v>31.296666666666667</v>
      </c>
      <c r="T20" s="3" t="e">
        <v>#N/A</v>
      </c>
    </row>
    <row r="21" spans="1:20" x14ac:dyDescent="0.35">
      <c r="A21" t="s">
        <v>14</v>
      </c>
      <c r="B21" s="4">
        <v>30132</v>
      </c>
      <c r="C21" s="2" t="e">
        <v>#N/A</v>
      </c>
      <c r="D21" s="2">
        <v>1832.2</v>
      </c>
      <c r="E21" s="3" t="e">
        <v>#N/A</v>
      </c>
      <c r="F21" s="29" t="e">
        <v>#N/A</v>
      </c>
      <c r="G21" s="3" t="e">
        <v>#N/A</v>
      </c>
      <c r="H21" s="8" t="e">
        <v>#N/A</v>
      </c>
      <c r="I21" s="8" t="e">
        <v>#N/A</v>
      </c>
      <c r="J21" s="20">
        <v>0.99683736731263939</v>
      </c>
      <c r="K21" s="8">
        <v>1.8567333333333333</v>
      </c>
      <c r="L21" s="8" t="e">
        <v>#N/A</v>
      </c>
      <c r="M21" s="3" t="e">
        <v>#N/A</v>
      </c>
      <c r="N21" s="21">
        <v>95.966666666666654</v>
      </c>
      <c r="O21" s="3" t="e">
        <v>#N/A</v>
      </c>
      <c r="P21" s="29" t="e">
        <v>#N/A</v>
      </c>
      <c r="Q21" s="3" t="e">
        <v>#N/A</v>
      </c>
      <c r="R21" s="3" t="e">
        <v>#N/A</v>
      </c>
      <c r="S21" s="21">
        <v>34.816666666666663</v>
      </c>
      <c r="T21" s="3" t="e">
        <v>#N/A</v>
      </c>
    </row>
    <row r="22" spans="1:20" x14ac:dyDescent="0.35">
      <c r="A22" t="s">
        <v>15</v>
      </c>
      <c r="B22" s="4">
        <v>30224</v>
      </c>
      <c r="C22" s="2" t="e">
        <v>#N/A</v>
      </c>
      <c r="D22" s="2">
        <v>1825.2</v>
      </c>
      <c r="E22" s="3" t="e">
        <v>#N/A</v>
      </c>
      <c r="F22" s="29" t="e">
        <v>#N/A</v>
      </c>
      <c r="G22" s="3" t="e">
        <v>#N/A</v>
      </c>
      <c r="H22" s="8">
        <v>10.25</v>
      </c>
      <c r="I22" s="8" t="e">
        <v>#N/A</v>
      </c>
      <c r="J22" s="20">
        <v>1.0519221773947534</v>
      </c>
      <c r="K22" s="8">
        <v>1.9433</v>
      </c>
      <c r="L22" s="8" t="e">
        <v>#N/A</v>
      </c>
      <c r="M22" s="3" t="e">
        <v>#N/A</v>
      </c>
      <c r="N22" s="21">
        <v>97.633333333333326</v>
      </c>
      <c r="O22" s="3" t="e">
        <v>#N/A</v>
      </c>
      <c r="P22" s="29" t="e">
        <v>#N/A</v>
      </c>
      <c r="Q22" s="3" t="e">
        <v>#N/A</v>
      </c>
      <c r="R22" s="3" t="e">
        <v>#N/A</v>
      </c>
      <c r="S22" s="21">
        <v>34.580000000000005</v>
      </c>
      <c r="T22" s="3" t="e">
        <v>#N/A</v>
      </c>
    </row>
    <row r="23" spans="1:20" x14ac:dyDescent="0.35">
      <c r="A23" t="s">
        <v>16</v>
      </c>
      <c r="B23" s="4">
        <v>30316</v>
      </c>
      <c r="C23" s="2" t="e">
        <v>#N/A</v>
      </c>
      <c r="D23" s="2">
        <v>1826</v>
      </c>
      <c r="E23" s="3" t="e">
        <v>#N/A</v>
      </c>
      <c r="F23" s="29" t="e">
        <v>#N/A</v>
      </c>
      <c r="G23" s="3" t="e">
        <v>#N/A</v>
      </c>
      <c r="H23" s="8">
        <v>8.5</v>
      </c>
      <c r="I23" s="8" t="e">
        <v>#N/A</v>
      </c>
      <c r="J23" s="20">
        <v>1.0711848768690837</v>
      </c>
      <c r="K23" s="8">
        <v>1.9778</v>
      </c>
      <c r="L23" s="8" t="e">
        <v>#N/A</v>
      </c>
      <c r="M23" s="3" t="e">
        <v>#N/A</v>
      </c>
      <c r="N23" s="21">
        <v>97.933333333333337</v>
      </c>
      <c r="O23" s="3" t="e">
        <v>#N/A</v>
      </c>
      <c r="P23" s="29" t="e">
        <v>#N/A</v>
      </c>
      <c r="Q23" s="3" t="e">
        <v>#N/A</v>
      </c>
      <c r="R23" s="3" t="e">
        <v>#N/A</v>
      </c>
      <c r="S23" s="21">
        <v>33.85</v>
      </c>
      <c r="T23" s="3" t="e">
        <v>#N/A</v>
      </c>
    </row>
    <row r="24" spans="1:20" x14ac:dyDescent="0.35">
      <c r="A24" t="s">
        <v>17</v>
      </c>
      <c r="B24" s="4">
        <v>30406</v>
      </c>
      <c r="C24" s="2" t="e">
        <v>#N/A</v>
      </c>
      <c r="D24" s="2">
        <v>1850</v>
      </c>
      <c r="E24" s="3" t="e">
        <v>#N/A</v>
      </c>
      <c r="F24" s="29" t="e">
        <v>#N/A</v>
      </c>
      <c r="G24" s="3" t="e">
        <v>#N/A</v>
      </c>
      <c r="H24" s="8">
        <v>8.625</v>
      </c>
      <c r="I24" s="8" t="e">
        <v>#N/A</v>
      </c>
      <c r="J24" s="20">
        <v>1.0548207947371475</v>
      </c>
      <c r="K24" s="8">
        <v>1.9575000000000002</v>
      </c>
      <c r="L24" s="8" t="e">
        <v>#N/A</v>
      </c>
      <c r="M24" s="3" t="e">
        <v>#N/A</v>
      </c>
      <c r="N24" s="21">
        <v>98</v>
      </c>
      <c r="O24" s="3" t="e">
        <v>#N/A</v>
      </c>
      <c r="P24" s="29" t="e">
        <v>#N/A</v>
      </c>
      <c r="Q24" s="3" t="e">
        <v>#N/A</v>
      </c>
      <c r="R24" s="3" t="e">
        <v>#N/A</v>
      </c>
      <c r="S24" s="21">
        <v>29.653333333333336</v>
      </c>
      <c r="T24" s="3" t="e">
        <v>#N/A</v>
      </c>
    </row>
    <row r="25" spans="1:20" x14ac:dyDescent="0.35">
      <c r="A25" t="s">
        <v>18</v>
      </c>
      <c r="B25" s="4">
        <v>30497</v>
      </c>
      <c r="C25" s="2" t="e">
        <v>#N/A</v>
      </c>
      <c r="D25" s="2">
        <v>1892.1</v>
      </c>
      <c r="E25" s="3" t="e">
        <v>#N/A</v>
      </c>
      <c r="F25" s="29" t="e">
        <v>#N/A</v>
      </c>
      <c r="G25" s="3" t="e">
        <v>#N/A</v>
      </c>
      <c r="H25" s="8">
        <v>9</v>
      </c>
      <c r="I25" s="8" t="e">
        <v>#N/A</v>
      </c>
      <c r="J25" s="20">
        <v>1.0964134853011154</v>
      </c>
      <c r="K25" s="8">
        <v>1.992733333333333</v>
      </c>
      <c r="L25" s="8" t="e">
        <v>#N/A</v>
      </c>
      <c r="M25" s="3" t="e">
        <v>#N/A</v>
      </c>
      <c r="N25" s="21">
        <v>99.133333333333326</v>
      </c>
      <c r="O25" s="3" t="e">
        <v>#N/A</v>
      </c>
      <c r="P25" s="29" t="e">
        <v>#N/A</v>
      </c>
      <c r="Q25" s="3" t="e">
        <v>#N/A</v>
      </c>
      <c r="R25" s="3" t="e">
        <v>#N/A</v>
      </c>
      <c r="S25" s="21">
        <v>30.536666666666665</v>
      </c>
      <c r="T25" s="3" t="e">
        <v>#N/A</v>
      </c>
    </row>
    <row r="26" spans="1:20" x14ac:dyDescent="0.35">
      <c r="A26" t="s">
        <v>19</v>
      </c>
      <c r="B26" s="4">
        <v>30589</v>
      </c>
      <c r="C26" s="2" t="e">
        <v>#N/A</v>
      </c>
      <c r="D26" s="2">
        <v>1929.9</v>
      </c>
      <c r="E26" s="3" t="e">
        <v>#N/A</v>
      </c>
      <c r="F26" s="29" t="e">
        <v>#N/A</v>
      </c>
      <c r="G26" s="3" t="e">
        <v>#N/A</v>
      </c>
      <c r="H26" s="8">
        <v>9.375</v>
      </c>
      <c r="I26" s="8" t="e">
        <v>#N/A</v>
      </c>
      <c r="J26" s="20">
        <v>1.161321490950983</v>
      </c>
      <c r="K26" s="8">
        <v>1.9892000000000001</v>
      </c>
      <c r="L26" s="8" t="e">
        <v>#N/A</v>
      </c>
      <c r="M26" s="3" t="e">
        <v>#N/A</v>
      </c>
      <c r="N26" s="21">
        <v>100.09999999999998</v>
      </c>
      <c r="O26" s="3" t="e">
        <v>#N/A</v>
      </c>
      <c r="P26" s="29" t="e">
        <v>#N/A</v>
      </c>
      <c r="Q26" s="3" t="e">
        <v>#N/A</v>
      </c>
      <c r="R26" s="3" t="e">
        <v>#N/A</v>
      </c>
      <c r="S26" s="21">
        <v>31.560000000000002</v>
      </c>
      <c r="T26" s="3" t="e">
        <v>#N/A</v>
      </c>
    </row>
    <row r="27" spans="1:20" x14ac:dyDescent="0.35">
      <c r="A27" t="s">
        <v>20</v>
      </c>
      <c r="B27" s="4">
        <v>30681</v>
      </c>
      <c r="C27" s="2" t="e">
        <v>#N/A</v>
      </c>
      <c r="D27" s="2">
        <v>1970.2</v>
      </c>
      <c r="E27" s="3" t="e">
        <v>#N/A</v>
      </c>
      <c r="F27" s="29" t="e">
        <v>#N/A</v>
      </c>
      <c r="G27" s="3" t="e">
        <v>#N/A</v>
      </c>
      <c r="H27" s="8">
        <v>9.375</v>
      </c>
      <c r="I27" s="8" t="e">
        <v>#N/A</v>
      </c>
      <c r="J27" s="20">
        <v>1.1850185218394962</v>
      </c>
      <c r="K27" s="8">
        <v>1.9841333333333333</v>
      </c>
      <c r="L27" s="8" t="e">
        <v>#N/A</v>
      </c>
      <c r="M27" s="3" t="e">
        <v>#N/A</v>
      </c>
      <c r="N27" s="21">
        <v>101.09999999999998</v>
      </c>
      <c r="O27" s="3" t="e">
        <v>#N/A</v>
      </c>
      <c r="P27" s="29" t="e">
        <v>#N/A</v>
      </c>
      <c r="Q27" s="3" t="e">
        <v>#N/A</v>
      </c>
      <c r="R27" s="3" t="e">
        <v>#N/A</v>
      </c>
      <c r="S27" s="21">
        <v>29.83</v>
      </c>
      <c r="T27" s="3" t="e">
        <v>#N/A</v>
      </c>
    </row>
    <row r="28" spans="1:20" x14ac:dyDescent="0.35">
      <c r="A28" t="s">
        <v>21</v>
      </c>
      <c r="B28" s="4">
        <v>30772</v>
      </c>
      <c r="C28" s="2" t="e">
        <v>#N/A</v>
      </c>
      <c r="D28" s="2">
        <v>2008.7</v>
      </c>
      <c r="E28" s="3" t="e">
        <v>#N/A</v>
      </c>
      <c r="F28" s="29" t="e">
        <v>#N/A</v>
      </c>
      <c r="G28" s="3" t="e">
        <v>#N/A</v>
      </c>
      <c r="H28" s="8">
        <v>10.5</v>
      </c>
      <c r="I28" s="8" t="e">
        <v>#N/A</v>
      </c>
      <c r="J28" s="20">
        <v>1.2024317980684134</v>
      </c>
      <c r="K28" s="8">
        <v>2.0588000000000002</v>
      </c>
      <c r="L28" s="8" t="e">
        <v>#N/A</v>
      </c>
      <c r="M28" s="3" t="e">
        <v>#N/A</v>
      </c>
      <c r="N28" s="21">
        <v>102.53333333333335</v>
      </c>
      <c r="O28" s="3">
        <v>16.84</v>
      </c>
      <c r="P28" s="29" t="e">
        <v>#N/A</v>
      </c>
      <c r="Q28" s="3" t="e">
        <v>#N/A</v>
      </c>
      <c r="R28" s="3" t="e">
        <v>#N/A</v>
      </c>
      <c r="S28" s="21">
        <v>30.198666666666668</v>
      </c>
      <c r="T28" s="3" t="e">
        <v>#N/A</v>
      </c>
    </row>
    <row r="29" spans="1:20" x14ac:dyDescent="0.35">
      <c r="A29" t="s">
        <v>22</v>
      </c>
      <c r="B29" s="4">
        <v>30863</v>
      </c>
      <c r="C29" s="2" t="e">
        <v>#N/A</v>
      </c>
      <c r="D29" s="2">
        <v>2043.4</v>
      </c>
      <c r="E29" s="3" t="e">
        <v>#N/A</v>
      </c>
      <c r="F29" s="29" t="e">
        <v>#N/A</v>
      </c>
      <c r="G29" s="3" t="e">
        <v>#N/A</v>
      </c>
      <c r="H29" s="8">
        <v>10.5</v>
      </c>
      <c r="I29" s="8" t="e">
        <v>#N/A</v>
      </c>
      <c r="J29" s="20">
        <v>1.211697729884303</v>
      </c>
      <c r="K29" s="8">
        <v>2.1657666666666668</v>
      </c>
      <c r="L29" s="8" t="e">
        <v>#N/A</v>
      </c>
      <c r="M29" s="3" t="e">
        <v>#N/A</v>
      </c>
      <c r="N29" s="21">
        <v>103.5</v>
      </c>
      <c r="O29" s="3">
        <v>16.95</v>
      </c>
      <c r="P29" s="29">
        <v>6.7228860890506626E-3</v>
      </c>
      <c r="Q29" s="3" t="e">
        <v>#N/A</v>
      </c>
      <c r="R29" s="3" t="e">
        <v>#N/A</v>
      </c>
      <c r="S29" s="21">
        <v>30.368333333333329</v>
      </c>
      <c r="T29" s="3" t="e">
        <v>#N/A</v>
      </c>
    </row>
    <row r="30" spans="1:20" x14ac:dyDescent="0.35">
      <c r="A30" t="s">
        <v>23</v>
      </c>
      <c r="B30" s="4">
        <v>30955</v>
      </c>
      <c r="C30" s="2" t="e">
        <v>#N/A</v>
      </c>
      <c r="D30" s="2">
        <v>2063.1</v>
      </c>
      <c r="E30" s="3" t="e">
        <v>#N/A</v>
      </c>
      <c r="F30" s="29" t="e">
        <v>#N/A</v>
      </c>
      <c r="G30" s="3" t="e">
        <v>#N/A</v>
      </c>
      <c r="H30" s="8">
        <v>11</v>
      </c>
      <c r="I30" s="8" t="e">
        <v>#N/A</v>
      </c>
      <c r="J30" s="20">
        <v>1.3025972486540913</v>
      </c>
      <c r="K30" s="8">
        <v>2.4060999999999999</v>
      </c>
      <c r="L30" s="8" t="e">
        <v>#N/A</v>
      </c>
      <c r="M30" s="3" t="e">
        <v>#N/A</v>
      </c>
      <c r="N30" s="21">
        <v>104.39999999999999</v>
      </c>
      <c r="O30" s="3">
        <v>16.98</v>
      </c>
      <c r="P30" s="29">
        <v>6.0729787948831972E-3</v>
      </c>
      <c r="Q30" s="3" t="e">
        <v>#N/A</v>
      </c>
      <c r="R30" s="3" t="e">
        <v>#N/A</v>
      </c>
      <c r="S30" s="21">
        <v>29.104333333333329</v>
      </c>
      <c r="T30" s="3" t="e">
        <v>#N/A</v>
      </c>
    </row>
    <row r="31" spans="1:20" x14ac:dyDescent="0.35">
      <c r="A31" t="s">
        <v>24</v>
      </c>
      <c r="B31" s="4">
        <v>31047</v>
      </c>
      <c r="C31" s="2" t="e">
        <v>#N/A</v>
      </c>
      <c r="D31" s="2">
        <v>2080.1</v>
      </c>
      <c r="E31" s="3" t="e">
        <v>#N/A</v>
      </c>
      <c r="F31" s="29" t="e">
        <v>#N/A</v>
      </c>
      <c r="G31" s="3" t="e">
        <v>#N/A</v>
      </c>
      <c r="H31" s="8">
        <v>8.125</v>
      </c>
      <c r="I31" s="8" t="e">
        <v>#N/A</v>
      </c>
      <c r="J31" s="20">
        <v>1.367300729591669</v>
      </c>
      <c r="K31" s="8">
        <v>2.7075333333333336</v>
      </c>
      <c r="L31" s="8" t="e">
        <v>#N/A</v>
      </c>
      <c r="M31" s="3" t="e">
        <v>#N/A</v>
      </c>
      <c r="N31" s="21">
        <v>105.3</v>
      </c>
      <c r="O31" s="3">
        <v>17.136666666666667</v>
      </c>
      <c r="P31" s="29">
        <v>9.0100711397928818E-3</v>
      </c>
      <c r="Q31" s="3" t="e">
        <v>#N/A</v>
      </c>
      <c r="R31" s="3" t="e">
        <v>#N/A</v>
      </c>
      <c r="S31" s="21">
        <v>27.430666666666667</v>
      </c>
      <c r="T31" s="3" t="e">
        <v>#N/A</v>
      </c>
    </row>
    <row r="32" spans="1:20" x14ac:dyDescent="0.35">
      <c r="A32" t="s">
        <v>25</v>
      </c>
      <c r="B32" s="4">
        <v>31137</v>
      </c>
      <c r="C32" s="2" t="e">
        <v>#N/A</v>
      </c>
      <c r="D32" s="2">
        <v>2100.1999999999998</v>
      </c>
      <c r="E32" s="3" t="e">
        <v>#N/A</v>
      </c>
      <c r="F32" s="29" t="e">
        <v>#N/A</v>
      </c>
      <c r="G32" s="3" t="e">
        <v>#N/A</v>
      </c>
      <c r="H32" s="8">
        <v>8.5</v>
      </c>
      <c r="I32" s="8" t="e">
        <v>#N/A</v>
      </c>
      <c r="J32" s="20">
        <v>1.4618728930756928</v>
      </c>
      <c r="K32" s="8">
        <v>2.8346666666666671</v>
      </c>
      <c r="L32" s="8" t="e">
        <v>#N/A</v>
      </c>
      <c r="M32" s="3" t="e">
        <v>#N/A</v>
      </c>
      <c r="N32" s="21">
        <v>106.26666666666667</v>
      </c>
      <c r="O32" s="3">
        <v>17.91</v>
      </c>
      <c r="P32" s="29">
        <v>4.0991061955653212E-2</v>
      </c>
      <c r="Q32" s="3" t="e">
        <v>#N/A</v>
      </c>
      <c r="R32" s="3" t="e">
        <v>#N/A</v>
      </c>
      <c r="S32" s="21">
        <v>27.05</v>
      </c>
      <c r="T32" s="3" t="e">
        <v>#N/A</v>
      </c>
    </row>
    <row r="33" spans="1:20" x14ac:dyDescent="0.35">
      <c r="A33" t="s">
        <v>26</v>
      </c>
      <c r="B33" s="4">
        <v>31228</v>
      </c>
      <c r="C33" s="2" t="e">
        <v>#N/A</v>
      </c>
      <c r="D33" s="2">
        <v>2118.6999999999998</v>
      </c>
      <c r="E33" s="3" t="e">
        <v>#N/A</v>
      </c>
      <c r="F33" s="29" t="e">
        <v>#N/A</v>
      </c>
      <c r="G33" s="3" t="e">
        <v>#N/A</v>
      </c>
      <c r="H33" s="8">
        <v>7.75</v>
      </c>
      <c r="I33" s="8" t="e">
        <v>#N/A</v>
      </c>
      <c r="J33" s="20">
        <v>1.3773756861052637</v>
      </c>
      <c r="K33" s="8">
        <v>2.8576333333333337</v>
      </c>
      <c r="L33" s="8" t="e">
        <v>#N/A</v>
      </c>
      <c r="M33" s="3" t="e">
        <v>#N/A</v>
      </c>
      <c r="N33" s="21">
        <v>107.23333333333333</v>
      </c>
      <c r="O33" s="3">
        <v>18.529999999999998</v>
      </c>
      <c r="P33" s="29">
        <v>3.4841861099531697E-2</v>
      </c>
      <c r="Q33" s="3" t="e">
        <v>#N/A</v>
      </c>
      <c r="R33" s="3" t="e">
        <v>#N/A</v>
      </c>
      <c r="S33" s="21">
        <v>27.856999999999999</v>
      </c>
      <c r="T33" s="3" t="e">
        <v>#N/A</v>
      </c>
    </row>
    <row r="34" spans="1:20" x14ac:dyDescent="0.35">
      <c r="A34" t="s">
        <v>27</v>
      </c>
      <c r="B34" s="4">
        <v>31320</v>
      </c>
      <c r="C34" s="2" t="e">
        <v>#N/A</v>
      </c>
      <c r="D34" s="2">
        <v>2151.1</v>
      </c>
      <c r="E34" s="3" t="e">
        <v>#N/A</v>
      </c>
      <c r="F34" s="29" t="e">
        <v>#N/A</v>
      </c>
      <c r="G34" s="3" t="e">
        <v>#N/A</v>
      </c>
      <c r="H34" s="8">
        <v>8</v>
      </c>
      <c r="I34" s="8" t="e">
        <v>#N/A</v>
      </c>
      <c r="J34" s="20">
        <v>1.2739994963455323</v>
      </c>
      <c r="K34" s="8">
        <v>2.9207999999999998</v>
      </c>
      <c r="L34" s="8" t="e">
        <v>#N/A</v>
      </c>
      <c r="M34" s="3" t="e">
        <v>#N/A</v>
      </c>
      <c r="N34" s="21">
        <v>107.90000000000002</v>
      </c>
      <c r="O34" s="3">
        <v>18.876666666666669</v>
      </c>
      <c r="P34" s="29">
        <v>2.2633036497490936E-2</v>
      </c>
      <c r="Q34" s="3" t="e">
        <v>#N/A</v>
      </c>
      <c r="R34" s="3" t="e">
        <v>#N/A</v>
      </c>
      <c r="S34" s="21">
        <v>27.791</v>
      </c>
      <c r="T34" s="3" t="e">
        <v>#N/A</v>
      </c>
    </row>
    <row r="35" spans="1:20" x14ac:dyDescent="0.35">
      <c r="A35" t="s">
        <v>28</v>
      </c>
      <c r="B35" s="4">
        <v>31412</v>
      </c>
      <c r="C35" s="2" t="e">
        <v>#N/A</v>
      </c>
      <c r="D35" s="2">
        <v>2167.1</v>
      </c>
      <c r="E35" s="3" t="e">
        <v>#N/A</v>
      </c>
      <c r="F35" s="29" t="e">
        <v>#N/A</v>
      </c>
      <c r="G35" s="3" t="e">
        <v>#N/A</v>
      </c>
      <c r="H35" s="8">
        <v>7.75</v>
      </c>
      <c r="I35" s="8" t="e">
        <v>#N/A</v>
      </c>
      <c r="J35" s="20">
        <v>1.1713135930552037</v>
      </c>
      <c r="K35" s="8">
        <v>3.1654333333333331</v>
      </c>
      <c r="L35" s="8" t="e">
        <v>#N/A</v>
      </c>
      <c r="M35" s="3" t="e">
        <v>#N/A</v>
      </c>
      <c r="N35" s="21">
        <v>109</v>
      </c>
      <c r="O35" s="3">
        <v>19.063333333333336</v>
      </c>
      <c r="P35" s="29">
        <v>9.5166400606413806E-3</v>
      </c>
      <c r="Q35" s="3" t="e">
        <v>#N/A</v>
      </c>
      <c r="R35" s="3" t="e">
        <v>#N/A</v>
      </c>
      <c r="S35" s="21">
        <v>29.193000000000001</v>
      </c>
      <c r="T35" s="3" t="e">
        <v>#N/A</v>
      </c>
    </row>
    <row r="36" spans="1:20" x14ac:dyDescent="0.35">
      <c r="A36" t="s">
        <v>29</v>
      </c>
      <c r="B36" s="4">
        <v>31502</v>
      </c>
      <c r="C36" s="2" t="e">
        <v>#N/A</v>
      </c>
      <c r="D36" s="2">
        <v>2187.3000000000002</v>
      </c>
      <c r="E36" s="3" t="e">
        <v>#N/A</v>
      </c>
      <c r="F36" s="29" t="e">
        <v>#N/A</v>
      </c>
      <c r="G36" s="3" t="e">
        <v>#N/A</v>
      </c>
      <c r="H36" s="8">
        <v>7.25</v>
      </c>
      <c r="I36" s="8" t="e">
        <v>#N/A</v>
      </c>
      <c r="J36" s="20">
        <v>1.0817094470733992</v>
      </c>
      <c r="K36" s="8">
        <v>3.2149666666666668</v>
      </c>
      <c r="L36" s="8" t="e">
        <v>#N/A</v>
      </c>
      <c r="M36" s="3" t="e">
        <v>#N/A</v>
      </c>
      <c r="N36" s="21">
        <v>109.56666666666668</v>
      </c>
      <c r="O36" s="3">
        <v>19.356666666666666</v>
      </c>
      <c r="P36" s="29">
        <v>1.2038091045331233E-2</v>
      </c>
      <c r="Q36" s="3" t="e">
        <v>#N/A</v>
      </c>
      <c r="R36" s="3" t="e">
        <v>#N/A</v>
      </c>
      <c r="S36" s="21">
        <v>17.001666666666669</v>
      </c>
      <c r="T36" s="3" t="e">
        <v>#N/A</v>
      </c>
    </row>
    <row r="37" spans="1:20" x14ac:dyDescent="0.35">
      <c r="A37" t="s">
        <v>30</v>
      </c>
      <c r="B37" s="4">
        <v>31593</v>
      </c>
      <c r="C37" s="2" t="e">
        <v>#N/A</v>
      </c>
      <c r="D37" s="2">
        <v>2197.1</v>
      </c>
      <c r="E37" s="3" t="e">
        <v>#N/A</v>
      </c>
      <c r="F37" s="29" t="e">
        <v>#N/A</v>
      </c>
      <c r="G37" s="3" t="e">
        <v>#N/A</v>
      </c>
      <c r="H37" s="8">
        <v>6.875</v>
      </c>
      <c r="I37" s="8" t="e">
        <v>#N/A</v>
      </c>
      <c r="J37" s="20">
        <v>1.0427981751031936</v>
      </c>
      <c r="K37" s="8">
        <v>3.2090666666666667</v>
      </c>
      <c r="L37" s="8" t="e">
        <v>#N/A</v>
      </c>
      <c r="M37" s="3" t="e">
        <v>#N/A</v>
      </c>
      <c r="N37" s="21">
        <v>109.03333333333335</v>
      </c>
      <c r="O37" s="3">
        <v>19.406666666666666</v>
      </c>
      <c r="P37" s="29">
        <v>2.7180194168956191E-3</v>
      </c>
      <c r="Q37" s="3" t="e">
        <v>#N/A</v>
      </c>
      <c r="R37" s="3" t="e">
        <v>#N/A</v>
      </c>
      <c r="S37" s="21">
        <v>13.92</v>
      </c>
      <c r="T37" s="3" t="e">
        <v>#N/A</v>
      </c>
    </row>
    <row r="38" spans="1:20" x14ac:dyDescent="0.35">
      <c r="A38" t="s">
        <v>31</v>
      </c>
      <c r="B38" s="4">
        <v>31685</v>
      </c>
      <c r="C38" s="2" t="e">
        <v>#N/A</v>
      </c>
      <c r="D38" s="2">
        <v>2218.1999999999998</v>
      </c>
      <c r="E38" s="3" t="e">
        <v>#N/A</v>
      </c>
      <c r="F38" s="29" t="e">
        <v>#N/A</v>
      </c>
      <c r="G38" s="3" t="e">
        <v>#N/A</v>
      </c>
      <c r="H38" s="8">
        <v>5.875</v>
      </c>
      <c r="I38" s="8" t="e">
        <v>#N/A</v>
      </c>
      <c r="J38" s="20">
        <v>0.98696515124747464</v>
      </c>
      <c r="K38" s="8">
        <v>3.690466666666667</v>
      </c>
      <c r="L38" s="8" t="e">
        <v>#N/A</v>
      </c>
      <c r="M38" s="3" t="e">
        <v>#N/A</v>
      </c>
      <c r="N38" s="21">
        <v>109.7</v>
      </c>
      <c r="O38" s="3">
        <v>19.66</v>
      </c>
      <c r="P38" s="29">
        <v>1.6208380921921103E-2</v>
      </c>
      <c r="Q38" s="3" t="e">
        <v>#N/A</v>
      </c>
      <c r="R38" s="3">
        <v>12.316666666666668</v>
      </c>
      <c r="S38" s="21">
        <v>13.86</v>
      </c>
      <c r="T38" s="3" t="e">
        <v>#N/A</v>
      </c>
    </row>
    <row r="39" spans="1:20" x14ac:dyDescent="0.35">
      <c r="A39" t="s">
        <v>32</v>
      </c>
      <c r="B39" s="4">
        <v>31777</v>
      </c>
      <c r="C39" s="2" t="e">
        <v>#N/A</v>
      </c>
      <c r="D39" s="2">
        <v>2230.1</v>
      </c>
      <c r="E39" s="3" t="e">
        <v>#N/A</v>
      </c>
      <c r="F39" s="29" t="e">
        <v>#N/A</v>
      </c>
      <c r="G39" s="3" t="e">
        <v>#N/A</v>
      </c>
      <c r="H39" s="8">
        <v>5.875</v>
      </c>
      <c r="I39" s="8" t="e">
        <v>#N/A</v>
      </c>
      <c r="J39" s="20">
        <v>0.96334163947902485</v>
      </c>
      <c r="K39" s="8">
        <v>3.7294999999999998</v>
      </c>
      <c r="L39" s="8" t="e">
        <v>#N/A</v>
      </c>
      <c r="M39" s="3" t="e">
        <v>#N/A</v>
      </c>
      <c r="N39" s="21">
        <v>110.46666666666668</v>
      </c>
      <c r="O39" s="3">
        <v>20.150000000000002</v>
      </c>
      <c r="P39" s="29">
        <v>2.4416900908209253E-2</v>
      </c>
      <c r="Q39" s="3" t="e">
        <v>#N/A</v>
      </c>
      <c r="R39" s="3">
        <v>14.676666666666668</v>
      </c>
      <c r="S39" s="21">
        <v>15.378333333333336</v>
      </c>
      <c r="T39" s="3" t="e">
        <v>#N/A</v>
      </c>
    </row>
    <row r="40" spans="1:20" x14ac:dyDescent="0.35">
      <c r="A40" t="s">
        <v>33</v>
      </c>
      <c r="B40" s="4">
        <v>31867</v>
      </c>
      <c r="C40" s="2" t="e">
        <v>#N/A</v>
      </c>
      <c r="D40" s="2">
        <v>2246.6</v>
      </c>
      <c r="E40" s="3" t="e">
        <v>#N/A</v>
      </c>
      <c r="F40" s="29" t="e">
        <v>#N/A</v>
      </c>
      <c r="G40" s="3" t="e">
        <v>#N/A</v>
      </c>
      <c r="H40" s="8">
        <v>6</v>
      </c>
      <c r="I40" s="8" t="e">
        <v>#N/A</v>
      </c>
      <c r="J40" s="20">
        <v>0.88926303807824347</v>
      </c>
      <c r="K40" s="8">
        <v>3.7313999999999994</v>
      </c>
      <c r="L40" s="8" t="e">
        <v>#N/A</v>
      </c>
      <c r="M40" s="3" t="e">
        <v>#N/A</v>
      </c>
      <c r="N40" s="21">
        <v>111.8</v>
      </c>
      <c r="O40" s="3">
        <v>20.446666666666669</v>
      </c>
      <c r="P40" s="29">
        <v>1.2528851858743348E-2</v>
      </c>
      <c r="Q40" s="3" t="e">
        <v>#N/A</v>
      </c>
      <c r="R40" s="3">
        <v>17.87</v>
      </c>
      <c r="S40" s="21">
        <v>18.228999999999999</v>
      </c>
      <c r="T40" s="3" t="e">
        <v>#N/A</v>
      </c>
    </row>
    <row r="41" spans="1:20" x14ac:dyDescent="0.35">
      <c r="A41" t="s">
        <v>34</v>
      </c>
      <c r="B41" s="4">
        <v>31958</v>
      </c>
      <c r="C41" s="2" t="e">
        <v>#N/A</v>
      </c>
      <c r="D41" s="2">
        <v>2270.8000000000002</v>
      </c>
      <c r="E41" s="3" t="e">
        <v>#N/A</v>
      </c>
      <c r="F41" s="29" t="e">
        <v>#N/A</v>
      </c>
      <c r="G41" s="3" t="e">
        <v>#N/A</v>
      </c>
      <c r="H41" s="8">
        <v>6.75</v>
      </c>
      <c r="I41" s="8" t="e">
        <v>#N/A</v>
      </c>
      <c r="J41" s="20">
        <v>0.86945685030561415</v>
      </c>
      <c r="K41" s="8">
        <v>3.7313999999999994</v>
      </c>
      <c r="L41" s="8" t="e">
        <v>#N/A</v>
      </c>
      <c r="M41" s="3" t="e">
        <v>#N/A</v>
      </c>
      <c r="N41" s="21">
        <v>113.06666666666666</v>
      </c>
      <c r="O41" s="3">
        <v>20.876666666666665</v>
      </c>
      <c r="P41" s="29">
        <v>2.1052687969786515E-2</v>
      </c>
      <c r="Q41" s="3" t="e">
        <v>#N/A</v>
      </c>
      <c r="R41" s="3">
        <v>18.666666666666668</v>
      </c>
      <c r="S41" s="21">
        <v>19.364000000000001</v>
      </c>
      <c r="T41" s="3" t="e">
        <v>#N/A</v>
      </c>
    </row>
    <row r="42" spans="1:20" x14ac:dyDescent="0.35">
      <c r="A42" t="s">
        <v>35</v>
      </c>
      <c r="B42" s="4">
        <v>32050</v>
      </c>
      <c r="C42" s="2" t="e">
        <v>#N/A</v>
      </c>
      <c r="D42" s="2">
        <v>2290.5</v>
      </c>
      <c r="E42" s="3" t="e">
        <v>#N/A</v>
      </c>
      <c r="F42" s="29" t="e">
        <v>#N/A</v>
      </c>
      <c r="G42" s="3" t="e">
        <v>#N/A</v>
      </c>
      <c r="H42" s="8">
        <v>7.3125</v>
      </c>
      <c r="I42" s="8" t="e">
        <v>#N/A</v>
      </c>
      <c r="J42" s="20">
        <v>0.88626292466765133</v>
      </c>
      <c r="K42" s="8">
        <v>3.7313999999999994</v>
      </c>
      <c r="L42" s="8" t="e">
        <v>#N/A</v>
      </c>
      <c r="M42" s="3" t="e">
        <v>#N/A</v>
      </c>
      <c r="N42" s="21">
        <v>114.26666666666667</v>
      </c>
      <c r="O42" s="3">
        <v>21.169999999999998</v>
      </c>
      <c r="P42" s="29">
        <v>1.6297901766538156E-2</v>
      </c>
      <c r="Q42" s="3" t="e">
        <v>#N/A</v>
      </c>
      <c r="R42" s="3">
        <v>19.05</v>
      </c>
      <c r="S42" s="21">
        <v>20.385000000000002</v>
      </c>
      <c r="T42" s="3" t="e">
        <v>#N/A</v>
      </c>
    </row>
    <row r="43" spans="1:20" x14ac:dyDescent="0.35">
      <c r="A43" t="s">
        <v>36</v>
      </c>
      <c r="B43" s="4">
        <v>32142</v>
      </c>
      <c r="C43" s="2" t="e">
        <v>#N/A</v>
      </c>
      <c r="D43" s="2">
        <v>2329.8000000000002</v>
      </c>
      <c r="E43" s="3" t="e">
        <v>#N/A</v>
      </c>
      <c r="F43" s="29" t="e">
        <v>#N/A</v>
      </c>
      <c r="G43" s="3" t="e">
        <v>#N/A</v>
      </c>
      <c r="H43" s="8">
        <v>6.8125</v>
      </c>
      <c r="I43" s="8" t="e">
        <v>#N/A</v>
      </c>
      <c r="J43" s="20">
        <v>0.82350389929096313</v>
      </c>
      <c r="K43" s="8">
        <v>3.7313999999999994</v>
      </c>
      <c r="L43" s="8" t="e">
        <v>#N/A</v>
      </c>
      <c r="M43" s="3" t="e">
        <v>#N/A</v>
      </c>
      <c r="N43" s="21">
        <v>115.33333333333333</v>
      </c>
      <c r="O43" s="3">
        <v>21.78</v>
      </c>
      <c r="P43" s="29">
        <v>2.7898325722538954E-2</v>
      </c>
      <c r="Q43" s="3" t="e">
        <v>#N/A</v>
      </c>
      <c r="R43" s="3">
        <v>17.863333333333333</v>
      </c>
      <c r="S43" s="21">
        <v>18.669666666666668</v>
      </c>
      <c r="T43" s="3" t="e">
        <v>#N/A</v>
      </c>
    </row>
    <row r="44" spans="1:20" x14ac:dyDescent="0.35">
      <c r="A44" t="s">
        <v>37</v>
      </c>
      <c r="B44" s="4">
        <v>32233</v>
      </c>
      <c r="C44" s="2" t="e">
        <v>#N/A</v>
      </c>
      <c r="D44" s="2">
        <v>2341.9</v>
      </c>
      <c r="E44" s="3" t="e">
        <v>#N/A</v>
      </c>
      <c r="F44" s="29" t="e">
        <v>#N/A</v>
      </c>
      <c r="G44" s="3" t="e">
        <v>#N/A</v>
      </c>
      <c r="H44" s="8">
        <v>6.75</v>
      </c>
      <c r="I44" s="8" t="e">
        <v>#N/A</v>
      </c>
      <c r="J44" s="20">
        <v>0.81052822124178325</v>
      </c>
      <c r="K44" s="8">
        <v>3.7313999999999994</v>
      </c>
      <c r="L44" s="8" t="e">
        <v>#N/A</v>
      </c>
      <c r="M44" s="3" t="e">
        <v>#N/A</v>
      </c>
      <c r="N44" s="21">
        <v>116.23333333333333</v>
      </c>
      <c r="O44" s="3">
        <v>22.616666666666664</v>
      </c>
      <c r="P44" s="29">
        <v>3.8127533369998218E-2</v>
      </c>
      <c r="Q44" s="3" t="e">
        <v>#N/A</v>
      </c>
      <c r="R44" s="3">
        <v>15.73666666666667</v>
      </c>
      <c r="S44" s="21">
        <v>16.713999999999999</v>
      </c>
      <c r="T44" s="3" t="e">
        <v>#N/A</v>
      </c>
    </row>
    <row r="45" spans="1:20" x14ac:dyDescent="0.35">
      <c r="A45" t="s">
        <v>38</v>
      </c>
      <c r="B45" s="4">
        <v>32324</v>
      </c>
      <c r="C45" s="2" t="e">
        <v>#N/A</v>
      </c>
      <c r="D45" s="2">
        <v>2372.6999999999998</v>
      </c>
      <c r="E45" s="3" t="e">
        <v>#N/A</v>
      </c>
      <c r="F45" s="29" t="e">
        <v>#N/A</v>
      </c>
      <c r="G45" s="3" t="e">
        <v>#N/A</v>
      </c>
      <c r="H45" s="8">
        <v>7.4375</v>
      </c>
      <c r="I45" s="8" t="e">
        <v>#N/A</v>
      </c>
      <c r="J45" s="20">
        <v>0.82118886248918765</v>
      </c>
      <c r="K45" s="8">
        <v>3.7313999999999994</v>
      </c>
      <c r="L45" s="8" t="e">
        <v>#N/A</v>
      </c>
      <c r="M45" s="3" t="e">
        <v>#N/A</v>
      </c>
      <c r="N45" s="21">
        <v>117.56666666666666</v>
      </c>
      <c r="O45" s="3">
        <v>23.88</v>
      </c>
      <c r="P45" s="29">
        <v>5.4896207061989992E-2</v>
      </c>
      <c r="Q45" s="3" t="e">
        <v>#N/A</v>
      </c>
      <c r="R45" s="3">
        <v>16.149999999999999</v>
      </c>
      <c r="S45" s="21">
        <v>17.281000000000002</v>
      </c>
      <c r="T45" s="3" t="e">
        <v>#N/A</v>
      </c>
    </row>
    <row r="46" spans="1:20" x14ac:dyDescent="0.35">
      <c r="A46" t="s">
        <v>39</v>
      </c>
      <c r="B46" s="4">
        <v>32416</v>
      </c>
      <c r="C46" s="2" t="e">
        <v>#N/A</v>
      </c>
      <c r="D46" s="2">
        <v>2386.6</v>
      </c>
      <c r="E46" s="3" t="e">
        <v>#N/A</v>
      </c>
      <c r="F46" s="29" t="e">
        <v>#N/A</v>
      </c>
      <c r="G46" s="3" t="e">
        <v>#N/A</v>
      </c>
      <c r="H46" s="8">
        <v>8.125</v>
      </c>
      <c r="I46" s="8" t="e">
        <v>#N/A</v>
      </c>
      <c r="J46" s="20">
        <v>0.89768755685354529</v>
      </c>
      <c r="K46" s="8">
        <v>3.7313999999999994</v>
      </c>
      <c r="L46" s="8" t="e">
        <v>#N/A</v>
      </c>
      <c r="M46" s="3" t="e">
        <v>#N/A</v>
      </c>
      <c r="N46" s="21">
        <v>119</v>
      </c>
      <c r="O46" s="3">
        <v>25.99</v>
      </c>
      <c r="P46" s="29">
        <v>9.0003989584965985E-2</v>
      </c>
      <c r="Q46" s="3" t="e">
        <v>#N/A</v>
      </c>
      <c r="R46" s="3">
        <v>14.326666666666668</v>
      </c>
      <c r="S46" s="21">
        <v>15.162999999999998</v>
      </c>
      <c r="T46" s="3" t="e">
        <v>#N/A</v>
      </c>
    </row>
    <row r="47" spans="1:20" x14ac:dyDescent="0.35">
      <c r="A47" t="s">
        <v>40</v>
      </c>
      <c r="B47" s="4">
        <v>32508</v>
      </c>
      <c r="C47" s="2" t="e">
        <v>#N/A</v>
      </c>
      <c r="D47" s="2">
        <v>2418.4</v>
      </c>
      <c r="E47" s="3" t="e">
        <v>#N/A</v>
      </c>
      <c r="F47" s="29" t="e">
        <v>#N/A</v>
      </c>
      <c r="G47" s="3" t="e">
        <v>#N/A</v>
      </c>
      <c r="H47" s="8">
        <v>8.6875</v>
      </c>
      <c r="I47" s="8" t="e">
        <v>#N/A</v>
      </c>
      <c r="J47" s="20">
        <v>0.85469354962778099</v>
      </c>
      <c r="K47" s="8">
        <v>3.7313999999999994</v>
      </c>
      <c r="L47" s="8" t="e">
        <v>#N/A</v>
      </c>
      <c r="M47" s="3" t="e">
        <v>#N/A</v>
      </c>
      <c r="N47" s="21">
        <v>120.3</v>
      </c>
      <c r="O47" s="3">
        <v>27.700000000000003</v>
      </c>
      <c r="P47" s="29">
        <v>6.4851312205577952E-2</v>
      </c>
      <c r="Q47" s="3" t="e">
        <v>#N/A</v>
      </c>
      <c r="R47" s="3">
        <v>13.58</v>
      </c>
      <c r="S47" s="21">
        <v>14.680333333333332</v>
      </c>
      <c r="T47" s="3" t="e">
        <v>#N/A</v>
      </c>
    </row>
    <row r="48" spans="1:20" x14ac:dyDescent="0.35">
      <c r="A48" t="s">
        <v>41</v>
      </c>
      <c r="B48" s="4">
        <v>32598</v>
      </c>
      <c r="C48" s="2" t="e">
        <v>#N/A</v>
      </c>
      <c r="D48" s="2">
        <v>2442.9</v>
      </c>
      <c r="E48" s="3" t="e">
        <v>#N/A</v>
      </c>
      <c r="F48" s="29" t="e">
        <v>#N/A</v>
      </c>
      <c r="G48" s="3" t="e">
        <v>#N/A</v>
      </c>
      <c r="H48" s="8">
        <v>9.75</v>
      </c>
      <c r="I48" s="8" t="e">
        <v>#N/A</v>
      </c>
      <c r="J48" s="20">
        <v>0.88794175102113315</v>
      </c>
      <c r="K48" s="8">
        <v>3.7313999999999994</v>
      </c>
      <c r="L48" s="8" t="e">
        <v>#N/A</v>
      </c>
      <c r="M48" s="3" t="e">
        <v>#N/A</v>
      </c>
      <c r="N48" s="21">
        <v>121.66666666666667</v>
      </c>
      <c r="O48" s="3">
        <v>28.933333333333337</v>
      </c>
      <c r="P48" s="29">
        <v>4.5780100281235248E-2</v>
      </c>
      <c r="Q48" s="3" t="e">
        <v>#N/A</v>
      </c>
      <c r="R48" s="3">
        <v>17.58666666666667</v>
      </c>
      <c r="S48" s="21">
        <v>18.417999999999999</v>
      </c>
      <c r="T48" s="3" t="e">
        <v>#N/A</v>
      </c>
    </row>
    <row r="49" spans="1:20" x14ac:dyDescent="0.35">
      <c r="A49" t="s">
        <v>42</v>
      </c>
      <c r="B49" s="4">
        <v>32689</v>
      </c>
      <c r="C49" s="2" t="e">
        <v>#N/A</v>
      </c>
      <c r="D49" s="2">
        <v>2461.6</v>
      </c>
      <c r="E49" s="3" t="e">
        <v>#N/A</v>
      </c>
      <c r="F49" s="29" t="e">
        <v>#N/A</v>
      </c>
      <c r="G49" s="3" t="e">
        <v>#N/A</v>
      </c>
      <c r="H49" s="8">
        <v>9.5625</v>
      </c>
      <c r="I49" s="8" t="e">
        <v>#N/A</v>
      </c>
      <c r="J49" s="20">
        <v>0.93001915839466287</v>
      </c>
      <c r="K49" s="8">
        <v>3.7313999999999994</v>
      </c>
      <c r="L49" s="8" t="e">
        <v>#N/A</v>
      </c>
      <c r="M49" s="3" t="e">
        <v>#N/A</v>
      </c>
      <c r="N49" s="21">
        <v>123.63333333333333</v>
      </c>
      <c r="O49" s="3">
        <v>29.77</v>
      </c>
      <c r="P49" s="29">
        <v>2.6949376489698626E-2</v>
      </c>
      <c r="Q49" s="3" t="e">
        <v>#N/A</v>
      </c>
      <c r="R49" s="3">
        <v>18.873333333333335</v>
      </c>
      <c r="S49" s="21">
        <v>20.358999999999998</v>
      </c>
      <c r="T49" s="3" t="e">
        <v>#N/A</v>
      </c>
    </row>
    <row r="50" spans="1:20" x14ac:dyDescent="0.35">
      <c r="A50" t="s">
        <v>43</v>
      </c>
      <c r="B50" s="4">
        <v>32781</v>
      </c>
      <c r="C50" s="2" t="e">
        <v>#N/A</v>
      </c>
      <c r="D50" s="2">
        <v>2479.8000000000002</v>
      </c>
      <c r="E50" s="3" t="e">
        <v>#N/A</v>
      </c>
      <c r="F50" s="29" t="e">
        <v>#N/A</v>
      </c>
      <c r="G50" s="3" t="e">
        <v>#N/A</v>
      </c>
      <c r="H50" s="8">
        <v>9.0625</v>
      </c>
      <c r="I50" s="8" t="e">
        <v>#N/A</v>
      </c>
      <c r="J50" s="20">
        <v>0.92721658852291311</v>
      </c>
      <c r="K50" s="8">
        <v>3.7313999999999994</v>
      </c>
      <c r="L50" s="8" t="e">
        <v>#N/A</v>
      </c>
      <c r="M50" s="3" t="e">
        <v>#N/A</v>
      </c>
      <c r="N50" s="21">
        <v>124.60000000000001</v>
      </c>
      <c r="O50" s="3">
        <v>29.903333333333336</v>
      </c>
      <c r="P50" s="29">
        <v>5.6657286757444449E-3</v>
      </c>
      <c r="Q50" s="3" t="e">
        <v>#N/A</v>
      </c>
      <c r="R50" s="3">
        <v>17.386666666666667</v>
      </c>
      <c r="S50" s="21">
        <v>19.253333333333334</v>
      </c>
      <c r="T50" s="3" t="e">
        <v>#N/A</v>
      </c>
    </row>
    <row r="51" spans="1:20" x14ac:dyDescent="0.35">
      <c r="A51" t="s">
        <v>44</v>
      </c>
      <c r="B51" s="4">
        <v>32873</v>
      </c>
      <c r="C51" s="2" t="e">
        <v>#N/A</v>
      </c>
      <c r="D51" s="2">
        <v>2484.6999999999998</v>
      </c>
      <c r="E51" s="3" t="e">
        <v>#N/A</v>
      </c>
      <c r="F51" s="29" t="e">
        <v>#N/A</v>
      </c>
      <c r="G51" s="3" t="e">
        <v>#N/A</v>
      </c>
      <c r="H51" s="8">
        <v>8.25</v>
      </c>
      <c r="I51" s="8" t="e">
        <v>#N/A</v>
      </c>
      <c r="J51" s="20">
        <v>0.88523255059104022</v>
      </c>
      <c r="K51" s="8">
        <v>3.8817666666666661</v>
      </c>
      <c r="L51" s="8" t="e">
        <v>#N/A</v>
      </c>
      <c r="M51" s="3" t="e">
        <v>#N/A</v>
      </c>
      <c r="N51" s="21">
        <v>125.86666666666667</v>
      </c>
      <c r="O51" s="3">
        <v>29.790000000000003</v>
      </c>
      <c r="P51" s="29">
        <v>-4.6807980929005509E-3</v>
      </c>
      <c r="Q51" s="3" t="e">
        <v>#N/A</v>
      </c>
      <c r="R51" s="3">
        <v>19.16</v>
      </c>
      <c r="S51" s="21">
        <v>20.333000000000002</v>
      </c>
      <c r="T51" s="3" t="e">
        <v>#N/A</v>
      </c>
    </row>
    <row r="52" spans="1:20" x14ac:dyDescent="0.35">
      <c r="A52" t="s">
        <v>45</v>
      </c>
      <c r="B52" s="4">
        <v>32963</v>
      </c>
      <c r="C52" s="2" t="e">
        <v>#N/A</v>
      </c>
      <c r="D52" s="2">
        <v>2511.9</v>
      </c>
      <c r="E52" s="3" t="e">
        <v>#N/A</v>
      </c>
      <c r="F52" s="29" t="e">
        <v>#N/A</v>
      </c>
      <c r="G52" s="3" t="e">
        <v>#N/A</v>
      </c>
      <c r="H52" s="8">
        <v>8.25</v>
      </c>
      <c r="I52" s="8" t="e">
        <v>#N/A</v>
      </c>
      <c r="J52" s="20">
        <v>0.82923781987848888</v>
      </c>
      <c r="K52" s="8">
        <v>4.7339000000000002</v>
      </c>
      <c r="L52" s="8" t="e">
        <v>#N/A</v>
      </c>
      <c r="M52" s="3" t="e">
        <v>#N/A</v>
      </c>
      <c r="N52" s="21">
        <v>128.03333333333333</v>
      </c>
      <c r="O52" s="3">
        <v>30.176666666666666</v>
      </c>
      <c r="P52" s="29">
        <v>1.5716355295846866E-2</v>
      </c>
      <c r="Q52" s="3">
        <v>22.223333333333333</v>
      </c>
      <c r="R52" s="3">
        <v>19.816666666666666</v>
      </c>
      <c r="S52" s="21">
        <v>21.722333333333335</v>
      </c>
      <c r="T52" s="3" t="e">
        <v>#N/A</v>
      </c>
    </row>
    <row r="53" spans="1:20" x14ac:dyDescent="0.35">
      <c r="A53" t="s">
        <v>46</v>
      </c>
      <c r="B53" s="4">
        <v>33054</v>
      </c>
      <c r="C53" s="2" t="e">
        <v>#N/A</v>
      </c>
      <c r="D53" s="2">
        <v>2521</v>
      </c>
      <c r="E53" s="3" t="e">
        <v>#N/A</v>
      </c>
      <c r="F53" s="29" t="e">
        <v>#N/A</v>
      </c>
      <c r="G53" s="3" t="e">
        <v>#N/A</v>
      </c>
      <c r="H53" s="8">
        <v>8.25</v>
      </c>
      <c r="I53" s="8" t="e">
        <v>#N/A</v>
      </c>
      <c r="J53" s="20">
        <v>0.81816991752847235</v>
      </c>
      <c r="K53" s="8">
        <v>4.7339000000000002</v>
      </c>
      <c r="L53" s="8" t="e">
        <v>#N/A</v>
      </c>
      <c r="M53" s="3" t="e">
        <v>#N/A</v>
      </c>
      <c r="N53" s="21">
        <v>129.29999999999998</v>
      </c>
      <c r="O53" s="3">
        <v>30.446666666666669</v>
      </c>
      <c r="P53" s="29">
        <v>5.5199987436456962E-3</v>
      </c>
      <c r="Q53" s="3">
        <v>18.773333333333333</v>
      </c>
      <c r="R53" s="3">
        <v>16.02</v>
      </c>
      <c r="S53" s="21">
        <v>17.896666666666665</v>
      </c>
      <c r="T53" s="3" t="e">
        <v>#N/A</v>
      </c>
    </row>
    <row r="54" spans="1:20" x14ac:dyDescent="0.35">
      <c r="A54" t="s">
        <v>47</v>
      </c>
      <c r="B54" s="4">
        <v>33146</v>
      </c>
      <c r="C54" s="2" t="e">
        <v>#N/A</v>
      </c>
      <c r="D54" s="2">
        <v>2522.6999999999998</v>
      </c>
      <c r="E54" s="3" t="e">
        <v>#N/A</v>
      </c>
      <c r="F54" s="29" t="e">
        <v>#N/A</v>
      </c>
      <c r="G54" s="3" t="e">
        <v>#N/A</v>
      </c>
      <c r="H54" s="8">
        <v>8</v>
      </c>
      <c r="I54" s="8" t="e">
        <v>#N/A</v>
      </c>
      <c r="J54" s="20">
        <v>0.77100804161387404</v>
      </c>
      <c r="K54" s="8">
        <v>4.7340000000000009</v>
      </c>
      <c r="L54" s="8" t="e">
        <v>#N/A</v>
      </c>
      <c r="M54" s="3" t="e">
        <v>#N/A</v>
      </c>
      <c r="N54" s="21">
        <v>131.53333333333333</v>
      </c>
      <c r="O54" s="3">
        <v>30.503333333333334</v>
      </c>
      <c r="P54" s="29">
        <v>2.9427449380099867E-3</v>
      </c>
      <c r="Q54" s="3">
        <v>25.22666666666667</v>
      </c>
      <c r="R54" s="3">
        <v>26.413333333333338</v>
      </c>
      <c r="S54" s="21">
        <v>26.499666666666666</v>
      </c>
      <c r="T54" s="3" t="e">
        <v>#N/A</v>
      </c>
    </row>
    <row r="55" spans="1:20" x14ac:dyDescent="0.35">
      <c r="A55" t="s">
        <v>48</v>
      </c>
      <c r="B55" s="4">
        <v>33238</v>
      </c>
      <c r="C55" s="2" t="e">
        <v>#N/A</v>
      </c>
      <c r="D55" s="2">
        <v>2499.6999999999998</v>
      </c>
      <c r="E55" s="3" t="e">
        <v>#N/A</v>
      </c>
      <c r="F55" s="29" t="e">
        <v>#N/A</v>
      </c>
      <c r="G55" s="3" t="e">
        <v>#N/A</v>
      </c>
      <c r="H55" s="8">
        <v>7</v>
      </c>
      <c r="I55" s="8" t="e">
        <v>#N/A</v>
      </c>
      <c r="J55" s="20">
        <v>0.73163593795727233</v>
      </c>
      <c r="K55" s="8">
        <v>4.9801666666666664</v>
      </c>
      <c r="L55" s="8" t="e">
        <v>#N/A</v>
      </c>
      <c r="M55" s="3" t="e">
        <v>#N/A</v>
      </c>
      <c r="N55" s="21">
        <v>133.76666666666668</v>
      </c>
      <c r="O55" s="3">
        <v>30.876666666666665</v>
      </c>
      <c r="P55" s="29">
        <v>1.2039214753707572E-2</v>
      </c>
      <c r="Q55" s="3">
        <v>25.959999999999997</v>
      </c>
      <c r="R55" s="3">
        <v>32.453333333333333</v>
      </c>
      <c r="S55" s="21">
        <v>31.852999999999998</v>
      </c>
      <c r="T55" s="3" t="e">
        <v>#N/A</v>
      </c>
    </row>
    <row r="56" spans="1:20" x14ac:dyDescent="0.35">
      <c r="A56" t="s">
        <v>49</v>
      </c>
      <c r="B56" s="4">
        <v>33328</v>
      </c>
      <c r="C56" s="2" t="e">
        <v>#N/A</v>
      </c>
      <c r="D56" s="2">
        <v>2488</v>
      </c>
      <c r="E56" s="3" t="e">
        <v>#N/A</v>
      </c>
      <c r="F56" s="29" t="e">
        <v>#N/A</v>
      </c>
      <c r="G56" s="3" t="e">
        <v>#N/A</v>
      </c>
      <c r="H56" s="8">
        <v>6</v>
      </c>
      <c r="I56" s="8" t="e">
        <v>#N/A</v>
      </c>
      <c r="J56" s="20">
        <v>0.74585676566672132</v>
      </c>
      <c r="K56" s="8">
        <v>5.2351999999999999</v>
      </c>
      <c r="L56" s="8" t="e">
        <v>#N/A</v>
      </c>
      <c r="M56" s="3" t="e">
        <v>#N/A</v>
      </c>
      <c r="N56" s="21">
        <v>134.76666666666668</v>
      </c>
      <c r="O56" s="3">
        <v>30.810000000000002</v>
      </c>
      <c r="P56" s="29">
        <v>8.7818640810161217E-4</v>
      </c>
      <c r="Q56" s="3">
        <v>22.256666666666664</v>
      </c>
      <c r="R56" s="3">
        <v>20.73</v>
      </c>
      <c r="S56" s="21">
        <v>21.780666666666665</v>
      </c>
      <c r="T56" s="3" t="e">
        <v>#N/A</v>
      </c>
    </row>
    <row r="57" spans="1:20" x14ac:dyDescent="0.35">
      <c r="A57" t="s">
        <v>50</v>
      </c>
      <c r="B57" s="4">
        <v>33419</v>
      </c>
      <c r="C57" s="2" t="e">
        <v>#N/A</v>
      </c>
      <c r="D57" s="2">
        <v>2507.4</v>
      </c>
      <c r="E57" s="3" t="e">
        <v>#N/A</v>
      </c>
      <c r="F57" s="29" t="e">
        <v>#N/A</v>
      </c>
      <c r="G57" s="3" t="e">
        <v>#N/A</v>
      </c>
      <c r="H57" s="8">
        <v>5.75</v>
      </c>
      <c r="I57" s="8" t="e">
        <v>#N/A</v>
      </c>
      <c r="J57" s="20">
        <v>0.84243869152422435</v>
      </c>
      <c r="K57" s="8">
        <v>5.3230333333333331</v>
      </c>
      <c r="L57" s="8" t="e">
        <v>#N/A</v>
      </c>
      <c r="M57" s="3" t="e">
        <v>#N/A</v>
      </c>
      <c r="N57" s="21">
        <v>135.56666666666666</v>
      </c>
      <c r="O57" s="3">
        <v>31.373333333333335</v>
      </c>
      <c r="P57" s="29">
        <v>1.4137821386745899E-2</v>
      </c>
      <c r="Q57" s="3">
        <v>17.146666666666665</v>
      </c>
      <c r="R57" s="3">
        <v>18.846666666666668</v>
      </c>
      <c r="S57" s="21">
        <v>20.752666666666666</v>
      </c>
      <c r="T57" s="3" t="e">
        <v>#N/A</v>
      </c>
    </row>
    <row r="58" spans="1:20" x14ac:dyDescent="0.35">
      <c r="A58" t="s">
        <v>51</v>
      </c>
      <c r="B58" s="4">
        <v>33511</v>
      </c>
      <c r="C58" s="2" t="e">
        <v>#N/A</v>
      </c>
      <c r="D58" s="2">
        <v>2520.1</v>
      </c>
      <c r="E58" s="3" t="e">
        <v>#N/A</v>
      </c>
      <c r="F58" s="29" t="e">
        <v>#N/A</v>
      </c>
      <c r="G58" s="3" t="e">
        <v>#N/A</v>
      </c>
      <c r="H58" s="8">
        <v>5.25</v>
      </c>
      <c r="I58" s="8" t="e">
        <v>#N/A</v>
      </c>
      <c r="J58" s="20">
        <v>0.84912469396130819</v>
      </c>
      <c r="K58" s="8">
        <v>5.3762333333333325</v>
      </c>
      <c r="L58" s="8" t="e">
        <v>#N/A</v>
      </c>
      <c r="M58" s="3" t="e">
        <v>#N/A</v>
      </c>
      <c r="N58" s="21">
        <v>136.6</v>
      </c>
      <c r="O58" s="3">
        <v>31.899999999999995</v>
      </c>
      <c r="P58" s="29">
        <v>1.7944032754925118E-2</v>
      </c>
      <c r="Q58" s="3">
        <v>16.643333333333334</v>
      </c>
      <c r="R58" s="3">
        <v>19.89</v>
      </c>
      <c r="S58" s="21">
        <v>21.655000000000001</v>
      </c>
      <c r="T58" s="3" t="e">
        <v>#N/A</v>
      </c>
    </row>
    <row r="59" spans="1:20" x14ac:dyDescent="0.35">
      <c r="A59" t="s">
        <v>52</v>
      </c>
      <c r="B59" s="4">
        <v>33603</v>
      </c>
      <c r="C59" s="2" t="e">
        <v>#N/A</v>
      </c>
      <c r="D59" s="2">
        <v>2528.8000000000002</v>
      </c>
      <c r="E59" s="3" t="e">
        <v>#N/A</v>
      </c>
      <c r="F59" s="29" t="e">
        <v>#N/A</v>
      </c>
      <c r="G59" s="3" t="e">
        <v>#N/A</v>
      </c>
      <c r="H59" s="8">
        <v>4</v>
      </c>
      <c r="I59" s="8" t="e">
        <v>#N/A</v>
      </c>
      <c r="J59" s="20">
        <v>0.79580874063266804</v>
      </c>
      <c r="K59" s="8">
        <v>5.4047666666666672</v>
      </c>
      <c r="L59" s="8" t="e">
        <v>#N/A</v>
      </c>
      <c r="M59" s="3" t="e">
        <v>#N/A</v>
      </c>
      <c r="N59" s="21">
        <v>137.73333333333332</v>
      </c>
      <c r="O59" s="3">
        <v>32.283333333333331</v>
      </c>
      <c r="P59" s="29">
        <v>1.1817548368199388E-2</v>
      </c>
      <c r="Q59" s="3">
        <v>17.493333333333332</v>
      </c>
      <c r="R59" s="3">
        <v>20.576666666666668</v>
      </c>
      <c r="S59" s="21">
        <v>21.736666666666665</v>
      </c>
      <c r="T59" s="3" t="e">
        <v>#N/A</v>
      </c>
    </row>
    <row r="60" spans="1:20" x14ac:dyDescent="0.35">
      <c r="A60" t="s">
        <v>53</v>
      </c>
      <c r="B60" s="4">
        <v>33694</v>
      </c>
      <c r="C60" s="2" t="e">
        <v>#N/A</v>
      </c>
      <c r="D60" s="2">
        <v>2559.1</v>
      </c>
      <c r="E60" s="3">
        <v>2111.33</v>
      </c>
      <c r="F60" s="29" t="e">
        <v>#N/A</v>
      </c>
      <c r="G60" s="3" t="e">
        <v>#N/A</v>
      </c>
      <c r="H60" s="8">
        <v>4</v>
      </c>
      <c r="I60" s="8" t="e">
        <v>#N/A</v>
      </c>
      <c r="J60" s="20">
        <v>0.792001837444263</v>
      </c>
      <c r="K60" s="8">
        <v>5.4754999999999994</v>
      </c>
      <c r="L60" s="8" t="e">
        <v>#N/A</v>
      </c>
      <c r="M60" s="3" t="e">
        <v>#N/A</v>
      </c>
      <c r="N60" s="21">
        <v>138.66666666666666</v>
      </c>
      <c r="O60" s="3">
        <v>32.483333333333334</v>
      </c>
      <c r="P60" s="29">
        <v>9.7654379976883868E-3</v>
      </c>
      <c r="Q60" s="3">
        <v>17.559999999999999</v>
      </c>
      <c r="R60" s="3">
        <v>17.946666666666669</v>
      </c>
      <c r="S60" s="21">
        <v>18.91033333333333</v>
      </c>
      <c r="T60" s="3">
        <v>9.7800000000000011</v>
      </c>
    </row>
    <row r="61" spans="1:20" x14ac:dyDescent="0.35">
      <c r="A61" t="s">
        <v>54</v>
      </c>
      <c r="B61" s="4">
        <v>33785</v>
      </c>
      <c r="C61" s="2" t="e">
        <v>#N/A</v>
      </c>
      <c r="D61" s="2">
        <v>2586.9</v>
      </c>
      <c r="E61" s="3">
        <v>2219.1999999999998</v>
      </c>
      <c r="F61" s="29">
        <v>4.7557389732334296E-2</v>
      </c>
      <c r="G61" s="3" t="e">
        <v>#N/A</v>
      </c>
      <c r="H61" s="8">
        <v>3.75</v>
      </c>
      <c r="I61" s="8" t="e">
        <v>#N/A</v>
      </c>
      <c r="J61" s="20">
        <v>0.78663764847785622</v>
      </c>
      <c r="K61" s="8">
        <v>5.5057666666666663</v>
      </c>
      <c r="L61" s="8" t="e">
        <v>#N/A</v>
      </c>
      <c r="M61" s="3" t="e">
        <v>#N/A</v>
      </c>
      <c r="N61" s="21">
        <v>139.73333333333335</v>
      </c>
      <c r="O61" s="3">
        <v>33.126666666666665</v>
      </c>
      <c r="P61" s="29">
        <v>1.5189491009154493E-2</v>
      </c>
      <c r="Q61" s="3">
        <v>15.613333333333335</v>
      </c>
      <c r="R61" s="3">
        <v>19.989999999999998</v>
      </c>
      <c r="S61" s="21">
        <v>21.186</v>
      </c>
      <c r="T61" s="3">
        <v>9.7633333333333336</v>
      </c>
    </row>
    <row r="62" spans="1:20" x14ac:dyDescent="0.35">
      <c r="A62" t="s">
        <v>55</v>
      </c>
      <c r="B62" s="4">
        <v>33877</v>
      </c>
      <c r="C62" s="2" t="e">
        <v>#N/A</v>
      </c>
      <c r="D62" s="2">
        <v>2612.4</v>
      </c>
      <c r="E62" s="3">
        <v>2303.52</v>
      </c>
      <c r="F62" s="29">
        <v>3.6748155434656898E-2</v>
      </c>
      <c r="G62" s="3" t="e">
        <v>#N/A</v>
      </c>
      <c r="H62" s="8">
        <v>3</v>
      </c>
      <c r="I62" s="8" t="e">
        <v>#N/A</v>
      </c>
      <c r="J62" s="20">
        <v>0.72128908785781942</v>
      </c>
      <c r="K62" s="8">
        <v>5.4676333333333327</v>
      </c>
      <c r="L62" s="8" t="e">
        <v>#N/A</v>
      </c>
      <c r="M62" s="3" t="e">
        <v>#N/A</v>
      </c>
      <c r="N62" s="21">
        <v>140.79999999999998</v>
      </c>
      <c r="O62" s="3">
        <v>33.843333333333334</v>
      </c>
      <c r="P62" s="29">
        <v>2.2675968736893138E-2</v>
      </c>
      <c r="Q62" s="3">
        <v>13.906666666666666</v>
      </c>
      <c r="R62" s="3">
        <v>20.083333333333332</v>
      </c>
      <c r="S62" s="21">
        <v>21.670333333333332</v>
      </c>
      <c r="T62" s="3">
        <v>9.7799999999999994</v>
      </c>
    </row>
    <row r="63" spans="1:20" x14ac:dyDescent="0.35">
      <c r="A63" t="s">
        <v>56</v>
      </c>
      <c r="B63" s="4">
        <v>33969</v>
      </c>
      <c r="C63" s="2" t="e">
        <v>#N/A</v>
      </c>
      <c r="D63" s="2">
        <v>2639.7</v>
      </c>
      <c r="E63" s="3">
        <v>2357.0100000000002</v>
      </c>
      <c r="F63" s="29">
        <v>2.6937562416857928E-2</v>
      </c>
      <c r="G63" s="3" t="e">
        <v>#N/A</v>
      </c>
      <c r="H63" s="8">
        <v>3</v>
      </c>
      <c r="I63" s="8" t="e">
        <v>#N/A</v>
      </c>
      <c r="J63" s="20">
        <v>0.7888384616598213</v>
      </c>
      <c r="K63" s="8">
        <v>5.6575333333333333</v>
      </c>
      <c r="L63" s="8" t="e">
        <v>#N/A</v>
      </c>
      <c r="M63" s="3" t="e">
        <v>#N/A</v>
      </c>
      <c r="N63" s="21">
        <v>142.03333333333333</v>
      </c>
      <c r="O63" s="3">
        <v>34.97</v>
      </c>
      <c r="P63" s="29">
        <v>3.3419173639008697E-2</v>
      </c>
      <c r="Q63" s="3">
        <v>14.75</v>
      </c>
      <c r="R63" s="3">
        <v>19.203333333333333</v>
      </c>
      <c r="S63" s="21">
        <v>20.478999999999999</v>
      </c>
      <c r="T63" s="3">
        <v>9.8033333333333346</v>
      </c>
    </row>
    <row r="64" spans="1:20" x14ac:dyDescent="0.35">
      <c r="A64" t="s">
        <v>57</v>
      </c>
      <c r="B64" s="4">
        <v>34059</v>
      </c>
      <c r="C64" s="2" t="e">
        <v>#N/A</v>
      </c>
      <c r="D64" s="2">
        <v>2644.1</v>
      </c>
      <c r="E64" s="3">
        <v>2431.35</v>
      </c>
      <c r="F64" s="29">
        <v>3.2272537028754961E-2</v>
      </c>
      <c r="G64" s="3" t="e">
        <v>#N/A</v>
      </c>
      <c r="H64" s="8">
        <v>3</v>
      </c>
      <c r="I64" s="8" t="e">
        <v>#N/A</v>
      </c>
      <c r="J64" s="20">
        <v>0.83958591622611722</v>
      </c>
      <c r="K64" s="8">
        <v>5.770833333333333</v>
      </c>
      <c r="L64" s="8" t="e">
        <v>#N/A</v>
      </c>
      <c r="M64" s="3" t="e">
        <v>#N/A</v>
      </c>
      <c r="N64" s="21">
        <v>143.06666666666666</v>
      </c>
      <c r="O64" s="3">
        <v>36.07</v>
      </c>
      <c r="P64" s="29">
        <v>3.483418841473182E-2</v>
      </c>
      <c r="Q64" s="3">
        <v>13.246666666666668</v>
      </c>
      <c r="R64" s="3">
        <v>18.216666666666665</v>
      </c>
      <c r="S64" s="21">
        <v>19.824999999999999</v>
      </c>
      <c r="T64" s="3">
        <v>9.7033333333333331</v>
      </c>
    </row>
    <row r="65" spans="1:20" x14ac:dyDescent="0.35">
      <c r="A65" t="s">
        <v>58</v>
      </c>
      <c r="B65" s="4">
        <v>34150</v>
      </c>
      <c r="C65" s="2" t="e">
        <v>#N/A</v>
      </c>
      <c r="D65" s="2">
        <v>2659.5</v>
      </c>
      <c r="E65" s="3">
        <v>2520.19</v>
      </c>
      <c r="F65" s="29">
        <v>3.3564172576304223E-2</v>
      </c>
      <c r="G65" s="3" t="e">
        <v>#N/A</v>
      </c>
      <c r="H65" s="8">
        <v>3</v>
      </c>
      <c r="I65" s="8" t="e">
        <v>#N/A</v>
      </c>
      <c r="J65" s="20">
        <v>0.82798820944789742</v>
      </c>
      <c r="K65" s="8">
        <v>5.7366000000000001</v>
      </c>
      <c r="L65" s="8" t="e">
        <v>#N/A</v>
      </c>
      <c r="M65" s="3" t="e">
        <v>#N/A</v>
      </c>
      <c r="N65" s="21">
        <v>144.1</v>
      </c>
      <c r="O65" s="3">
        <v>37.786666666666669</v>
      </c>
      <c r="P65" s="29">
        <v>4.3207518725090564E-2</v>
      </c>
      <c r="Q65" s="3">
        <v>12.99</v>
      </c>
      <c r="R65" s="3">
        <v>18.276666666666667</v>
      </c>
      <c r="S65" s="21">
        <v>19.760000000000002</v>
      </c>
      <c r="T65" s="3">
        <v>9.4766666666666666</v>
      </c>
    </row>
    <row r="66" spans="1:20" x14ac:dyDescent="0.35">
      <c r="A66" t="s">
        <v>59</v>
      </c>
      <c r="B66" s="4">
        <v>34242</v>
      </c>
      <c r="C66" s="2" t="e">
        <v>#N/A</v>
      </c>
      <c r="D66" s="2">
        <v>2672.2</v>
      </c>
      <c r="E66" s="3">
        <v>2604.98</v>
      </c>
      <c r="F66" s="29">
        <v>3.2376747117921101E-2</v>
      </c>
      <c r="G66" s="3" t="e">
        <v>#N/A</v>
      </c>
      <c r="H66" s="8">
        <v>3</v>
      </c>
      <c r="I66" s="8" t="e">
        <v>#N/A</v>
      </c>
      <c r="J66" s="20">
        <v>0.86936362582589533</v>
      </c>
      <c r="K66" s="8">
        <v>5.7892333333333328</v>
      </c>
      <c r="L66" s="8" t="e">
        <v>#N/A</v>
      </c>
      <c r="M66" s="3" t="e">
        <v>#N/A</v>
      </c>
      <c r="N66" s="21">
        <v>144.76666666666668</v>
      </c>
      <c r="O66" s="3">
        <v>39.270000000000003</v>
      </c>
      <c r="P66" s="29">
        <v>4.0087393735579277E-2</v>
      </c>
      <c r="Q66" s="3">
        <v>12.12</v>
      </c>
      <c r="R66" s="3">
        <v>16.49666666666667</v>
      </c>
      <c r="S66" s="21">
        <v>17.796333333333333</v>
      </c>
      <c r="T66" s="3">
        <v>8.9833333333333325</v>
      </c>
    </row>
    <row r="67" spans="1:20" x14ac:dyDescent="0.35">
      <c r="A67" t="s">
        <v>60</v>
      </c>
      <c r="B67" s="4">
        <v>34334</v>
      </c>
      <c r="C67" s="2" t="e">
        <v>#N/A</v>
      </c>
      <c r="D67" s="2">
        <v>2708.5</v>
      </c>
      <c r="E67" s="3">
        <v>2691.54</v>
      </c>
      <c r="F67" s="29">
        <v>3.645877366329113E-2</v>
      </c>
      <c r="G67" s="3" t="e">
        <v>#N/A</v>
      </c>
      <c r="H67" s="8">
        <v>3</v>
      </c>
      <c r="I67" s="8" t="e">
        <v>#N/A</v>
      </c>
      <c r="J67" s="20">
        <v>0.87678022919035203</v>
      </c>
      <c r="K67" s="8">
        <v>5.8103000000000007</v>
      </c>
      <c r="L67" s="8" t="e">
        <v>#N/A</v>
      </c>
      <c r="M67" s="3" t="e">
        <v>#N/A</v>
      </c>
      <c r="N67" s="21">
        <v>145.96666666666667</v>
      </c>
      <c r="O67" s="3">
        <v>40.976666666666667</v>
      </c>
      <c r="P67" s="29">
        <v>4.3648965010103929E-2</v>
      </c>
      <c r="Q67" s="3">
        <v>12.44</v>
      </c>
      <c r="R67" s="3">
        <v>15.18</v>
      </c>
      <c r="S67" s="21">
        <v>16.451333333333334</v>
      </c>
      <c r="T67" s="3">
        <v>8.2933333333333348</v>
      </c>
    </row>
    <row r="68" spans="1:20" x14ac:dyDescent="0.35">
      <c r="A68" t="s">
        <v>61</v>
      </c>
      <c r="B68" s="4">
        <v>34424</v>
      </c>
      <c r="C68" s="2" t="e">
        <v>#N/A</v>
      </c>
      <c r="D68" s="2">
        <v>2734.8</v>
      </c>
      <c r="E68" s="3">
        <v>2769.84</v>
      </c>
      <c r="F68" s="29">
        <v>2.972860251474457E-2</v>
      </c>
      <c r="G68" s="3" t="e">
        <v>#N/A</v>
      </c>
      <c r="H68" s="8">
        <v>3.5</v>
      </c>
      <c r="I68" s="8" t="e">
        <v>#N/A</v>
      </c>
      <c r="J68" s="20">
        <v>0.88924722258450817</v>
      </c>
      <c r="K68" s="8">
        <v>8.7236333333333338</v>
      </c>
      <c r="L68" s="8" t="e">
        <v>#N/A</v>
      </c>
      <c r="M68" s="3" t="e">
        <v>#N/A</v>
      </c>
      <c r="N68" s="21">
        <v>146.70000000000002</v>
      </c>
      <c r="O68" s="3">
        <v>44.02</v>
      </c>
      <c r="P68" s="29">
        <v>7.7386223528169512E-2</v>
      </c>
      <c r="Q68" s="3">
        <v>13.383333333333333</v>
      </c>
      <c r="R68" s="3">
        <v>13.969999999999999</v>
      </c>
      <c r="S68" s="21">
        <v>14.813333333333333</v>
      </c>
      <c r="T68" s="3">
        <v>7.6999999999999993</v>
      </c>
    </row>
    <row r="69" spans="1:20" x14ac:dyDescent="0.35">
      <c r="A69" t="s">
        <v>62</v>
      </c>
      <c r="B69" s="4">
        <v>34515</v>
      </c>
      <c r="C69" s="2" t="e">
        <v>#N/A</v>
      </c>
      <c r="D69" s="2">
        <v>2771.9</v>
      </c>
      <c r="E69" s="3">
        <v>2861.93</v>
      </c>
      <c r="F69" s="29">
        <v>3.10640301568068E-2</v>
      </c>
      <c r="G69" s="3" t="e">
        <v>#N/A</v>
      </c>
      <c r="H69" s="8">
        <v>4.25</v>
      </c>
      <c r="I69" s="8" t="e">
        <v>#N/A</v>
      </c>
      <c r="J69" s="20">
        <v>0.8603063264059555</v>
      </c>
      <c r="K69" s="8">
        <v>8.6981999999999999</v>
      </c>
      <c r="L69" s="8" t="e">
        <v>#N/A</v>
      </c>
      <c r="M69" s="3" t="e">
        <v>#N/A</v>
      </c>
      <c r="N69" s="21">
        <v>147.53333333333333</v>
      </c>
      <c r="O69" s="3">
        <v>46.126666666666665</v>
      </c>
      <c r="P69" s="29">
        <v>4.3952116018773225E-2</v>
      </c>
      <c r="Q69" s="3">
        <v>14.593333333333334</v>
      </c>
      <c r="R69" s="3">
        <v>16.060000000000002</v>
      </c>
      <c r="S69" s="21">
        <v>17.776666666666667</v>
      </c>
      <c r="T69" s="3">
        <v>7.41</v>
      </c>
    </row>
    <row r="70" spans="1:20" x14ac:dyDescent="0.35">
      <c r="A70" t="s">
        <v>63</v>
      </c>
      <c r="B70" s="4">
        <v>34607</v>
      </c>
      <c r="C70" s="2" t="e">
        <v>#N/A</v>
      </c>
      <c r="D70" s="2">
        <v>2788.1</v>
      </c>
      <c r="E70" s="3">
        <v>2950.29</v>
      </c>
      <c r="F70" s="29">
        <v>2.9805742786099983E-2</v>
      </c>
      <c r="G70" s="3" t="e">
        <v>#N/A</v>
      </c>
      <c r="H70" s="8">
        <v>4.75</v>
      </c>
      <c r="I70" s="8" t="e">
        <v>#N/A</v>
      </c>
      <c r="J70" s="20">
        <v>0.81511993131256044</v>
      </c>
      <c r="K70" s="8">
        <v>8.6086000000000009</v>
      </c>
      <c r="L70" s="8" t="e">
        <v>#N/A</v>
      </c>
      <c r="M70" s="3" t="e">
        <v>#N/A</v>
      </c>
      <c r="N70" s="21">
        <v>148.9</v>
      </c>
      <c r="O70" s="3">
        <v>49.330000000000005</v>
      </c>
      <c r="P70" s="29">
        <v>6.9887828052222684E-2</v>
      </c>
      <c r="Q70" s="3">
        <v>12.533333333333333</v>
      </c>
      <c r="R70" s="3">
        <v>16.796666666666667</v>
      </c>
      <c r="S70" s="21">
        <v>18.496666666666666</v>
      </c>
      <c r="T70" s="3">
        <v>7.5266666666666664</v>
      </c>
    </row>
    <row r="71" spans="1:20" x14ac:dyDescent="0.35">
      <c r="A71" t="s">
        <v>64</v>
      </c>
      <c r="B71" s="4">
        <v>34699</v>
      </c>
      <c r="C71" s="2" t="e">
        <v>#N/A</v>
      </c>
      <c r="D71" s="2">
        <v>2820</v>
      </c>
      <c r="E71" s="3">
        <v>3016.28</v>
      </c>
      <c r="F71" s="29">
        <v>2.4067756528421969E-2</v>
      </c>
      <c r="G71" s="3" t="e">
        <v>#N/A</v>
      </c>
      <c r="H71" s="8">
        <v>5.5</v>
      </c>
      <c r="I71" s="8" t="e">
        <v>#N/A</v>
      </c>
      <c r="J71" s="20">
        <v>0.80635190272170643</v>
      </c>
      <c r="K71" s="8">
        <v>8.5298333333333343</v>
      </c>
      <c r="L71" s="8" t="e">
        <v>#N/A</v>
      </c>
      <c r="M71" s="3" t="e">
        <v>#N/A</v>
      </c>
      <c r="N71" s="21">
        <v>149.76666666666668</v>
      </c>
      <c r="O71" s="3">
        <v>51.993333333333332</v>
      </c>
      <c r="P71" s="29">
        <v>5.4751866489335832E-2</v>
      </c>
      <c r="Q71" s="3">
        <v>15.270000000000001</v>
      </c>
      <c r="R71" s="3">
        <v>16.536666666666665</v>
      </c>
      <c r="S71" s="21">
        <v>17.656666666666666</v>
      </c>
      <c r="T71" s="3">
        <v>8.0166666666666657</v>
      </c>
    </row>
    <row r="72" spans="1:20" x14ac:dyDescent="0.35">
      <c r="A72" t="s">
        <v>65</v>
      </c>
      <c r="B72" s="4">
        <v>34789</v>
      </c>
      <c r="C72" s="2">
        <v>2113963.1</v>
      </c>
      <c r="D72" s="2">
        <v>2830</v>
      </c>
      <c r="E72" s="3">
        <v>3092.03</v>
      </c>
      <c r="F72" s="29">
        <v>2.6419600270477371E-2</v>
      </c>
      <c r="G72" s="3" t="e">
        <v>#N/A</v>
      </c>
      <c r="H72" s="8">
        <v>6</v>
      </c>
      <c r="I72" s="8" t="e">
        <v>#N/A</v>
      </c>
      <c r="J72" s="20">
        <v>0.78604610946478126</v>
      </c>
      <c r="K72" s="8">
        <v>8.4548000000000005</v>
      </c>
      <c r="L72" s="8" t="e">
        <v>#N/A</v>
      </c>
      <c r="M72" s="3" t="e">
        <v>#N/A</v>
      </c>
      <c r="N72" s="21">
        <v>150.86666666666665</v>
      </c>
      <c r="O72" s="3">
        <v>53.919999999999995</v>
      </c>
      <c r="P72" s="29">
        <v>3.9180537354972171E-2</v>
      </c>
      <c r="Q72" s="3">
        <v>11.97</v>
      </c>
      <c r="R72" s="3">
        <v>16.89</v>
      </c>
      <c r="S72" s="21">
        <v>18.356666666666666</v>
      </c>
      <c r="T72" s="3">
        <v>8.6166666666666654</v>
      </c>
    </row>
    <row r="73" spans="1:20" x14ac:dyDescent="0.35">
      <c r="A73" t="s">
        <v>66</v>
      </c>
      <c r="B73" s="4">
        <v>34880</v>
      </c>
      <c r="C73" s="2">
        <v>2130670.7999999998</v>
      </c>
      <c r="D73" s="2">
        <v>2838.4</v>
      </c>
      <c r="E73" s="3">
        <v>3181.7</v>
      </c>
      <c r="F73" s="29">
        <v>2.7726202823293241E-2</v>
      </c>
      <c r="G73" s="3" t="e">
        <v>#N/A</v>
      </c>
      <c r="H73" s="8">
        <v>6</v>
      </c>
      <c r="I73" s="8" t="e">
        <v>#N/A</v>
      </c>
      <c r="J73" s="20">
        <v>0.75103078975894422</v>
      </c>
      <c r="K73" s="8">
        <v>8.3665666666666656</v>
      </c>
      <c r="L73" s="8" t="e">
        <v>#N/A</v>
      </c>
      <c r="M73" s="3" t="e">
        <v>#N/A</v>
      </c>
      <c r="N73" s="21">
        <v>152.1</v>
      </c>
      <c r="O73" s="3">
        <v>55.300000000000004</v>
      </c>
      <c r="P73" s="29">
        <v>2.2489949809202586E-2</v>
      </c>
      <c r="Q73" s="3">
        <v>12.203333333333333</v>
      </c>
      <c r="R73" s="3">
        <v>18.103333333333335</v>
      </c>
      <c r="S73" s="21">
        <v>19.343333333333334</v>
      </c>
      <c r="T73" s="3">
        <v>9.0166666666666657</v>
      </c>
    </row>
    <row r="74" spans="1:20" x14ac:dyDescent="0.35">
      <c r="A74" t="s">
        <v>67</v>
      </c>
      <c r="B74" s="4">
        <v>34972</v>
      </c>
      <c r="C74" s="2">
        <v>2135994.9</v>
      </c>
      <c r="D74" s="2">
        <v>2862.6</v>
      </c>
      <c r="E74" s="3">
        <v>3267.58</v>
      </c>
      <c r="F74" s="29">
        <v>2.5905126479437914E-2</v>
      </c>
      <c r="G74" s="3" t="e">
        <v>#N/A</v>
      </c>
      <c r="H74" s="8">
        <v>5.75</v>
      </c>
      <c r="I74" s="8" t="e">
        <v>#N/A</v>
      </c>
      <c r="J74" s="20">
        <v>0.76180415538773294</v>
      </c>
      <c r="K74" s="8">
        <v>8.3278000000000016</v>
      </c>
      <c r="L74" s="8" t="e">
        <v>#N/A</v>
      </c>
      <c r="M74" s="3" t="e">
        <v>#N/A</v>
      </c>
      <c r="N74" s="21">
        <v>152.86666666666667</v>
      </c>
      <c r="O74" s="3">
        <v>56.613333333333337</v>
      </c>
      <c r="P74" s="29">
        <v>2.4183846738829361E-2</v>
      </c>
      <c r="Q74" s="3">
        <v>12.456666666666669</v>
      </c>
      <c r="R74" s="3">
        <v>16.216666666666669</v>
      </c>
      <c r="S74" s="21">
        <v>17.853333333333335</v>
      </c>
      <c r="T74" s="3">
        <v>9.06</v>
      </c>
    </row>
    <row r="75" spans="1:20" x14ac:dyDescent="0.35">
      <c r="A75" t="s">
        <v>68</v>
      </c>
      <c r="B75" s="4">
        <v>35064</v>
      </c>
      <c r="C75" s="2">
        <v>2140682.9</v>
      </c>
      <c r="D75" s="2">
        <v>2882</v>
      </c>
      <c r="E75" s="3">
        <v>3339</v>
      </c>
      <c r="F75" s="29">
        <v>2.1713955985559662E-2</v>
      </c>
      <c r="G75" s="3" t="e">
        <v>#N/A</v>
      </c>
      <c r="H75" s="8">
        <v>5.5</v>
      </c>
      <c r="I75" s="8" t="e">
        <v>#N/A</v>
      </c>
      <c r="J75" s="20">
        <v>0.75943983717609898</v>
      </c>
      <c r="K75" s="8">
        <v>8.3345666666666673</v>
      </c>
      <c r="L75" s="8" t="e">
        <v>#N/A</v>
      </c>
      <c r="M75" s="3" t="e">
        <v>#N/A</v>
      </c>
      <c r="N75" s="21">
        <v>153.70000000000002</v>
      </c>
      <c r="O75" s="3">
        <v>57.736666666666672</v>
      </c>
      <c r="P75" s="29">
        <v>2.0396325530174734E-2</v>
      </c>
      <c r="Q75" s="3">
        <v>12.86</v>
      </c>
      <c r="R75" s="3">
        <v>16.966666666666665</v>
      </c>
      <c r="S75" s="21">
        <v>18.156666666666666</v>
      </c>
      <c r="T75" s="3">
        <v>8.870000000000001</v>
      </c>
    </row>
    <row r="76" spans="1:20" x14ac:dyDescent="0.35">
      <c r="A76" t="s">
        <v>69</v>
      </c>
      <c r="B76" s="4">
        <v>35155</v>
      </c>
      <c r="C76" s="2">
        <v>2144754.9</v>
      </c>
      <c r="D76" s="2">
        <v>2903.6</v>
      </c>
      <c r="E76" s="3">
        <v>3421.05</v>
      </c>
      <c r="F76" s="29">
        <v>2.6948425639155022E-2</v>
      </c>
      <c r="G76" s="3" t="e">
        <v>#N/A</v>
      </c>
      <c r="H76" s="8">
        <v>5.25</v>
      </c>
      <c r="I76" s="8" t="e">
        <v>#N/A</v>
      </c>
      <c r="J76" s="20">
        <v>0.77684383885151398</v>
      </c>
      <c r="K76" s="8">
        <v>8.3405666666666676</v>
      </c>
      <c r="L76" s="8" t="e">
        <v>#N/A</v>
      </c>
      <c r="M76" s="3" t="e">
        <v>#N/A</v>
      </c>
      <c r="N76" s="21">
        <v>155.06666666666666</v>
      </c>
      <c r="O76" s="3">
        <v>58.933333333333337</v>
      </c>
      <c r="P76" s="29">
        <v>2.2221823891090998E-2</v>
      </c>
      <c r="Q76" s="3">
        <v>15.420000000000002</v>
      </c>
      <c r="R76" s="3">
        <v>18.566666666666666</v>
      </c>
      <c r="S76" s="21">
        <v>19.77</v>
      </c>
      <c r="T76" s="3">
        <v>8.4799999999999986</v>
      </c>
    </row>
    <row r="77" spans="1:20" x14ac:dyDescent="0.35">
      <c r="A77" t="s">
        <v>70</v>
      </c>
      <c r="B77" s="4">
        <v>35246</v>
      </c>
      <c r="C77" s="2">
        <v>2161523.5</v>
      </c>
      <c r="D77" s="2">
        <v>2952</v>
      </c>
      <c r="E77" s="3">
        <v>3485.99</v>
      </c>
      <c r="F77" s="29">
        <v>1.8535317402394575E-2</v>
      </c>
      <c r="G77" s="3" t="e">
        <v>#N/A</v>
      </c>
      <c r="H77" s="8">
        <v>5.25</v>
      </c>
      <c r="I77" s="8" t="e">
        <v>#N/A</v>
      </c>
      <c r="J77" s="20">
        <v>0.79713033080908735</v>
      </c>
      <c r="K77" s="8">
        <v>8.3472666666666644</v>
      </c>
      <c r="L77" s="8" t="e">
        <v>#N/A</v>
      </c>
      <c r="M77" s="3" t="e">
        <v>#N/A</v>
      </c>
      <c r="N77" s="21">
        <v>156.4</v>
      </c>
      <c r="O77" s="3">
        <v>60.390000000000008</v>
      </c>
      <c r="P77" s="29">
        <v>2.2765054281140416E-2</v>
      </c>
      <c r="Q77" s="3">
        <v>16.376666666666665</v>
      </c>
      <c r="R77" s="3">
        <v>19.503333333333334</v>
      </c>
      <c r="S77" s="21">
        <v>21.756666666666664</v>
      </c>
      <c r="T77" s="3">
        <v>8.1000000000000014</v>
      </c>
    </row>
    <row r="78" spans="1:20" x14ac:dyDescent="0.35">
      <c r="A78" t="s">
        <v>71</v>
      </c>
      <c r="B78" s="4">
        <v>35338</v>
      </c>
      <c r="C78" s="2">
        <v>2171466.1</v>
      </c>
      <c r="D78" s="2">
        <v>2978.5</v>
      </c>
      <c r="E78" s="3">
        <v>3580.01</v>
      </c>
      <c r="F78" s="29">
        <v>2.5968132097456454E-2</v>
      </c>
      <c r="G78" s="3" t="e">
        <v>#N/A</v>
      </c>
      <c r="H78" s="8">
        <v>5.25</v>
      </c>
      <c r="I78" s="8" t="e">
        <v>#N/A</v>
      </c>
      <c r="J78" s="20">
        <v>0.78473224935651953</v>
      </c>
      <c r="K78" s="8">
        <v>8.3376333333333328</v>
      </c>
      <c r="L78" s="8" t="e">
        <v>#N/A</v>
      </c>
      <c r="M78" s="3" t="e">
        <v>#N/A</v>
      </c>
      <c r="N78" s="21">
        <v>157.29999999999998</v>
      </c>
      <c r="O78" s="3">
        <v>61.126666666666665</v>
      </c>
      <c r="P78" s="29">
        <v>1.2158410414777322E-2</v>
      </c>
      <c r="Q78" s="3">
        <v>16.773333333333333</v>
      </c>
      <c r="R78" s="3">
        <v>20.903333333333332</v>
      </c>
      <c r="S78" s="21">
        <v>22.423333333333332</v>
      </c>
      <c r="T78" s="3">
        <v>7.78</v>
      </c>
    </row>
    <row r="79" spans="1:20" x14ac:dyDescent="0.35">
      <c r="A79" t="s">
        <v>72</v>
      </c>
      <c r="B79" s="4">
        <v>35430</v>
      </c>
      <c r="C79" s="2">
        <v>2183386.6</v>
      </c>
      <c r="D79" s="2">
        <v>3009.5</v>
      </c>
      <c r="E79" s="3">
        <v>3679.12</v>
      </c>
      <c r="F79" s="29">
        <v>2.5289599533243504E-2</v>
      </c>
      <c r="G79" s="3" t="e">
        <v>#N/A</v>
      </c>
      <c r="H79" s="8">
        <v>5.25</v>
      </c>
      <c r="I79" s="8" t="e">
        <v>#N/A</v>
      </c>
      <c r="J79" s="20">
        <v>0.79248512769577018</v>
      </c>
      <c r="K79" s="8">
        <v>8.3294333333333341</v>
      </c>
      <c r="L79" s="8" t="e">
        <v>#N/A</v>
      </c>
      <c r="M79" s="3" t="e">
        <v>#N/A</v>
      </c>
      <c r="N79" s="21">
        <v>158.66666666666666</v>
      </c>
      <c r="O79" s="3">
        <v>61.683333333333337</v>
      </c>
      <c r="P79" s="29">
        <v>9.6005441985511867E-3</v>
      </c>
      <c r="Q79" s="3">
        <v>17.213333333333335</v>
      </c>
      <c r="R79" s="3">
        <v>23.566666666666666</v>
      </c>
      <c r="S79" s="21">
        <v>24.666666666666668</v>
      </c>
      <c r="T79" s="3">
        <v>7.3866666666666667</v>
      </c>
    </row>
    <row r="80" spans="1:20" x14ac:dyDescent="0.35">
      <c r="A80" t="s">
        <v>73</v>
      </c>
      <c r="B80" s="4">
        <v>35520</v>
      </c>
      <c r="C80" s="2">
        <v>2189616.2000000002</v>
      </c>
      <c r="D80" s="2">
        <v>3028.9</v>
      </c>
      <c r="E80" s="3">
        <v>3759.93</v>
      </c>
      <c r="F80" s="29">
        <v>2.5868699025927266E-2</v>
      </c>
      <c r="G80" s="3" t="e">
        <v>#N/A</v>
      </c>
      <c r="H80" s="8">
        <v>5.5</v>
      </c>
      <c r="I80" s="8" t="e">
        <v>#N/A</v>
      </c>
      <c r="J80" s="20">
        <v>0.84944205814147755</v>
      </c>
      <c r="K80" s="8">
        <v>8.3248333333333324</v>
      </c>
      <c r="L80" s="8" t="e">
        <v>#N/A</v>
      </c>
      <c r="M80" s="3">
        <v>72.8</v>
      </c>
      <c r="N80" s="21">
        <v>159.63333333333335</v>
      </c>
      <c r="O80" s="3">
        <v>61.94</v>
      </c>
      <c r="P80" s="29">
        <v>5.0859725811595591E-3</v>
      </c>
      <c r="Q80" s="3">
        <v>19.926666666666666</v>
      </c>
      <c r="R80" s="3">
        <v>21.173333333333332</v>
      </c>
      <c r="S80" s="21">
        <v>22.790000000000003</v>
      </c>
      <c r="T80" s="3">
        <v>7.02</v>
      </c>
    </row>
    <row r="81" spans="1:20" x14ac:dyDescent="0.35">
      <c r="A81" t="s">
        <v>74</v>
      </c>
      <c r="B81" s="4">
        <v>35611</v>
      </c>
      <c r="C81" s="2">
        <v>2215960.2999999998</v>
      </c>
      <c r="D81" s="2">
        <v>3079.3</v>
      </c>
      <c r="E81" s="3">
        <v>3841.64</v>
      </c>
      <c r="F81" s="29">
        <v>2.1894817417522212E-2</v>
      </c>
      <c r="G81" s="3" t="e">
        <v>#N/A</v>
      </c>
      <c r="H81" s="8">
        <v>5.5</v>
      </c>
      <c r="I81" s="8" t="e">
        <v>#N/A</v>
      </c>
      <c r="J81" s="20">
        <v>0.87438574401482971</v>
      </c>
      <c r="K81" s="8">
        <v>8.3236666666666679</v>
      </c>
      <c r="L81" s="8" t="e">
        <v>#N/A</v>
      </c>
      <c r="M81" s="3">
        <v>72.846666666666664</v>
      </c>
      <c r="N81" s="21">
        <v>160</v>
      </c>
      <c r="O81" s="3">
        <v>62.27</v>
      </c>
      <c r="P81" s="29">
        <v>4.426248141976531E-3</v>
      </c>
      <c r="Q81" s="3">
        <v>19.923333333333332</v>
      </c>
      <c r="R81" s="3">
        <v>18.053333333333331</v>
      </c>
      <c r="S81" s="21">
        <v>19.906666666666666</v>
      </c>
      <c r="T81" s="3">
        <v>6.6766666666666659</v>
      </c>
    </row>
    <row r="82" spans="1:20" x14ac:dyDescent="0.35">
      <c r="A82" t="s">
        <v>75</v>
      </c>
      <c r="B82" s="4">
        <v>35703</v>
      </c>
      <c r="C82" s="2">
        <v>2233286.1</v>
      </c>
      <c r="D82" s="2">
        <v>3117.8</v>
      </c>
      <c r="E82" s="3">
        <v>3900.04</v>
      </c>
      <c r="F82" s="29">
        <v>1.3976949707761048E-2</v>
      </c>
      <c r="G82" s="3" t="e">
        <v>#N/A</v>
      </c>
      <c r="H82" s="8">
        <v>5.5</v>
      </c>
      <c r="I82" s="8" t="e">
        <v>#N/A</v>
      </c>
      <c r="J82" s="20">
        <v>0.9153150514407058</v>
      </c>
      <c r="K82" s="8">
        <v>8.3173333333333339</v>
      </c>
      <c r="L82" s="8" t="e">
        <v>#N/A</v>
      </c>
      <c r="M82" s="3">
        <v>73.186666666666667</v>
      </c>
      <c r="N82" s="21">
        <v>160.80000000000001</v>
      </c>
      <c r="O82" s="3">
        <v>62.443333333333328</v>
      </c>
      <c r="P82" s="29">
        <v>2.5341353316861224E-3</v>
      </c>
      <c r="Q82" s="3">
        <v>22.473333333333333</v>
      </c>
      <c r="R82" s="3">
        <v>18.506666666666668</v>
      </c>
      <c r="S82" s="21">
        <v>19.783333333333335</v>
      </c>
      <c r="T82" s="3">
        <v>6.3133333333333326</v>
      </c>
    </row>
    <row r="83" spans="1:20" x14ac:dyDescent="0.35">
      <c r="A83" t="s">
        <v>76</v>
      </c>
      <c r="B83" s="4">
        <v>35795</v>
      </c>
      <c r="C83" s="2">
        <v>2256628.9</v>
      </c>
      <c r="D83" s="2">
        <v>3144.4</v>
      </c>
      <c r="E83" s="3">
        <v>3993.49</v>
      </c>
      <c r="F83" s="29">
        <v>2.019842583154665E-2</v>
      </c>
      <c r="G83" s="3" t="e">
        <v>#N/A</v>
      </c>
      <c r="H83" s="8">
        <v>5.5</v>
      </c>
      <c r="I83" s="8" t="e">
        <v>#N/A</v>
      </c>
      <c r="J83" s="20">
        <v>0.88987236264078518</v>
      </c>
      <c r="K83" s="8">
        <v>8.3114333333333335</v>
      </c>
      <c r="L83" s="8" t="e">
        <v>#N/A</v>
      </c>
      <c r="M83" s="3">
        <v>73.483333333333334</v>
      </c>
      <c r="N83" s="21">
        <v>161.66666666666666</v>
      </c>
      <c r="O83" s="3">
        <v>62.236666666666657</v>
      </c>
      <c r="P83" s="29">
        <v>-3.3965008874267334E-3</v>
      </c>
      <c r="Q83" s="3">
        <v>27.453333333333333</v>
      </c>
      <c r="R83" s="3">
        <v>18.740000000000002</v>
      </c>
      <c r="S83" s="21">
        <v>19.916666666666668</v>
      </c>
      <c r="T83" s="3">
        <v>6.0566666666666675</v>
      </c>
    </row>
    <row r="84" spans="1:20" x14ac:dyDescent="0.35">
      <c r="A84" t="s">
        <v>77</v>
      </c>
      <c r="B84" s="4">
        <v>35885</v>
      </c>
      <c r="C84" s="2">
        <v>2273109.1</v>
      </c>
      <c r="D84" s="2">
        <v>3175.9</v>
      </c>
      <c r="E84" s="3">
        <v>4023.94</v>
      </c>
      <c r="F84" s="29">
        <v>1.2464906957611615E-2</v>
      </c>
      <c r="G84" s="3" t="e">
        <v>#N/A</v>
      </c>
      <c r="H84" s="8">
        <v>5.5</v>
      </c>
      <c r="I84" s="8" t="e">
        <v>#N/A</v>
      </c>
      <c r="J84" s="20">
        <v>0.92010427848489496</v>
      </c>
      <c r="K84" s="8">
        <v>8.3080666666666669</v>
      </c>
      <c r="L84" s="8" t="e">
        <v>#N/A</v>
      </c>
      <c r="M84" s="3">
        <v>73.556666666666672</v>
      </c>
      <c r="N84" s="21">
        <v>162</v>
      </c>
      <c r="O84" s="3">
        <v>62.036666666666662</v>
      </c>
      <c r="P84" s="29">
        <v>-2.3415342068073557E-3</v>
      </c>
      <c r="Q84" s="3">
        <v>21.343333333333334</v>
      </c>
      <c r="R84" s="3">
        <v>14.12</v>
      </c>
      <c r="S84" s="21">
        <v>15.929999999999998</v>
      </c>
      <c r="T84" s="3">
        <v>5.82</v>
      </c>
    </row>
    <row r="85" spans="1:20" x14ac:dyDescent="0.35">
      <c r="A85" t="s">
        <v>78</v>
      </c>
      <c r="B85" s="4">
        <v>35976</v>
      </c>
      <c r="C85" s="2">
        <v>2281728</v>
      </c>
      <c r="D85" s="2">
        <v>3205.3</v>
      </c>
      <c r="E85" s="3">
        <v>4113.21</v>
      </c>
      <c r="F85" s="29">
        <v>2.2547286671705958E-2</v>
      </c>
      <c r="G85" s="3" t="e">
        <v>#N/A</v>
      </c>
      <c r="H85" s="8">
        <v>5.5</v>
      </c>
      <c r="I85" s="8" t="e">
        <v>#N/A</v>
      </c>
      <c r="J85" s="20">
        <v>0.90867236909060067</v>
      </c>
      <c r="K85" s="8">
        <v>8.3080666666666669</v>
      </c>
      <c r="L85" s="8" t="e">
        <v>#N/A</v>
      </c>
      <c r="M85" s="3">
        <v>73.796666666666667</v>
      </c>
      <c r="N85" s="21">
        <v>162.53333333333333</v>
      </c>
      <c r="O85" s="3">
        <v>61.846666666666671</v>
      </c>
      <c r="P85" s="29">
        <v>-3.1914690398890601E-3</v>
      </c>
      <c r="Q85" s="3">
        <v>21.52</v>
      </c>
      <c r="R85" s="3">
        <v>13.366666666666667</v>
      </c>
      <c r="S85" s="21">
        <v>14.653333333333331</v>
      </c>
      <c r="T85" s="3">
        <v>5.5066666666666668</v>
      </c>
    </row>
    <row r="86" spans="1:20" x14ac:dyDescent="0.35">
      <c r="A86" t="s">
        <v>79</v>
      </c>
      <c r="B86" s="4">
        <v>36068</v>
      </c>
      <c r="C86" s="2">
        <v>2293780.2999999998</v>
      </c>
      <c r="D86" s="2">
        <v>3245.7</v>
      </c>
      <c r="E86" s="3">
        <v>4213.53</v>
      </c>
      <c r="F86" s="29">
        <v>2.3415795369551507E-2</v>
      </c>
      <c r="G86" s="3" t="e">
        <v>#N/A</v>
      </c>
      <c r="H86" s="8">
        <v>5.25</v>
      </c>
      <c r="I86" s="8" t="e">
        <v>#N/A</v>
      </c>
      <c r="J86" s="20">
        <v>0.89466778003101499</v>
      </c>
      <c r="K86" s="8">
        <v>8.3085000000000004</v>
      </c>
      <c r="L86" s="8" t="e">
        <v>#N/A</v>
      </c>
      <c r="M86" s="3">
        <v>73.959999999999994</v>
      </c>
      <c r="N86" s="21">
        <v>163.36666666666667</v>
      </c>
      <c r="O86" s="3">
        <v>61.566666666666663</v>
      </c>
      <c r="P86" s="29">
        <v>-5.0379152743535759E-3</v>
      </c>
      <c r="Q86" s="3">
        <v>29.906666666666666</v>
      </c>
      <c r="R86" s="3">
        <v>12.443333333333333</v>
      </c>
      <c r="S86" s="21">
        <v>14.13</v>
      </c>
      <c r="T86" s="3">
        <v>5.21</v>
      </c>
    </row>
    <row r="87" spans="1:20" x14ac:dyDescent="0.35">
      <c r="A87" t="s">
        <v>80</v>
      </c>
      <c r="B87" s="4">
        <v>36160</v>
      </c>
      <c r="C87" s="2">
        <v>2300668.1</v>
      </c>
      <c r="D87" s="2">
        <v>3297.9</v>
      </c>
      <c r="E87" s="3">
        <v>4365.75</v>
      </c>
      <c r="F87" s="29">
        <v>3.139448267549113E-2</v>
      </c>
      <c r="G87" s="3" t="e">
        <v>#N/A</v>
      </c>
      <c r="H87" s="8">
        <v>4.75</v>
      </c>
      <c r="I87" s="8" t="e">
        <v>#N/A</v>
      </c>
      <c r="J87" s="20">
        <v>0.84978613715548246</v>
      </c>
      <c r="K87" s="8">
        <v>8.2778666666666663</v>
      </c>
      <c r="L87" s="8" t="e">
        <v>#N/A</v>
      </c>
      <c r="M87" s="3">
        <v>74.043333333333337</v>
      </c>
      <c r="N87" s="21">
        <v>164.13333333333333</v>
      </c>
      <c r="O87" s="3">
        <v>61.483333333333341</v>
      </c>
      <c r="P87" s="29">
        <v>-1.7192265379248411E-3</v>
      </c>
      <c r="Q87" s="3">
        <v>29.436666666666667</v>
      </c>
      <c r="R87" s="3">
        <v>11.186666666666667</v>
      </c>
      <c r="S87" s="21">
        <v>12.840000000000002</v>
      </c>
      <c r="T87" s="3">
        <v>4.833333333333333</v>
      </c>
    </row>
    <row r="88" spans="1:20" x14ac:dyDescent="0.35">
      <c r="A88" t="s">
        <v>81</v>
      </c>
      <c r="B88" s="4">
        <v>36250</v>
      </c>
      <c r="C88" s="2">
        <v>2323517.7000000002</v>
      </c>
      <c r="D88" s="2">
        <v>3328.9</v>
      </c>
      <c r="E88" s="3">
        <v>4371.7299999999996</v>
      </c>
      <c r="F88" s="29">
        <v>6.7619140726936479E-3</v>
      </c>
      <c r="G88" s="3">
        <v>2</v>
      </c>
      <c r="H88" s="8">
        <v>4.75</v>
      </c>
      <c r="I88" s="8" t="e">
        <v>#N/A</v>
      </c>
      <c r="J88" s="20">
        <v>0.89024971801340169</v>
      </c>
      <c r="K88" s="8">
        <v>8.2787333333333333</v>
      </c>
      <c r="L88" s="8" t="e">
        <v>#N/A</v>
      </c>
      <c r="M88" s="3">
        <v>74.11</v>
      </c>
      <c r="N88" s="21">
        <v>164.73333333333332</v>
      </c>
      <c r="O88" s="3">
        <v>61.086666666666666</v>
      </c>
      <c r="P88" s="29">
        <v>-5.7243219778773105E-3</v>
      </c>
      <c r="Q88" s="3">
        <v>27.39</v>
      </c>
      <c r="R88" s="3">
        <v>11.296666666666667</v>
      </c>
      <c r="S88" s="21">
        <v>13.046666666666667</v>
      </c>
      <c r="T88" s="3">
        <v>4.5</v>
      </c>
    </row>
    <row r="89" spans="1:20" x14ac:dyDescent="0.35">
      <c r="A89" t="s">
        <v>82</v>
      </c>
      <c r="B89" s="4">
        <v>36341</v>
      </c>
      <c r="C89" s="2">
        <v>2334547</v>
      </c>
      <c r="D89" s="2">
        <v>3356.7</v>
      </c>
      <c r="E89" s="3">
        <v>4437.88</v>
      </c>
      <c r="F89" s="29">
        <v>1.5409055344833526E-2</v>
      </c>
      <c r="G89" s="3">
        <v>1.5</v>
      </c>
      <c r="H89" s="8">
        <v>5</v>
      </c>
      <c r="I89" s="8" t="e">
        <v>#N/A</v>
      </c>
      <c r="J89" s="20">
        <v>0.94607200364805366</v>
      </c>
      <c r="K89" s="8">
        <v>8.2785666666666646</v>
      </c>
      <c r="L89" s="8" t="e">
        <v>#N/A</v>
      </c>
      <c r="M89" s="3">
        <v>74.493333333333339</v>
      </c>
      <c r="N89" s="21">
        <v>165.96666666666667</v>
      </c>
      <c r="O89" s="3">
        <v>60.616666666666667</v>
      </c>
      <c r="P89" s="29">
        <v>-7.3759222125434239E-3</v>
      </c>
      <c r="Q89" s="3">
        <v>24.436666666666667</v>
      </c>
      <c r="R89" s="3">
        <v>15.459999999999999</v>
      </c>
      <c r="S89" s="21">
        <v>17.66</v>
      </c>
      <c r="T89" s="3">
        <v>4.2766666666666664</v>
      </c>
    </row>
    <row r="90" spans="1:20" x14ac:dyDescent="0.35">
      <c r="A90" t="s">
        <v>83</v>
      </c>
      <c r="B90" s="4">
        <v>36433</v>
      </c>
      <c r="C90" s="2">
        <v>2365082.6</v>
      </c>
      <c r="D90" s="2">
        <v>3401.2</v>
      </c>
      <c r="E90" s="3">
        <v>4541.57</v>
      </c>
      <c r="F90" s="29">
        <v>2.2403921299037309E-2</v>
      </c>
      <c r="G90" s="3">
        <v>1.5</v>
      </c>
      <c r="H90" s="8">
        <v>5.25</v>
      </c>
      <c r="I90" s="8" t="e">
        <v>#N/A</v>
      </c>
      <c r="J90" s="20">
        <v>0.95368280509902403</v>
      </c>
      <c r="K90" s="8">
        <v>8.2774000000000001</v>
      </c>
      <c r="L90" s="8" t="e">
        <v>#N/A</v>
      </c>
      <c r="M90" s="3">
        <v>74.783333333333317</v>
      </c>
      <c r="N90" s="21">
        <v>167.2</v>
      </c>
      <c r="O90" s="3">
        <v>60.870000000000005</v>
      </c>
      <c r="P90" s="29">
        <v>3.7165632535146719E-3</v>
      </c>
      <c r="Q90" s="3">
        <v>23.303333333333331</v>
      </c>
      <c r="R90" s="3">
        <v>20.613333333333333</v>
      </c>
      <c r="S90" s="21">
        <v>21.736666666666665</v>
      </c>
      <c r="T90" s="3">
        <v>4.28</v>
      </c>
    </row>
    <row r="91" spans="1:20" x14ac:dyDescent="0.35">
      <c r="A91" t="s">
        <v>84</v>
      </c>
      <c r="B91" s="4">
        <v>36525</v>
      </c>
      <c r="C91" s="2">
        <v>2389876.2000000002</v>
      </c>
      <c r="D91" s="2">
        <v>3457</v>
      </c>
      <c r="E91" s="3">
        <v>4676.1499999999996</v>
      </c>
      <c r="F91" s="29">
        <v>2.5405659277034691E-2</v>
      </c>
      <c r="G91" s="3">
        <v>2</v>
      </c>
      <c r="H91" s="8">
        <v>5.5</v>
      </c>
      <c r="I91" s="8" t="e">
        <v>#N/A</v>
      </c>
      <c r="J91" s="20">
        <v>0.96293657136804389</v>
      </c>
      <c r="K91" s="8">
        <v>8.2783666666666686</v>
      </c>
      <c r="L91" s="8" t="e">
        <v>#N/A</v>
      </c>
      <c r="M91" s="3">
        <v>75.163333333333327</v>
      </c>
      <c r="N91" s="21">
        <v>168.43333333333334</v>
      </c>
      <c r="O91" s="3">
        <v>60.916666666666664</v>
      </c>
      <c r="P91" s="29">
        <v>1.3182526633772381E-4</v>
      </c>
      <c r="Q91" s="3">
        <v>22.626666666666665</v>
      </c>
      <c r="R91" s="3">
        <v>24.016666666666666</v>
      </c>
      <c r="S91" s="21">
        <v>24.563333333333333</v>
      </c>
      <c r="T91" s="3">
        <v>4.53</v>
      </c>
    </row>
    <row r="92" spans="1:20" x14ac:dyDescent="0.35">
      <c r="A92" t="s">
        <v>85</v>
      </c>
      <c r="B92" s="4">
        <v>36616</v>
      </c>
      <c r="C92" s="2">
        <v>2420575</v>
      </c>
      <c r="D92" s="2">
        <v>3469.5</v>
      </c>
      <c r="E92" s="3">
        <v>4736.0600000000004</v>
      </c>
      <c r="F92" s="29">
        <v>1.7260748407382766E-2</v>
      </c>
      <c r="G92" s="3">
        <v>2.5</v>
      </c>
      <c r="H92" s="8">
        <v>6</v>
      </c>
      <c r="I92" s="8" t="e">
        <v>#N/A</v>
      </c>
      <c r="J92" s="20">
        <v>1.0130131671451466</v>
      </c>
      <c r="K92" s="8">
        <v>8.2786333333333335</v>
      </c>
      <c r="L92" s="8">
        <v>8.1466333333333321</v>
      </c>
      <c r="M92" s="3">
        <v>75.59333333333332</v>
      </c>
      <c r="N92" s="21">
        <v>170.1</v>
      </c>
      <c r="O92" s="3">
        <v>61.106666666666662</v>
      </c>
      <c r="P92" s="29">
        <v>3.6058551232395798E-3</v>
      </c>
      <c r="Q92" s="3">
        <v>23.173333333333332</v>
      </c>
      <c r="R92" s="3">
        <v>26.926666666666666</v>
      </c>
      <c r="S92" s="21">
        <v>28.806666666666668</v>
      </c>
      <c r="T92" s="3">
        <v>4.91</v>
      </c>
    </row>
    <row r="93" spans="1:20" x14ac:dyDescent="0.35">
      <c r="A93" t="s">
        <v>86</v>
      </c>
      <c r="B93" s="4">
        <v>36707</v>
      </c>
      <c r="C93" s="2">
        <v>2442741.1</v>
      </c>
      <c r="D93" s="2">
        <v>3532.7</v>
      </c>
      <c r="E93" s="3">
        <v>4843.1499999999996</v>
      </c>
      <c r="F93" s="29">
        <v>2.3339857067568786E-2</v>
      </c>
      <c r="G93" s="3">
        <v>3.25</v>
      </c>
      <c r="H93" s="8">
        <v>6.5</v>
      </c>
      <c r="I93" s="8" t="e">
        <v>#N/A</v>
      </c>
      <c r="J93" s="20">
        <v>1.0706275126289437</v>
      </c>
      <c r="K93" s="8">
        <v>8.2782</v>
      </c>
      <c r="L93" s="8">
        <v>7.7309666666666672</v>
      </c>
      <c r="M93" s="3">
        <v>75.896666666666661</v>
      </c>
      <c r="N93" s="21">
        <v>171.43333333333331</v>
      </c>
      <c r="O93" s="3">
        <v>60.733333333333327</v>
      </c>
      <c r="P93" s="29">
        <v>-5.4115680788219822E-3</v>
      </c>
      <c r="Q93" s="3">
        <v>25.02333333333333</v>
      </c>
      <c r="R93" s="3">
        <v>26.766666666666666</v>
      </c>
      <c r="S93" s="21">
        <v>28.783333333333331</v>
      </c>
      <c r="T93" s="3">
        <v>5.246666666666667</v>
      </c>
    </row>
    <row r="94" spans="1:20" x14ac:dyDescent="0.35">
      <c r="A94" t="s">
        <v>87</v>
      </c>
      <c r="B94" s="4">
        <v>36799</v>
      </c>
      <c r="C94" s="2">
        <v>2459219.6</v>
      </c>
      <c r="D94" s="2">
        <v>3536.3</v>
      </c>
      <c r="E94" s="3">
        <v>4947.25</v>
      </c>
      <c r="F94" s="29">
        <v>2.0332581605198921E-2</v>
      </c>
      <c r="G94" s="3">
        <v>3.5</v>
      </c>
      <c r="H94" s="8">
        <v>6.5</v>
      </c>
      <c r="I94" s="8" t="e">
        <v>#N/A</v>
      </c>
      <c r="J94" s="20">
        <v>1.1046354923802246</v>
      </c>
      <c r="K94" s="8">
        <v>8.2791666666666668</v>
      </c>
      <c r="L94" s="8">
        <v>7.4929999999999994</v>
      </c>
      <c r="M94" s="3">
        <v>76.453333333333333</v>
      </c>
      <c r="N94" s="21">
        <v>173</v>
      </c>
      <c r="O94" s="3">
        <v>61.04666666666666</v>
      </c>
      <c r="P94" s="29">
        <v>4.6800287393906174E-3</v>
      </c>
      <c r="Q94" s="3">
        <v>19.223333333333333</v>
      </c>
      <c r="R94" s="3">
        <v>30.673333333333332</v>
      </c>
      <c r="S94" s="21">
        <v>31.623333333333335</v>
      </c>
      <c r="T94" s="3">
        <v>5.4066666666666663</v>
      </c>
    </row>
    <row r="95" spans="1:20" x14ac:dyDescent="0.35">
      <c r="A95" t="s">
        <v>88</v>
      </c>
      <c r="B95" s="4">
        <v>36891</v>
      </c>
      <c r="C95" s="2">
        <v>2470828.1</v>
      </c>
      <c r="D95" s="2">
        <v>3557.5</v>
      </c>
      <c r="E95" s="3">
        <v>5054.8999999999996</v>
      </c>
      <c r="F95" s="29">
        <v>1.8599328236172261E-2</v>
      </c>
      <c r="G95" s="3">
        <v>3.75</v>
      </c>
      <c r="H95" s="8">
        <v>6.5</v>
      </c>
      <c r="I95" s="8" t="e">
        <v>#N/A</v>
      </c>
      <c r="J95" s="20">
        <v>1.1499271137864377</v>
      </c>
      <c r="K95" s="8">
        <v>8.2776666666666667</v>
      </c>
      <c r="L95" s="8">
        <v>7.1978666666666662</v>
      </c>
      <c r="M95" s="3">
        <v>76.92</v>
      </c>
      <c r="N95" s="21">
        <v>174.23333333333335</v>
      </c>
      <c r="O95" s="3">
        <v>61.456666666666671</v>
      </c>
      <c r="P95" s="29">
        <v>6.2378424054005668E-3</v>
      </c>
      <c r="Q95" s="3">
        <v>26.036666666666665</v>
      </c>
      <c r="R95" s="3">
        <v>29.723333333333333</v>
      </c>
      <c r="S95" s="21">
        <v>31.98</v>
      </c>
      <c r="T95" s="3">
        <v>5.4366666666666665</v>
      </c>
    </row>
    <row r="96" spans="1:20" x14ac:dyDescent="0.35">
      <c r="A96" t="s">
        <v>89</v>
      </c>
      <c r="B96" s="4">
        <v>36981</v>
      </c>
      <c r="C96" s="2">
        <v>2497942.9</v>
      </c>
      <c r="D96" s="2">
        <v>3545.8</v>
      </c>
      <c r="E96" s="3">
        <v>5157.7700000000004</v>
      </c>
      <c r="F96" s="29">
        <v>2.3311458769270561E-2</v>
      </c>
      <c r="G96" s="3">
        <v>3.75</v>
      </c>
      <c r="H96" s="8">
        <v>5</v>
      </c>
      <c r="I96" s="8" t="e">
        <v>#N/A</v>
      </c>
      <c r="J96" s="20">
        <v>1.083224108235753</v>
      </c>
      <c r="K96" s="8">
        <v>8.2774000000000001</v>
      </c>
      <c r="L96" s="8">
        <v>7.6410999999999989</v>
      </c>
      <c r="M96" s="3">
        <v>77.096666666666678</v>
      </c>
      <c r="N96" s="21">
        <v>175.9</v>
      </c>
      <c r="O96" s="3">
        <v>61.50333333333333</v>
      </c>
      <c r="P96" s="29">
        <v>8.5913337829741226E-4</v>
      </c>
      <c r="Q96" s="3">
        <v>25.61</v>
      </c>
      <c r="R96" s="3">
        <v>25.873333333333335</v>
      </c>
      <c r="S96" s="21">
        <v>28.81</v>
      </c>
      <c r="T96" s="3">
        <v>5.32</v>
      </c>
    </row>
    <row r="97" spans="1:20" x14ac:dyDescent="0.35">
      <c r="A97" t="s">
        <v>90</v>
      </c>
      <c r="B97" s="4">
        <v>37072</v>
      </c>
      <c r="C97" s="2">
        <v>2499200.4</v>
      </c>
      <c r="D97" s="2">
        <v>3567.9</v>
      </c>
      <c r="E97" s="3">
        <v>5254.71</v>
      </c>
      <c r="F97" s="29">
        <v>2.0161572883296758E-2</v>
      </c>
      <c r="G97" s="3">
        <v>3.5</v>
      </c>
      <c r="H97" s="8">
        <v>3.75</v>
      </c>
      <c r="I97" s="8" t="e">
        <v>#N/A</v>
      </c>
      <c r="J97" s="20">
        <v>1.1453306206813878</v>
      </c>
      <c r="K97" s="8">
        <v>8.2770333333333337</v>
      </c>
      <c r="L97" s="8">
        <v>7.2267666666666672</v>
      </c>
      <c r="M97" s="3">
        <v>77.839999999999989</v>
      </c>
      <c r="N97" s="21">
        <v>177.13333333333335</v>
      </c>
      <c r="O97" s="3">
        <v>61.686666666666667</v>
      </c>
      <c r="P97" s="29">
        <v>3.6076943204401881E-3</v>
      </c>
      <c r="Q97" s="3">
        <v>24.003333333333334</v>
      </c>
      <c r="R97" s="3">
        <v>27.27333333333333</v>
      </c>
      <c r="S97" s="21">
        <v>27.883333333333336</v>
      </c>
      <c r="T97" s="3">
        <v>5.2266666666666666</v>
      </c>
    </row>
    <row r="98" spans="1:20" x14ac:dyDescent="0.35">
      <c r="A98" t="s">
        <v>91</v>
      </c>
      <c r="B98" s="4">
        <v>37164</v>
      </c>
      <c r="C98" s="2">
        <v>2504580</v>
      </c>
      <c r="D98" s="2">
        <v>3553.6</v>
      </c>
      <c r="E98" s="3">
        <v>5344.5</v>
      </c>
      <c r="F98" s="29">
        <v>1.5491410208165952E-2</v>
      </c>
      <c r="G98" s="3">
        <v>2.75</v>
      </c>
      <c r="H98" s="8">
        <v>3</v>
      </c>
      <c r="I98" s="8" t="e">
        <v>#N/A</v>
      </c>
      <c r="J98" s="20">
        <v>1.1226528136299034</v>
      </c>
      <c r="K98" s="8">
        <v>8.2768999999999995</v>
      </c>
      <c r="L98" s="8">
        <v>7.3726999999999991</v>
      </c>
      <c r="M98" s="3">
        <v>78.176666666666662</v>
      </c>
      <c r="N98" s="21">
        <v>177.63333333333333</v>
      </c>
      <c r="O98" s="3">
        <v>61.550000000000004</v>
      </c>
      <c r="P98" s="29">
        <v>-2.4431320063101267E-3</v>
      </c>
      <c r="Q98" s="3">
        <v>26.416666666666668</v>
      </c>
      <c r="R98" s="3">
        <v>25.303333333333331</v>
      </c>
      <c r="S98" s="21">
        <v>26.599999999999998</v>
      </c>
      <c r="T98" s="3">
        <v>5.1566666666666672</v>
      </c>
    </row>
    <row r="99" spans="1:20" x14ac:dyDescent="0.35">
      <c r="A99" t="s">
        <v>92</v>
      </c>
      <c r="B99" s="4">
        <v>37256</v>
      </c>
      <c r="C99" s="2">
        <v>2503211.7999999998</v>
      </c>
      <c r="D99" s="2">
        <v>3563.4</v>
      </c>
      <c r="E99" s="3">
        <v>5463.04</v>
      </c>
      <c r="F99" s="29">
        <v>2.0822860162950488E-2</v>
      </c>
      <c r="G99" s="3">
        <v>2.25</v>
      </c>
      <c r="H99" s="8">
        <v>1.75</v>
      </c>
      <c r="I99" s="8" t="e">
        <v>#N/A</v>
      </c>
      <c r="J99" s="20">
        <v>1.1166754635878187</v>
      </c>
      <c r="K99" s="8">
        <v>8.2766999999999999</v>
      </c>
      <c r="L99" s="8">
        <v>7.4121666666666668</v>
      </c>
      <c r="M99" s="3">
        <v>78.353333333333339</v>
      </c>
      <c r="N99" s="21">
        <v>177.5</v>
      </c>
      <c r="O99" s="3">
        <v>61.373333333333335</v>
      </c>
      <c r="P99" s="29">
        <v>-3.0070971501074207E-3</v>
      </c>
      <c r="Q99" s="3">
        <v>27.689999999999998</v>
      </c>
      <c r="R99" s="3">
        <v>19.350000000000001</v>
      </c>
      <c r="S99" s="21">
        <v>20.403333333333332</v>
      </c>
      <c r="T99" s="3">
        <v>5.0266666666666664</v>
      </c>
    </row>
    <row r="100" spans="1:20" x14ac:dyDescent="0.35">
      <c r="A100" t="s">
        <v>93</v>
      </c>
      <c r="B100" s="4">
        <v>37346</v>
      </c>
      <c r="C100" s="2">
        <v>2508949.7000000002</v>
      </c>
      <c r="D100" s="2">
        <v>3593.2</v>
      </c>
      <c r="E100" s="3">
        <v>5589.31</v>
      </c>
      <c r="F100" s="29">
        <v>2.355947769992052E-2</v>
      </c>
      <c r="G100" s="3">
        <v>2.25</v>
      </c>
      <c r="H100" s="8">
        <v>1.75</v>
      </c>
      <c r="I100" s="8" t="e">
        <v>#N/A</v>
      </c>
      <c r="J100" s="20">
        <v>1.1410657782582088</v>
      </c>
      <c r="K100" s="8">
        <v>8.2770333333333337</v>
      </c>
      <c r="L100" s="8">
        <v>7.2537666666666665</v>
      </c>
      <c r="M100" s="3">
        <v>79.046666666666667</v>
      </c>
      <c r="N100" s="21">
        <v>178.06666666666669</v>
      </c>
      <c r="O100" s="3">
        <v>61.136666666666663</v>
      </c>
      <c r="P100" s="29">
        <v>-4.1278579597753256E-3</v>
      </c>
      <c r="Q100" s="3">
        <v>21.373333333333331</v>
      </c>
      <c r="R100" s="3">
        <v>21.133333333333336</v>
      </c>
      <c r="S100" s="21">
        <v>21.61</v>
      </c>
      <c r="T100" s="3">
        <v>5.0100000000000007</v>
      </c>
    </row>
    <row r="101" spans="1:20" x14ac:dyDescent="0.35">
      <c r="A101" t="s">
        <v>94</v>
      </c>
      <c r="B101" s="4">
        <v>37437</v>
      </c>
      <c r="C101" s="2">
        <v>2520693.4</v>
      </c>
      <c r="D101" s="2">
        <v>3615.2</v>
      </c>
      <c r="E101" s="3">
        <v>5716.35</v>
      </c>
      <c r="F101" s="29">
        <v>2.5329885087635864E-2</v>
      </c>
      <c r="G101" s="3">
        <v>2.25</v>
      </c>
      <c r="H101" s="8">
        <v>1.75</v>
      </c>
      <c r="I101" s="8" t="e">
        <v>#N/A</v>
      </c>
      <c r="J101" s="20">
        <v>1.0876331398917369</v>
      </c>
      <c r="K101" s="8">
        <v>8.2769666666666666</v>
      </c>
      <c r="L101" s="8">
        <v>7.6101000000000001</v>
      </c>
      <c r="M101" s="3">
        <v>79.473333333333343</v>
      </c>
      <c r="N101" s="21">
        <v>179.46666666666667</v>
      </c>
      <c r="O101" s="3">
        <v>61.02</v>
      </c>
      <c r="P101" s="29">
        <v>-1.6453086856292589E-3</v>
      </c>
      <c r="Q101" s="3">
        <v>21.75333333333333</v>
      </c>
      <c r="R101" s="3">
        <v>25.053333333333331</v>
      </c>
      <c r="S101" s="21">
        <v>26.27</v>
      </c>
      <c r="T101" s="3">
        <v>5.0533333333333337</v>
      </c>
    </row>
    <row r="102" spans="1:20" x14ac:dyDescent="0.35">
      <c r="A102" t="s">
        <v>95</v>
      </c>
      <c r="B102" s="4">
        <v>37529</v>
      </c>
      <c r="C102" s="2">
        <v>2532250.6</v>
      </c>
      <c r="D102" s="2">
        <v>3629.9</v>
      </c>
      <c r="E102" s="3">
        <v>5863.52</v>
      </c>
      <c r="F102" s="29">
        <v>2.3995202690100199E-2</v>
      </c>
      <c r="G102" s="3">
        <v>2.25</v>
      </c>
      <c r="H102" s="8">
        <v>1.75</v>
      </c>
      <c r="I102" s="8" t="e">
        <v>#N/A</v>
      </c>
      <c r="J102" s="20">
        <v>1.016695151075816</v>
      </c>
      <c r="K102" s="8">
        <v>8.2768333333333342</v>
      </c>
      <c r="L102" s="8">
        <v>8.1410666666666671</v>
      </c>
      <c r="M102" s="3">
        <v>79.820000000000007</v>
      </c>
      <c r="N102" s="21">
        <v>180.43333333333331</v>
      </c>
      <c r="O102" s="3">
        <v>61.050000000000004</v>
      </c>
      <c r="P102" s="29">
        <v>5.6593658492497668E-4</v>
      </c>
      <c r="Q102" s="3">
        <v>35.146666666666668</v>
      </c>
      <c r="R102" s="3">
        <v>26.929999999999996</v>
      </c>
      <c r="S102" s="21">
        <v>28.330000000000002</v>
      </c>
      <c r="T102" s="3">
        <v>5.003333333333333</v>
      </c>
    </row>
    <row r="103" spans="1:20" x14ac:dyDescent="0.35">
      <c r="A103" t="s">
        <v>96</v>
      </c>
      <c r="B103" s="4">
        <v>37621</v>
      </c>
      <c r="C103" s="2">
        <v>2536974.2000000002</v>
      </c>
      <c r="D103" s="2">
        <v>3634.4</v>
      </c>
      <c r="E103" s="3">
        <v>5999.96</v>
      </c>
      <c r="F103" s="29">
        <v>2.2905224775758293E-2</v>
      </c>
      <c r="G103" s="3">
        <v>1.75</v>
      </c>
      <c r="H103" s="8">
        <v>1.25</v>
      </c>
      <c r="I103" s="8" t="e">
        <v>#N/A</v>
      </c>
      <c r="J103" s="20">
        <v>0.99975805854983091</v>
      </c>
      <c r="K103" s="8">
        <v>8.2773666666666674</v>
      </c>
      <c r="L103" s="8">
        <v>8.2789999999999999</v>
      </c>
      <c r="M103" s="3">
        <v>80.14</v>
      </c>
      <c r="N103" s="21">
        <v>181.5</v>
      </c>
      <c r="O103" s="3">
        <v>61.026666666666664</v>
      </c>
      <c r="P103" s="29">
        <v>-3.21521117024226E-5</v>
      </c>
      <c r="Q103" s="3">
        <v>30.543333333333333</v>
      </c>
      <c r="R103" s="3">
        <v>26.736666666666665</v>
      </c>
      <c r="S103" s="21">
        <v>28.180000000000003</v>
      </c>
      <c r="T103" s="3">
        <v>4.9366666666666665</v>
      </c>
    </row>
    <row r="104" spans="1:20" x14ac:dyDescent="0.35">
      <c r="A104" t="s">
        <v>97</v>
      </c>
      <c r="B104" s="4">
        <v>37711</v>
      </c>
      <c r="C104" s="2">
        <v>2530104.4</v>
      </c>
      <c r="D104" s="2">
        <v>3653.5</v>
      </c>
      <c r="E104" s="3">
        <v>6179.33</v>
      </c>
      <c r="F104" s="29">
        <v>2.8504374579502612E-2</v>
      </c>
      <c r="G104" s="3">
        <v>1.5</v>
      </c>
      <c r="H104" s="8">
        <v>1.25</v>
      </c>
      <c r="I104" s="8" t="e">
        <v>#N/A</v>
      </c>
      <c r="J104" s="20">
        <v>0.93163853791132234</v>
      </c>
      <c r="K104" s="8">
        <v>8.2776000000000014</v>
      </c>
      <c r="L104" s="8">
        <v>8.8843666666666667</v>
      </c>
      <c r="M104" s="3">
        <v>80.856666666666669</v>
      </c>
      <c r="N104" s="21">
        <v>183.36666666666667</v>
      </c>
      <c r="O104" s="3">
        <v>61.443333333333328</v>
      </c>
      <c r="P104" s="29">
        <v>6.2338314803560583E-3</v>
      </c>
      <c r="Q104" s="3">
        <v>30.09</v>
      </c>
      <c r="R104" s="3">
        <v>31.52</v>
      </c>
      <c r="S104" s="21">
        <v>34.119999999999997</v>
      </c>
      <c r="T104" s="3">
        <v>4.7566666666666668</v>
      </c>
    </row>
    <row r="105" spans="1:20" x14ac:dyDescent="0.35">
      <c r="A105" t="s">
        <v>98</v>
      </c>
      <c r="B105" s="4">
        <v>37802</v>
      </c>
      <c r="C105" s="2">
        <v>2531492.4</v>
      </c>
      <c r="D105" s="2">
        <v>3685.9</v>
      </c>
      <c r="E105" s="3">
        <v>6231.7</v>
      </c>
      <c r="F105" s="29">
        <v>1.1873354151614566E-2</v>
      </c>
      <c r="G105" s="3">
        <v>1</v>
      </c>
      <c r="H105" s="8">
        <v>1</v>
      </c>
      <c r="I105" s="8" t="e">
        <v>#N/A</v>
      </c>
      <c r="J105" s="20">
        <v>0.87996616236783642</v>
      </c>
      <c r="K105" s="8">
        <v>8.2770666666666664</v>
      </c>
      <c r="L105" s="8">
        <v>9.4060333333333332</v>
      </c>
      <c r="M105" s="3">
        <v>81.009999999999991</v>
      </c>
      <c r="N105" s="21">
        <v>183.06666666666669</v>
      </c>
      <c r="O105" s="3">
        <v>61.410000000000004</v>
      </c>
      <c r="P105" s="29">
        <v>-8.0370201330396849E-4</v>
      </c>
      <c r="Q105" s="3">
        <v>21.53</v>
      </c>
      <c r="R105" s="3">
        <v>26.193333333333332</v>
      </c>
      <c r="S105" s="21">
        <v>29.036666666666665</v>
      </c>
      <c r="T105" s="3">
        <v>4.45</v>
      </c>
    </row>
    <row r="106" spans="1:20" x14ac:dyDescent="0.35">
      <c r="A106" t="s">
        <v>99</v>
      </c>
      <c r="B106" s="4">
        <v>37894</v>
      </c>
      <c r="C106" s="2">
        <v>2548109.6</v>
      </c>
      <c r="D106" s="2">
        <v>3747.2</v>
      </c>
      <c r="E106" s="3">
        <v>6462.09</v>
      </c>
      <c r="F106" s="29">
        <v>3.5519065313359584E-2</v>
      </c>
      <c r="G106" s="3">
        <v>1</v>
      </c>
      <c r="H106" s="8">
        <v>1</v>
      </c>
      <c r="I106" s="8" t="e">
        <v>#N/A</v>
      </c>
      <c r="J106" s="20">
        <v>0.8893571518989406</v>
      </c>
      <c r="K106" s="8">
        <v>8.2771666666666661</v>
      </c>
      <c r="L106" s="8">
        <v>9.306733333333332</v>
      </c>
      <c r="M106" s="3">
        <v>81.42</v>
      </c>
      <c r="N106" s="21">
        <v>184.43333333333331</v>
      </c>
      <c r="O106" s="3">
        <v>61.523333333333333</v>
      </c>
      <c r="P106" s="29">
        <v>2.3574759807401548E-3</v>
      </c>
      <c r="Q106" s="3">
        <v>19.32</v>
      </c>
      <c r="R106" s="3">
        <v>28.45</v>
      </c>
      <c r="S106" s="21">
        <v>30.213333333333335</v>
      </c>
      <c r="T106" s="3">
        <v>4.2166666666666677</v>
      </c>
    </row>
    <row r="107" spans="1:20" x14ac:dyDescent="0.35">
      <c r="A107" t="s">
        <v>100</v>
      </c>
      <c r="B107" s="4">
        <v>37986</v>
      </c>
      <c r="C107" s="2">
        <v>2564677.7999999998</v>
      </c>
      <c r="D107" s="2">
        <v>3790.7</v>
      </c>
      <c r="E107" s="3">
        <v>6639.51</v>
      </c>
      <c r="F107" s="29">
        <v>2.7788636288314471E-2</v>
      </c>
      <c r="G107" s="3">
        <v>1</v>
      </c>
      <c r="H107" s="8">
        <v>1</v>
      </c>
      <c r="I107" s="8" t="e">
        <v>#N/A</v>
      </c>
      <c r="J107" s="20">
        <v>0.84081942898270934</v>
      </c>
      <c r="K107" s="8">
        <v>8.2768999999999995</v>
      </c>
      <c r="L107" s="8">
        <v>9.8439666666666668</v>
      </c>
      <c r="M107" s="3">
        <v>81.760000000000005</v>
      </c>
      <c r="N107" s="21">
        <v>185.13333333333333</v>
      </c>
      <c r="O107" s="3">
        <v>62.686666666666667</v>
      </c>
      <c r="P107" s="29">
        <v>1.9498871162756948E-2</v>
      </c>
      <c r="Q107" s="3">
        <v>17.416666666666668</v>
      </c>
      <c r="R107" s="3">
        <v>29.39</v>
      </c>
      <c r="S107" s="21">
        <v>31.189999999999998</v>
      </c>
      <c r="T107" s="3">
        <v>4.1466666666666674</v>
      </c>
    </row>
    <row r="108" spans="1:20" x14ac:dyDescent="0.35">
      <c r="A108" t="s">
        <v>101</v>
      </c>
      <c r="B108" s="4">
        <v>38077</v>
      </c>
      <c r="C108" s="2">
        <v>2577786.4</v>
      </c>
      <c r="D108" s="2">
        <v>3812.2</v>
      </c>
      <c r="E108" s="3">
        <v>6801.17</v>
      </c>
      <c r="F108" s="29">
        <v>2.1024053033694427E-2</v>
      </c>
      <c r="G108" s="3">
        <v>1</v>
      </c>
      <c r="H108" s="8">
        <v>1</v>
      </c>
      <c r="I108" s="8" t="e">
        <v>#N/A</v>
      </c>
      <c r="J108" s="20">
        <v>0.79954607104393272</v>
      </c>
      <c r="K108" s="8">
        <v>8.2770666666666664</v>
      </c>
      <c r="L108" s="8">
        <v>10.352133333333333</v>
      </c>
      <c r="M108" s="3">
        <v>82.256666666666661</v>
      </c>
      <c r="N108" s="21">
        <v>186.70000000000002</v>
      </c>
      <c r="O108" s="3">
        <v>63.16</v>
      </c>
      <c r="P108" s="29">
        <v>6.7539037007474309E-3</v>
      </c>
      <c r="Q108" s="3">
        <v>16.596666666666668</v>
      </c>
      <c r="R108" s="3">
        <v>31.923333333333336</v>
      </c>
      <c r="S108" s="21">
        <v>35.256666666666668</v>
      </c>
      <c r="T108" s="3">
        <v>4.1433333333333335</v>
      </c>
    </row>
    <row r="109" spans="1:20" x14ac:dyDescent="0.35">
      <c r="A109" t="s">
        <v>102</v>
      </c>
      <c r="B109" s="4">
        <v>38168</v>
      </c>
      <c r="C109" s="2">
        <v>2594024.7999999998</v>
      </c>
      <c r="D109" s="2">
        <v>3841.7</v>
      </c>
      <c r="E109" s="3">
        <v>6934.58</v>
      </c>
      <c r="F109" s="29">
        <v>2.3904643373766906E-2</v>
      </c>
      <c r="G109" s="3">
        <v>1</v>
      </c>
      <c r="H109" s="8">
        <v>1.25</v>
      </c>
      <c r="I109" s="8" t="e">
        <v>#N/A</v>
      </c>
      <c r="J109" s="20">
        <v>0.83031283973633696</v>
      </c>
      <c r="K109" s="8">
        <v>8.2768999999999995</v>
      </c>
      <c r="L109" s="8">
        <v>9.9653333333333336</v>
      </c>
      <c r="M109" s="3">
        <v>82.88</v>
      </c>
      <c r="N109" s="21">
        <v>188.16666666666666</v>
      </c>
      <c r="O109" s="3">
        <v>64.11333333333333</v>
      </c>
      <c r="P109" s="29">
        <v>1.4568724626535374E-2</v>
      </c>
      <c r="Q109" s="3">
        <v>16.25</v>
      </c>
      <c r="R109" s="3">
        <v>35.446666666666665</v>
      </c>
      <c r="S109" s="21">
        <v>38.330000000000005</v>
      </c>
      <c r="T109" s="3">
        <v>4.1866666666666665</v>
      </c>
    </row>
    <row r="110" spans="1:20" x14ac:dyDescent="0.35">
      <c r="A110" t="s">
        <v>103</v>
      </c>
      <c r="B110" s="4">
        <v>38260</v>
      </c>
      <c r="C110" s="2">
        <v>2599995.1</v>
      </c>
      <c r="D110" s="2">
        <v>3878.2</v>
      </c>
      <c r="E110" s="3">
        <v>7109.18</v>
      </c>
      <c r="F110" s="29">
        <v>2.4490306697806049E-2</v>
      </c>
      <c r="G110" s="3">
        <v>1</v>
      </c>
      <c r="H110" s="8">
        <v>1.75</v>
      </c>
      <c r="I110" s="8" t="e">
        <v>#N/A</v>
      </c>
      <c r="J110" s="20">
        <v>0.81833886484942719</v>
      </c>
      <c r="K110" s="8">
        <v>8.2767333333333326</v>
      </c>
      <c r="L110" s="8">
        <v>10.119533333333335</v>
      </c>
      <c r="M110" s="3">
        <v>83.266666666666666</v>
      </c>
      <c r="N110" s="21">
        <v>189.36666666666665</v>
      </c>
      <c r="O110" s="3">
        <v>64.7</v>
      </c>
      <c r="P110" s="29">
        <v>9.9467184608779055E-3</v>
      </c>
      <c r="Q110" s="3">
        <v>15.42</v>
      </c>
      <c r="R110" s="3">
        <v>41.38666666666667</v>
      </c>
      <c r="S110" s="21">
        <v>43.859999999999992</v>
      </c>
      <c r="T110" s="3">
        <v>4.2566666666666668</v>
      </c>
    </row>
    <row r="111" spans="1:20" x14ac:dyDescent="0.35">
      <c r="A111" t="s">
        <v>104</v>
      </c>
      <c r="B111" s="4">
        <v>38352</v>
      </c>
      <c r="C111" s="2">
        <v>2611649.1</v>
      </c>
      <c r="D111" s="2">
        <v>3917.7</v>
      </c>
      <c r="E111" s="3">
        <v>7255.5</v>
      </c>
      <c r="F111" s="29">
        <v>2.0505656416126831E-2</v>
      </c>
      <c r="G111" s="3">
        <v>1</v>
      </c>
      <c r="H111" s="8">
        <v>2.25</v>
      </c>
      <c r="I111" s="8" t="e">
        <v>#N/A</v>
      </c>
      <c r="J111" s="20">
        <v>0.7714335086030264</v>
      </c>
      <c r="K111" s="8">
        <v>8.2765000000000004</v>
      </c>
      <c r="L111" s="8">
        <v>10.730866666666666</v>
      </c>
      <c r="M111" s="3">
        <v>83.623333333333335</v>
      </c>
      <c r="N111" s="21">
        <v>191.4</v>
      </c>
      <c r="O111" s="3">
        <v>64.723333333333343</v>
      </c>
      <c r="P111" s="29">
        <v>9.3586177746362979E-4</v>
      </c>
      <c r="Q111" s="3">
        <v>13.670000000000002</v>
      </c>
      <c r="R111" s="3">
        <v>44.163333333333334</v>
      </c>
      <c r="S111" s="21">
        <v>48.306666666666672</v>
      </c>
      <c r="T111" s="3">
        <v>4.1733333333333329</v>
      </c>
    </row>
    <row r="112" spans="1:20" x14ac:dyDescent="0.35">
      <c r="A112" t="s">
        <v>105</v>
      </c>
      <c r="B112" s="4">
        <v>38442</v>
      </c>
      <c r="C112" s="2">
        <v>2618738.2999999998</v>
      </c>
      <c r="D112" s="2">
        <v>3961.2</v>
      </c>
      <c r="E112" s="3">
        <v>7535.73</v>
      </c>
      <c r="F112" s="29">
        <v>3.4897765428941095E-2</v>
      </c>
      <c r="G112" s="3">
        <v>1</v>
      </c>
      <c r="H112" s="8">
        <v>2.75</v>
      </c>
      <c r="I112" s="8" t="e">
        <v>#N/A</v>
      </c>
      <c r="J112" s="20">
        <v>0.76269486536020425</v>
      </c>
      <c r="K112" s="8">
        <v>8.2765000000000004</v>
      </c>
      <c r="L112" s="8">
        <v>10.8523</v>
      </c>
      <c r="M112" s="3">
        <v>83.960000000000008</v>
      </c>
      <c r="N112" s="21">
        <v>192.36666666666667</v>
      </c>
      <c r="O112" s="3">
        <v>64.973333333333329</v>
      </c>
      <c r="P112" s="29">
        <v>3.0375625347359579E-3</v>
      </c>
      <c r="Q112" s="3">
        <v>12.76</v>
      </c>
      <c r="R112" s="3">
        <v>47.696666666666665</v>
      </c>
      <c r="S112" s="21">
        <v>49.706666666666671</v>
      </c>
      <c r="T112" s="3">
        <v>4.0233333333333325</v>
      </c>
    </row>
    <row r="113" spans="1:20" x14ac:dyDescent="0.35">
      <c r="A113" t="s">
        <v>106</v>
      </c>
      <c r="B113" s="4">
        <v>38533</v>
      </c>
      <c r="C113" s="2">
        <v>2634951.7999999998</v>
      </c>
      <c r="D113" s="2">
        <v>3980.7</v>
      </c>
      <c r="E113" s="3">
        <v>7672.11</v>
      </c>
      <c r="F113" s="29">
        <v>2.1839021979168143E-2</v>
      </c>
      <c r="G113" s="3">
        <v>1</v>
      </c>
      <c r="H113" s="8">
        <v>3.25</v>
      </c>
      <c r="I113" s="8" t="e">
        <v>#N/A</v>
      </c>
      <c r="J113" s="20">
        <v>0.79371882669308158</v>
      </c>
      <c r="K113" s="8">
        <v>8.2765000000000004</v>
      </c>
      <c r="L113" s="8">
        <v>10.4275</v>
      </c>
      <c r="M113" s="3">
        <v>84.533333333333346</v>
      </c>
      <c r="N113" s="21">
        <v>193.66666666666666</v>
      </c>
      <c r="O113" s="3">
        <v>65.240000000000009</v>
      </c>
      <c r="P113" s="29">
        <v>3.5268404873662939E-3</v>
      </c>
      <c r="Q113" s="3">
        <v>13.433333333333332</v>
      </c>
      <c r="R113" s="3">
        <v>51.626666666666665</v>
      </c>
      <c r="S113" s="21">
        <v>53.043333333333329</v>
      </c>
      <c r="T113" s="3">
        <v>3.8533333333333331</v>
      </c>
    </row>
    <row r="114" spans="1:20" x14ac:dyDescent="0.35">
      <c r="A114" t="s">
        <v>107</v>
      </c>
      <c r="B114" s="4">
        <v>38625</v>
      </c>
      <c r="C114" s="2">
        <v>2654707.2999999998</v>
      </c>
      <c r="D114" s="2">
        <v>4011.9</v>
      </c>
      <c r="E114" s="3">
        <v>7909.36</v>
      </c>
      <c r="F114" s="29">
        <v>3.1428162152203037E-2</v>
      </c>
      <c r="G114" s="3">
        <v>1</v>
      </c>
      <c r="H114" s="8">
        <v>3.75</v>
      </c>
      <c r="I114" s="8" t="e">
        <v>#N/A</v>
      </c>
      <c r="J114" s="20">
        <v>0.81998511453688749</v>
      </c>
      <c r="K114" s="8">
        <v>8.14</v>
      </c>
      <c r="L114" s="8">
        <v>9.9240000000000013</v>
      </c>
      <c r="M114" s="3">
        <v>85.203333333333333</v>
      </c>
      <c r="N114" s="21">
        <v>196.6</v>
      </c>
      <c r="O114" s="3">
        <v>65.476666666666674</v>
      </c>
      <c r="P114" s="29">
        <v>4.4385056173445285E-3</v>
      </c>
      <c r="Q114" s="3">
        <v>12.21</v>
      </c>
      <c r="R114" s="3">
        <v>61.47</v>
      </c>
      <c r="S114" s="21">
        <v>63.080000000000005</v>
      </c>
      <c r="T114" s="3">
        <v>3.5966666666666662</v>
      </c>
    </row>
    <row r="115" spans="1:20" x14ac:dyDescent="0.35">
      <c r="A115" t="s">
        <v>108</v>
      </c>
      <c r="B115" s="4">
        <v>38717</v>
      </c>
      <c r="C115" s="2">
        <v>2673262.2999999998</v>
      </c>
      <c r="D115" s="2">
        <v>4034.2</v>
      </c>
      <c r="E115" s="3">
        <v>8176.57</v>
      </c>
      <c r="F115" s="29">
        <v>3.3645071883272953E-2</v>
      </c>
      <c r="G115" s="3">
        <v>1.25</v>
      </c>
      <c r="H115" s="8">
        <v>4.25</v>
      </c>
      <c r="I115" s="8" t="e">
        <v>#N/A</v>
      </c>
      <c r="J115" s="20">
        <v>0.84136486207926497</v>
      </c>
      <c r="K115" s="8">
        <v>8.0829999999999984</v>
      </c>
      <c r="L115" s="8">
        <v>9.606933333333334</v>
      </c>
      <c r="M115" s="3">
        <v>85.543333333333337</v>
      </c>
      <c r="N115" s="21">
        <v>198.43333333333331</v>
      </c>
      <c r="O115" s="3">
        <v>65.64</v>
      </c>
      <c r="P115" s="29">
        <v>3.0055316199061755E-3</v>
      </c>
      <c r="Q115" s="3">
        <v>12.783333333333333</v>
      </c>
      <c r="R115" s="3">
        <v>56.879999999999995</v>
      </c>
      <c r="S115" s="21">
        <v>60.033333333333331</v>
      </c>
      <c r="T115" s="3">
        <v>3.4433333333333334</v>
      </c>
    </row>
    <row r="116" spans="1:20" x14ac:dyDescent="0.35">
      <c r="A116" t="s">
        <v>109</v>
      </c>
      <c r="B116" s="4">
        <v>38807</v>
      </c>
      <c r="C116" s="2">
        <v>2698455.5</v>
      </c>
      <c r="D116" s="2">
        <v>4088.5</v>
      </c>
      <c r="E116" s="3">
        <v>8457.89</v>
      </c>
      <c r="F116" s="29">
        <v>3.0600095043057621E-2</v>
      </c>
      <c r="G116" s="3">
        <v>1.5</v>
      </c>
      <c r="H116" s="8">
        <v>4.75</v>
      </c>
      <c r="I116" s="8" t="e">
        <v>#N/A</v>
      </c>
      <c r="J116" s="20">
        <v>0.83191238076962437</v>
      </c>
      <c r="K116" s="8">
        <v>8.0505333333333322</v>
      </c>
      <c r="L116" s="8">
        <v>9.6776</v>
      </c>
      <c r="M116" s="3">
        <v>85.913333333333341</v>
      </c>
      <c r="N116" s="21">
        <v>199.4666666666667</v>
      </c>
      <c r="O116" s="3">
        <v>65.800000000000011</v>
      </c>
      <c r="P116" s="29">
        <v>1.7974547485487713E-3</v>
      </c>
      <c r="Q116" s="3">
        <v>12.066666666666665</v>
      </c>
      <c r="R116" s="3">
        <v>61.75333333333333</v>
      </c>
      <c r="S116" s="21">
        <v>63.346666666666671</v>
      </c>
      <c r="T116" s="3">
        <v>3.3933333333333331</v>
      </c>
    </row>
    <row r="117" spans="1:20" x14ac:dyDescent="0.35">
      <c r="A117" t="s">
        <v>110</v>
      </c>
      <c r="B117" s="4">
        <v>38898</v>
      </c>
      <c r="C117" s="2">
        <v>2728301.7</v>
      </c>
      <c r="D117" s="2">
        <v>4099.1000000000004</v>
      </c>
      <c r="E117" s="3">
        <v>8676.5300000000007</v>
      </c>
      <c r="F117" s="29">
        <v>2.8368779528292178E-2</v>
      </c>
      <c r="G117" s="3">
        <v>1.75</v>
      </c>
      <c r="H117" s="8">
        <v>5.25</v>
      </c>
      <c r="I117" s="8" t="e">
        <v>#N/A</v>
      </c>
      <c r="J117" s="20">
        <v>0.79595210596987942</v>
      </c>
      <c r="K117" s="8">
        <v>8.0105333333333331</v>
      </c>
      <c r="L117" s="8">
        <v>10.066633333333334</v>
      </c>
      <c r="M117" s="3">
        <v>86.58</v>
      </c>
      <c r="N117" s="21">
        <v>201.26666666666665</v>
      </c>
      <c r="O117" s="3">
        <v>66.143333333333331</v>
      </c>
      <c r="P117" s="29">
        <v>4.5642723056616074E-3</v>
      </c>
      <c r="Q117" s="3">
        <v>14.406666666666666</v>
      </c>
      <c r="R117" s="3">
        <v>69.533333333333346</v>
      </c>
      <c r="S117" s="21">
        <v>70.529999999999987</v>
      </c>
      <c r="T117" s="3">
        <v>3.4866666666666668</v>
      </c>
    </row>
    <row r="118" spans="1:20" x14ac:dyDescent="0.35">
      <c r="A118" t="s">
        <v>111</v>
      </c>
      <c r="B118" s="4">
        <v>38990</v>
      </c>
      <c r="C118" s="2">
        <v>2743302.3</v>
      </c>
      <c r="D118" s="2">
        <v>4105.2</v>
      </c>
      <c r="E118" s="3">
        <v>8897.58</v>
      </c>
      <c r="F118" s="29">
        <v>2.7021150088933403E-2</v>
      </c>
      <c r="G118" s="3">
        <v>2</v>
      </c>
      <c r="H118" s="8">
        <v>5.25</v>
      </c>
      <c r="I118" s="8" t="e">
        <v>#N/A</v>
      </c>
      <c r="J118" s="20">
        <v>0.78488007032525442</v>
      </c>
      <c r="K118" s="8">
        <v>7.9650999999999996</v>
      </c>
      <c r="L118" s="8">
        <v>10.148633333333335</v>
      </c>
      <c r="M118" s="3">
        <v>87.046666666666667</v>
      </c>
      <c r="N118" s="21">
        <v>203.16666666666666</v>
      </c>
      <c r="O118" s="3">
        <v>66.27</v>
      </c>
      <c r="P118" s="29">
        <v>2.7187944683521115E-3</v>
      </c>
      <c r="Q118" s="3">
        <v>13.62</v>
      </c>
      <c r="R118" s="3">
        <v>69.62</v>
      </c>
      <c r="S118" s="21">
        <v>70.443333333333328</v>
      </c>
      <c r="T118" s="3">
        <v>3.6733333333333333</v>
      </c>
    </row>
    <row r="119" spans="1:20" x14ac:dyDescent="0.35">
      <c r="A119" t="s">
        <v>112</v>
      </c>
      <c r="B119" s="4">
        <v>39082</v>
      </c>
      <c r="C119" s="2">
        <v>2775325.8</v>
      </c>
      <c r="D119" s="2">
        <v>4140.5</v>
      </c>
      <c r="E119" s="3">
        <v>9212.33</v>
      </c>
      <c r="F119" s="29">
        <v>3.5152566352509192E-2</v>
      </c>
      <c r="G119" s="3">
        <v>2.5</v>
      </c>
      <c r="H119" s="8">
        <v>5.25</v>
      </c>
      <c r="I119" s="8" t="e">
        <v>#N/A</v>
      </c>
      <c r="J119" s="20">
        <v>0.77508865076443112</v>
      </c>
      <c r="K119" s="8">
        <v>7.8619666666666665</v>
      </c>
      <c r="L119" s="8">
        <v>10.143099999999999</v>
      </c>
      <c r="M119" s="3">
        <v>87.053333333333327</v>
      </c>
      <c r="N119" s="21">
        <v>202.33333333333334</v>
      </c>
      <c r="O119" s="3">
        <v>66.97</v>
      </c>
      <c r="P119" s="29">
        <v>1.0872045838010319E-2</v>
      </c>
      <c r="Q119" s="3">
        <v>11.030000000000001</v>
      </c>
      <c r="R119" s="3">
        <v>59.68</v>
      </c>
      <c r="S119" s="21">
        <v>60.093333333333334</v>
      </c>
      <c r="T119" s="3">
        <v>3.8066666666666666</v>
      </c>
    </row>
    <row r="120" spans="1:20" x14ac:dyDescent="0.35">
      <c r="A120" t="s">
        <v>113</v>
      </c>
      <c r="B120" s="4">
        <v>39172</v>
      </c>
      <c r="C120" s="2">
        <v>2794887.8</v>
      </c>
      <c r="D120" s="2">
        <v>4152.8999999999996</v>
      </c>
      <c r="E120" s="3">
        <v>9614.81</v>
      </c>
      <c r="F120" s="29">
        <v>4.08767178387534E-2</v>
      </c>
      <c r="G120" s="3">
        <v>2.75</v>
      </c>
      <c r="H120" s="8">
        <v>5.25</v>
      </c>
      <c r="I120" s="8" t="e">
        <v>#N/A</v>
      </c>
      <c r="J120" s="20">
        <v>0.76307335424154332</v>
      </c>
      <c r="K120" s="8">
        <v>7.758233333333334</v>
      </c>
      <c r="L120" s="8">
        <v>10.1677</v>
      </c>
      <c r="M120" s="3">
        <v>87.533333333333317</v>
      </c>
      <c r="N120" s="21">
        <v>204.31700000000001</v>
      </c>
      <c r="O120" s="3">
        <v>67.600000000000009</v>
      </c>
      <c r="P120" s="29">
        <v>9.0657231239178199E-3</v>
      </c>
      <c r="Q120" s="3">
        <v>12.453333333333333</v>
      </c>
      <c r="R120" s="3">
        <v>57.763333333333343</v>
      </c>
      <c r="S120" s="21">
        <v>58.129999999999995</v>
      </c>
      <c r="T120" s="3">
        <v>3.94</v>
      </c>
    </row>
    <row r="121" spans="1:20" x14ac:dyDescent="0.35">
      <c r="A121" t="s">
        <v>114</v>
      </c>
      <c r="B121" s="4">
        <v>39263</v>
      </c>
      <c r="C121" s="2">
        <v>2813785.3</v>
      </c>
      <c r="D121" s="2">
        <v>4178.3</v>
      </c>
      <c r="E121" s="3">
        <v>9931.92</v>
      </c>
      <c r="F121" s="29">
        <v>3.3583983032033339E-2</v>
      </c>
      <c r="G121" s="3">
        <v>3</v>
      </c>
      <c r="H121" s="8">
        <v>5.25</v>
      </c>
      <c r="I121" s="8" t="e">
        <v>#N/A</v>
      </c>
      <c r="J121" s="20">
        <v>0.74172879675518388</v>
      </c>
      <c r="K121" s="8">
        <v>7.6784333333333334</v>
      </c>
      <c r="L121" s="8">
        <v>10.350133333333334</v>
      </c>
      <c r="M121" s="3">
        <v>88.25</v>
      </c>
      <c r="N121" s="21">
        <v>206.631</v>
      </c>
      <c r="O121" s="3">
        <v>68.52</v>
      </c>
      <c r="P121" s="29">
        <v>1.286474701055095E-2</v>
      </c>
      <c r="Q121" s="3">
        <v>13.726666666666667</v>
      </c>
      <c r="R121" s="3">
        <v>68.583333333333329</v>
      </c>
      <c r="S121" s="21">
        <v>64.970000000000013</v>
      </c>
      <c r="T121" s="3">
        <v>4.0266666666666664</v>
      </c>
    </row>
    <row r="122" spans="1:20" x14ac:dyDescent="0.35">
      <c r="A122" t="s">
        <v>115</v>
      </c>
      <c r="B122" s="4">
        <v>39355</v>
      </c>
      <c r="C122" s="2">
        <v>2824819.3</v>
      </c>
      <c r="D122" s="2">
        <v>4202.3999999999996</v>
      </c>
      <c r="E122" s="3">
        <v>10173.129999999999</v>
      </c>
      <c r="F122" s="29">
        <v>2.6302037975691792E-2</v>
      </c>
      <c r="G122" s="3">
        <v>3</v>
      </c>
      <c r="H122" s="8">
        <v>4.75</v>
      </c>
      <c r="I122" s="8" t="e">
        <v>#N/A</v>
      </c>
      <c r="J122" s="20">
        <v>0.72754575535255417</v>
      </c>
      <c r="K122" s="8">
        <v>7.5567000000000002</v>
      </c>
      <c r="L122" s="8">
        <v>10.386466666666665</v>
      </c>
      <c r="M122" s="3">
        <v>88.696666666666673</v>
      </c>
      <c r="N122" s="21">
        <v>207.93899999999999</v>
      </c>
      <c r="O122" s="3">
        <v>70.266666666666666</v>
      </c>
      <c r="P122" s="29">
        <v>2.6303702063249695E-2</v>
      </c>
      <c r="Q122" s="3">
        <v>21.5</v>
      </c>
      <c r="R122" s="3">
        <v>74.953333333333333</v>
      </c>
      <c r="S122" s="21">
        <v>75.5</v>
      </c>
      <c r="T122" s="3">
        <v>4.1533333333333333</v>
      </c>
    </row>
    <row r="123" spans="1:20" x14ac:dyDescent="0.35">
      <c r="A123" t="s">
        <v>116</v>
      </c>
      <c r="B123" s="4">
        <v>39447</v>
      </c>
      <c r="C123" s="2">
        <v>2838947.2</v>
      </c>
      <c r="D123" s="2">
        <v>4228.8</v>
      </c>
      <c r="E123" s="3">
        <v>10496.82</v>
      </c>
      <c r="F123" s="29">
        <v>3.2152640740944996E-2</v>
      </c>
      <c r="G123" s="3">
        <v>3</v>
      </c>
      <c r="H123" s="8">
        <v>4.25</v>
      </c>
      <c r="I123" s="8" t="e">
        <v>#N/A</v>
      </c>
      <c r="J123" s="20">
        <v>0.68994875750578011</v>
      </c>
      <c r="K123" s="8">
        <v>7.430366666666667</v>
      </c>
      <c r="L123" s="8">
        <v>10.770066666666667</v>
      </c>
      <c r="M123" s="3">
        <v>89.553333333333327</v>
      </c>
      <c r="N123" s="21">
        <v>210.48966666666669</v>
      </c>
      <c r="O123" s="3">
        <v>71.426666666666662</v>
      </c>
      <c r="P123" s="29">
        <v>1.662391729900374E-2</v>
      </c>
      <c r="Q123" s="3">
        <v>22.116666666666664</v>
      </c>
      <c r="R123" s="3">
        <v>88.56</v>
      </c>
      <c r="S123" s="21">
        <v>90.850000000000009</v>
      </c>
      <c r="T123" s="3">
        <v>4.28</v>
      </c>
    </row>
    <row r="124" spans="1:20" x14ac:dyDescent="0.35">
      <c r="A124" t="s">
        <v>117</v>
      </c>
      <c r="B124" s="4">
        <v>39538</v>
      </c>
      <c r="C124" s="2">
        <v>2857366.3</v>
      </c>
      <c r="D124" s="2">
        <v>4210.8</v>
      </c>
      <c r="E124" s="3">
        <v>10753.29</v>
      </c>
      <c r="F124" s="29">
        <v>2.2535056381736446E-2</v>
      </c>
      <c r="G124" s="3">
        <v>3</v>
      </c>
      <c r="H124" s="8">
        <v>2.25</v>
      </c>
      <c r="I124" s="8" t="e">
        <v>#N/A</v>
      </c>
      <c r="J124" s="20">
        <v>0.66677305401172893</v>
      </c>
      <c r="K124" s="8">
        <v>7.1590333333333334</v>
      </c>
      <c r="L124" s="8">
        <v>10.7361</v>
      </c>
      <c r="M124" s="3">
        <v>90.443333333333328</v>
      </c>
      <c r="N124" s="21">
        <v>212.76966666666667</v>
      </c>
      <c r="O124" s="3">
        <v>73.05</v>
      </c>
      <c r="P124" s="29">
        <v>2.258311338785219E-2</v>
      </c>
      <c r="Q124" s="3">
        <v>26.126666666666665</v>
      </c>
      <c r="R124" s="3">
        <v>96.936666666666667</v>
      </c>
      <c r="S124" s="21">
        <v>97.953333333333333</v>
      </c>
      <c r="T124" s="3">
        <v>4.333333333333333</v>
      </c>
    </row>
    <row r="125" spans="1:20" x14ac:dyDescent="0.35">
      <c r="A125" t="s">
        <v>118</v>
      </c>
      <c r="B125" s="4">
        <v>39629</v>
      </c>
      <c r="C125" s="2">
        <v>2843605.6</v>
      </c>
      <c r="D125" s="2">
        <v>4235.8</v>
      </c>
      <c r="E125" s="3">
        <v>11000.9</v>
      </c>
      <c r="F125" s="29">
        <v>2.2207725999591078E-2</v>
      </c>
      <c r="G125" s="3">
        <v>3</v>
      </c>
      <c r="H125" s="8">
        <v>2</v>
      </c>
      <c r="I125" s="8" t="e">
        <v>#N/A</v>
      </c>
      <c r="J125" s="20">
        <v>0.6402013134370147</v>
      </c>
      <c r="K125" s="8">
        <v>6.9571666666666667</v>
      </c>
      <c r="L125" s="8">
        <v>10.866200000000001</v>
      </c>
      <c r="M125" s="3">
        <v>91.453333333333333</v>
      </c>
      <c r="N125" s="21">
        <v>215.53766666666664</v>
      </c>
      <c r="O125" s="3">
        <v>73.853333333333339</v>
      </c>
      <c r="P125" s="29">
        <v>1.0340814499664458E-2</v>
      </c>
      <c r="Q125" s="3">
        <v>20.656666666666666</v>
      </c>
      <c r="R125" s="3">
        <v>121.39666666666666</v>
      </c>
      <c r="S125" s="21">
        <v>123.96333333333332</v>
      </c>
      <c r="T125" s="3">
        <v>4.3500000000000005</v>
      </c>
    </row>
    <row r="126" spans="1:20" x14ac:dyDescent="0.35">
      <c r="A126" t="s">
        <v>119</v>
      </c>
      <c r="B126" s="4">
        <v>39721</v>
      </c>
      <c r="C126" s="2">
        <v>2828355.3</v>
      </c>
      <c r="D126" s="2">
        <v>4213.6000000000004</v>
      </c>
      <c r="E126" s="3">
        <v>11131.16</v>
      </c>
      <c r="F126" s="29">
        <v>1.3510207468168382E-2</v>
      </c>
      <c r="G126" s="3">
        <v>3.25</v>
      </c>
      <c r="H126" s="8">
        <v>2</v>
      </c>
      <c r="I126" s="8" t="e">
        <v>#N/A</v>
      </c>
      <c r="J126" s="20">
        <v>0.66497349637301295</v>
      </c>
      <c r="K126" s="8">
        <v>6.8374666666666668</v>
      </c>
      <c r="L126" s="8">
        <v>10.289000000000001</v>
      </c>
      <c r="M126" s="3">
        <v>92.09333333333332</v>
      </c>
      <c r="N126" s="21">
        <v>218.86100000000002</v>
      </c>
      <c r="O126" s="3">
        <v>73.933333333333337</v>
      </c>
      <c r="P126" s="29">
        <v>1.7228233001537374E-3</v>
      </c>
      <c r="Q126" s="3">
        <v>25.086666666666662</v>
      </c>
      <c r="R126" s="3">
        <v>114.39666666666666</v>
      </c>
      <c r="S126" s="21">
        <v>117.98333333333335</v>
      </c>
      <c r="T126" s="3">
        <v>4.376666666666666</v>
      </c>
    </row>
    <row r="127" spans="1:20" x14ac:dyDescent="0.35">
      <c r="A127" t="s">
        <v>120</v>
      </c>
      <c r="B127" s="4">
        <v>39813</v>
      </c>
      <c r="C127" s="2">
        <v>2779760.6</v>
      </c>
      <c r="D127" s="2">
        <v>4121.3999999999996</v>
      </c>
      <c r="E127" s="3">
        <v>11247.14</v>
      </c>
      <c r="F127" s="29">
        <v>1.125171374504433E-2</v>
      </c>
      <c r="G127" s="3">
        <v>2</v>
      </c>
      <c r="H127" s="8">
        <v>0.25</v>
      </c>
      <c r="I127" s="8" t="e">
        <v>#N/A</v>
      </c>
      <c r="J127" s="20">
        <v>0.75942311182733147</v>
      </c>
      <c r="K127" s="8">
        <v>6.839266666666667</v>
      </c>
      <c r="L127" s="8">
        <v>9.0075333333333347</v>
      </c>
      <c r="M127" s="3">
        <v>91.589999999999989</v>
      </c>
      <c r="N127" s="21">
        <v>213.84866666666667</v>
      </c>
      <c r="O127" s="3">
        <v>73.213333333333338</v>
      </c>
      <c r="P127" s="29">
        <v>-9.6259218114325713E-3</v>
      </c>
      <c r="Q127" s="3">
        <v>58.75333333333333</v>
      </c>
      <c r="R127" s="3">
        <v>54.660000000000004</v>
      </c>
      <c r="S127" s="21">
        <v>58.370000000000005</v>
      </c>
      <c r="T127" s="3">
        <v>4.3466666666666667</v>
      </c>
    </row>
    <row r="128" spans="1:20" x14ac:dyDescent="0.35">
      <c r="A128" t="s">
        <v>121</v>
      </c>
      <c r="B128" s="4">
        <v>39903</v>
      </c>
      <c r="C128" s="2">
        <v>2694338.3</v>
      </c>
      <c r="D128" s="2">
        <v>4074.6</v>
      </c>
      <c r="E128" s="3">
        <v>11462.62</v>
      </c>
      <c r="F128" s="29">
        <v>1.8543731934977839E-2</v>
      </c>
      <c r="G128" s="3">
        <v>0.5</v>
      </c>
      <c r="H128" s="8">
        <v>0.25</v>
      </c>
      <c r="I128" s="8" t="e">
        <v>#N/A</v>
      </c>
      <c r="J128" s="20">
        <v>0.76778988354930833</v>
      </c>
      <c r="K128" s="8">
        <v>6.8360999999999992</v>
      </c>
      <c r="L128" s="8">
        <v>8.9037333333333333</v>
      </c>
      <c r="M128" s="3">
        <v>91.346666666666678</v>
      </c>
      <c r="N128" s="21">
        <v>212.37766666666667</v>
      </c>
      <c r="O128" s="3">
        <v>72.623333333333335</v>
      </c>
      <c r="P128" s="29">
        <v>-8.1634583738666826E-3</v>
      </c>
      <c r="Q128" s="3">
        <v>45.016666666666673</v>
      </c>
      <c r="R128" s="3">
        <v>44.43333333333333</v>
      </c>
      <c r="S128" s="21">
        <v>42.96</v>
      </c>
      <c r="T128" s="3">
        <v>4.2666666666666666</v>
      </c>
    </row>
    <row r="129" spans="1:20" x14ac:dyDescent="0.35">
      <c r="A129" t="s">
        <v>122</v>
      </c>
      <c r="B129" s="4">
        <v>39994</v>
      </c>
      <c r="C129" s="2">
        <v>2694459.2</v>
      </c>
      <c r="D129" s="2">
        <v>4067.3</v>
      </c>
      <c r="E129" s="3">
        <v>11895.7</v>
      </c>
      <c r="F129" s="29">
        <v>3.589231941263385E-2</v>
      </c>
      <c r="G129" s="3">
        <v>0.25</v>
      </c>
      <c r="H129" s="8">
        <v>0.25</v>
      </c>
      <c r="I129" s="8" t="e">
        <v>#N/A</v>
      </c>
      <c r="J129" s="20">
        <v>0.7342647073220876</v>
      </c>
      <c r="K129" s="8">
        <v>6.8291666666666666</v>
      </c>
      <c r="L129" s="8">
        <v>9.3017666666666656</v>
      </c>
      <c r="M129" s="3">
        <v>91.58</v>
      </c>
      <c r="N129" s="21">
        <v>213.50699999999998</v>
      </c>
      <c r="O129" s="3">
        <v>72.736666666666679</v>
      </c>
      <c r="P129" s="29">
        <v>1.010581201539669E-3</v>
      </c>
      <c r="Q129" s="3">
        <v>33.06</v>
      </c>
      <c r="R129" s="3">
        <v>58.696666666666658</v>
      </c>
      <c r="S129" s="21">
        <v>59.543333333333329</v>
      </c>
      <c r="T129" s="3">
        <v>4.1633333333333331</v>
      </c>
    </row>
    <row r="130" spans="1:20" x14ac:dyDescent="0.35">
      <c r="A130" t="s">
        <v>123</v>
      </c>
      <c r="B130" s="4">
        <v>40086</v>
      </c>
      <c r="C130" s="2">
        <v>2704573.8</v>
      </c>
      <c r="D130" s="2">
        <v>4081.6</v>
      </c>
      <c r="E130" s="3">
        <v>12297.24</v>
      </c>
      <c r="F130" s="29">
        <v>3.4617326231347036E-2</v>
      </c>
      <c r="G130" s="3">
        <v>0.25</v>
      </c>
      <c r="H130" s="8">
        <v>0.25</v>
      </c>
      <c r="I130" s="8" t="e">
        <v>#N/A</v>
      </c>
      <c r="J130" s="20">
        <v>0.69901815909373699</v>
      </c>
      <c r="K130" s="8">
        <v>6.8305666666666669</v>
      </c>
      <c r="L130" s="8">
        <v>9.7720666666666673</v>
      </c>
      <c r="M130" s="3">
        <v>91.75</v>
      </c>
      <c r="N130" s="21">
        <v>215.34399999999997</v>
      </c>
      <c r="O130" s="3">
        <v>73</v>
      </c>
      <c r="P130" s="29">
        <v>4.0158540992409663E-3</v>
      </c>
      <c r="Q130" s="3">
        <v>25.47666666666667</v>
      </c>
      <c r="R130" s="3">
        <v>68.2</v>
      </c>
      <c r="S130" s="21">
        <v>68.203333333333333</v>
      </c>
      <c r="T130" s="3">
        <v>3.98</v>
      </c>
    </row>
    <row r="131" spans="1:20" x14ac:dyDescent="0.35">
      <c r="A131" t="s">
        <v>124</v>
      </c>
      <c r="B131" s="4">
        <v>40178</v>
      </c>
      <c r="C131" s="2">
        <v>2716186</v>
      </c>
      <c r="D131" s="2">
        <v>4125.7</v>
      </c>
      <c r="E131" s="3">
        <v>12587.16</v>
      </c>
      <c r="F131" s="29">
        <v>2.5131595824811254E-2</v>
      </c>
      <c r="G131" s="3">
        <v>0.25</v>
      </c>
      <c r="H131" s="8">
        <v>0.25</v>
      </c>
      <c r="I131" s="8" t="e">
        <v>#N/A</v>
      </c>
      <c r="J131" s="20">
        <v>0.67652239525911151</v>
      </c>
      <c r="K131" s="8">
        <v>6.8271000000000006</v>
      </c>
      <c r="L131" s="8">
        <v>10.091866666666666</v>
      </c>
      <c r="M131" s="3">
        <v>91.95</v>
      </c>
      <c r="N131" s="21">
        <v>217.03</v>
      </c>
      <c r="O131" s="3">
        <v>73.66</v>
      </c>
      <c r="P131" s="29">
        <v>9.3848419156993251E-3</v>
      </c>
      <c r="Q131" s="3">
        <v>23.093333333333334</v>
      </c>
      <c r="R131" s="3">
        <v>74.63</v>
      </c>
      <c r="S131" s="21">
        <v>76.066666666666663</v>
      </c>
      <c r="T131" s="3">
        <v>3.8366666666666664</v>
      </c>
    </row>
    <row r="132" spans="1:20" x14ac:dyDescent="0.35">
      <c r="A132" t="s">
        <v>125</v>
      </c>
      <c r="B132" s="4">
        <v>40268</v>
      </c>
      <c r="C132" s="2">
        <v>2726652.2</v>
      </c>
      <c r="D132" s="2">
        <v>4145.7</v>
      </c>
      <c r="E132" s="3">
        <v>12870.19</v>
      </c>
      <c r="F132" s="29">
        <v>2.250798147541393E-2</v>
      </c>
      <c r="G132" s="3">
        <v>0.25</v>
      </c>
      <c r="H132" s="8">
        <v>0.25</v>
      </c>
      <c r="I132" s="8" t="e">
        <v>#N/A</v>
      </c>
      <c r="J132" s="20">
        <v>0.72243338682551195</v>
      </c>
      <c r="K132" s="8">
        <v>6.8272000000000004</v>
      </c>
      <c r="L132" s="8">
        <v>9.4506999999999994</v>
      </c>
      <c r="M132" s="3">
        <v>92.433333333333337</v>
      </c>
      <c r="N132" s="21">
        <v>217.37400000000002</v>
      </c>
      <c r="O132" s="3">
        <v>74.263333333333335</v>
      </c>
      <c r="P132" s="29">
        <v>7.9585874811228269E-3</v>
      </c>
      <c r="Q132" s="3">
        <v>20.316666666666666</v>
      </c>
      <c r="R132" s="3">
        <v>76.25</v>
      </c>
      <c r="S132" s="21">
        <v>78.626666666666665</v>
      </c>
      <c r="T132" s="3">
        <v>3.7899999999999996</v>
      </c>
    </row>
    <row r="133" spans="1:20" x14ac:dyDescent="0.35">
      <c r="A133" t="s">
        <v>126</v>
      </c>
      <c r="B133" s="4">
        <v>40359</v>
      </c>
      <c r="C133" s="2">
        <v>2752213.8</v>
      </c>
      <c r="D133" s="2">
        <v>4185.8</v>
      </c>
      <c r="E133" s="3">
        <v>13172.88</v>
      </c>
      <c r="F133" s="29">
        <v>2.1461216595744591E-2</v>
      </c>
      <c r="G133" s="3">
        <v>0.25</v>
      </c>
      <c r="H133" s="8">
        <v>0.25</v>
      </c>
      <c r="I133" s="8" t="e">
        <v>#N/A</v>
      </c>
      <c r="J133" s="20">
        <v>0.78576137527098944</v>
      </c>
      <c r="K133" s="8">
        <v>6.823833333333333</v>
      </c>
      <c r="L133" s="8">
        <v>8.684800000000001</v>
      </c>
      <c r="M133" s="3">
        <v>93.023333333333326</v>
      </c>
      <c r="N133" s="21">
        <v>217.29733333333334</v>
      </c>
      <c r="O133" s="3">
        <v>74.866666666666674</v>
      </c>
      <c r="P133" s="29">
        <v>7.7456735903262521E-3</v>
      </c>
      <c r="Q133" s="3">
        <v>26.423333333333336</v>
      </c>
      <c r="R133" s="3">
        <v>78.509999999999991</v>
      </c>
      <c r="S133" s="21">
        <v>77.89</v>
      </c>
      <c r="T133" s="3">
        <v>3.72</v>
      </c>
    </row>
    <row r="134" spans="1:20" x14ac:dyDescent="0.35">
      <c r="A134" t="s">
        <v>127</v>
      </c>
      <c r="B134" s="4">
        <v>40451</v>
      </c>
      <c r="C134" s="2">
        <v>2764600.2</v>
      </c>
      <c r="D134" s="2">
        <v>4218.1000000000004</v>
      </c>
      <c r="E134" s="3">
        <v>13509.23</v>
      </c>
      <c r="F134" s="29">
        <v>2.5470785023382122E-2</v>
      </c>
      <c r="G134" s="3">
        <v>0.25</v>
      </c>
      <c r="H134" s="8">
        <v>0.25</v>
      </c>
      <c r="I134" s="8" t="e">
        <v>#N/A</v>
      </c>
      <c r="J134" s="20">
        <v>0.77456973941924834</v>
      </c>
      <c r="K134" s="8">
        <v>6.7677000000000005</v>
      </c>
      <c r="L134" s="8">
        <v>8.7387333333333341</v>
      </c>
      <c r="M134" s="3">
        <v>93.313333333333333</v>
      </c>
      <c r="N134" s="21">
        <v>217.93433333333334</v>
      </c>
      <c r="O134" s="3">
        <v>75.52</v>
      </c>
      <c r="P134" s="29">
        <v>8.8754857445702169E-3</v>
      </c>
      <c r="Q134" s="3">
        <v>24.28</v>
      </c>
      <c r="R134" s="3">
        <v>76.820000000000007</v>
      </c>
      <c r="S134" s="21">
        <v>76.166666666666671</v>
      </c>
      <c r="T134" s="3">
        <v>3.6300000000000003</v>
      </c>
    </row>
    <row r="135" spans="1:20" x14ac:dyDescent="0.35">
      <c r="A135" t="s">
        <v>128</v>
      </c>
      <c r="B135" s="4">
        <v>40543</v>
      </c>
      <c r="C135" s="2">
        <v>2780769.3</v>
      </c>
      <c r="D135" s="2">
        <v>4240.2</v>
      </c>
      <c r="E135" s="3">
        <v>13830.01</v>
      </c>
      <c r="F135" s="29">
        <v>2.5612259602089616E-2</v>
      </c>
      <c r="G135" s="3">
        <v>0.25</v>
      </c>
      <c r="H135" s="8">
        <v>0.25</v>
      </c>
      <c r="I135" s="8" t="e">
        <v>#N/A</v>
      </c>
      <c r="J135" s="20">
        <v>0.73567475720893827</v>
      </c>
      <c r="K135" s="8">
        <v>6.6570999999999998</v>
      </c>
      <c r="L135" s="8">
        <v>9.0477666666666678</v>
      </c>
      <c r="M135" s="3">
        <v>93.796666666666667</v>
      </c>
      <c r="N135" s="21">
        <v>219.69899999999998</v>
      </c>
      <c r="O135" s="3">
        <v>77.096666666666678</v>
      </c>
      <c r="P135" s="29">
        <v>2.1361596178294882E-2</v>
      </c>
      <c r="Q135" s="3">
        <v>19.346666666666668</v>
      </c>
      <c r="R135" s="3">
        <v>86.46</v>
      </c>
      <c r="S135" s="21">
        <v>85.026666666666685</v>
      </c>
      <c r="T135" s="3">
        <v>3.59</v>
      </c>
    </row>
    <row r="136" spans="1:20" x14ac:dyDescent="0.35">
      <c r="A136" t="s">
        <v>129</v>
      </c>
      <c r="B136" s="4">
        <v>40633</v>
      </c>
      <c r="C136" s="2">
        <v>2807223.1</v>
      </c>
      <c r="D136" s="2">
        <v>4230.2</v>
      </c>
      <c r="E136" s="3">
        <v>14167.14</v>
      </c>
      <c r="F136" s="29">
        <v>2.4670410562970018E-2</v>
      </c>
      <c r="G136" s="3">
        <v>0.25</v>
      </c>
      <c r="H136" s="8">
        <v>0.25</v>
      </c>
      <c r="I136" s="8" t="e">
        <v>#N/A</v>
      </c>
      <c r="J136" s="20">
        <v>0.73156831909254305</v>
      </c>
      <c r="K136" s="8">
        <v>6.5789999999999997</v>
      </c>
      <c r="L136" s="8">
        <v>8.996599999999999</v>
      </c>
      <c r="M136" s="3">
        <v>94.793333333333337</v>
      </c>
      <c r="N136" s="21">
        <v>222.0436666666667</v>
      </c>
      <c r="O136" s="3">
        <v>78.063333333333333</v>
      </c>
      <c r="P136" s="29">
        <v>1.2228947263037217E-2</v>
      </c>
      <c r="Q136" s="3">
        <v>18.489999999999998</v>
      </c>
      <c r="R136" s="3">
        <v>104.96</v>
      </c>
      <c r="S136" s="21">
        <v>93.98</v>
      </c>
      <c r="T136" s="3">
        <v>3.7133333333333334</v>
      </c>
    </row>
    <row r="137" spans="1:20" x14ac:dyDescent="0.35">
      <c r="A137" t="s">
        <v>130</v>
      </c>
      <c r="B137" s="4">
        <v>40724</v>
      </c>
      <c r="C137" s="2">
        <v>2807044.7</v>
      </c>
      <c r="D137" s="2">
        <v>4258.8</v>
      </c>
      <c r="E137" s="3">
        <v>14485.18</v>
      </c>
      <c r="F137" s="29">
        <v>2.0806985581053143E-2</v>
      </c>
      <c r="G137" s="3">
        <v>0.5</v>
      </c>
      <c r="H137" s="8">
        <v>0.25</v>
      </c>
      <c r="I137" s="8" t="e">
        <v>#N/A</v>
      </c>
      <c r="J137" s="20">
        <v>0.69478476031315328</v>
      </c>
      <c r="K137" s="8">
        <v>6.4989999999999997</v>
      </c>
      <c r="L137" s="8">
        <v>9.3544333333333327</v>
      </c>
      <c r="M137" s="3">
        <v>95.473333333333343</v>
      </c>
      <c r="N137" s="21">
        <v>224.56833333333336</v>
      </c>
      <c r="O137" s="3">
        <v>79.193333333333328</v>
      </c>
      <c r="P137" s="29">
        <v>1.4251120543212455E-2</v>
      </c>
      <c r="Q137" s="3">
        <v>17.433333333333334</v>
      </c>
      <c r="R137" s="3">
        <v>117.36</v>
      </c>
      <c r="S137" s="21">
        <v>102.55333333333334</v>
      </c>
      <c r="T137" s="3">
        <v>3.9233333333333333</v>
      </c>
    </row>
    <row r="138" spans="1:20" x14ac:dyDescent="0.35">
      <c r="A138" t="s">
        <v>131</v>
      </c>
      <c r="B138" s="4">
        <v>40816</v>
      </c>
      <c r="C138" s="2">
        <v>2807644.9</v>
      </c>
      <c r="D138" s="2">
        <v>4257.8</v>
      </c>
      <c r="E138" s="3">
        <v>14772.61</v>
      </c>
      <c r="F138" s="29">
        <v>1.9295665965000909E-2</v>
      </c>
      <c r="G138" s="3">
        <v>0.75</v>
      </c>
      <c r="H138" s="8">
        <v>0.25</v>
      </c>
      <c r="I138" s="8" t="e">
        <v>#N/A</v>
      </c>
      <c r="J138" s="20">
        <v>0.70792266935928982</v>
      </c>
      <c r="K138" s="8">
        <v>6.4165333333333336</v>
      </c>
      <c r="L138" s="8">
        <v>9.0657333333333341</v>
      </c>
      <c r="M138" s="3">
        <v>95.90000000000002</v>
      </c>
      <c r="N138" s="21">
        <v>226.03266666666664</v>
      </c>
      <c r="O138" s="3">
        <v>80.25</v>
      </c>
      <c r="P138" s="29">
        <v>1.341648154630622E-2</v>
      </c>
      <c r="Q138" s="3">
        <v>30.263333333333335</v>
      </c>
      <c r="R138" s="3">
        <v>113.33999999999999</v>
      </c>
      <c r="S138" s="21">
        <v>89.71</v>
      </c>
      <c r="T138" s="3">
        <v>4.1433333333333335</v>
      </c>
    </row>
    <row r="139" spans="1:20" x14ac:dyDescent="0.35">
      <c r="A139" t="s">
        <v>132</v>
      </c>
      <c r="B139" s="4">
        <v>40908</v>
      </c>
      <c r="C139" s="2">
        <v>2798956.8</v>
      </c>
      <c r="D139" s="2">
        <v>4305.7</v>
      </c>
      <c r="E139" s="3">
        <v>15021.93</v>
      </c>
      <c r="F139" s="29">
        <v>1.8578815826833139E-2</v>
      </c>
      <c r="G139" s="3">
        <v>0.25</v>
      </c>
      <c r="H139" s="8">
        <v>0.25</v>
      </c>
      <c r="I139" s="8" t="e">
        <v>#N/A</v>
      </c>
      <c r="J139" s="20">
        <v>0.74181940109952471</v>
      </c>
      <c r="K139" s="8">
        <v>6.3585333333333338</v>
      </c>
      <c r="L139" s="8">
        <v>8.5675000000000008</v>
      </c>
      <c r="M139" s="3">
        <v>96.50333333333333</v>
      </c>
      <c r="N139" s="21">
        <v>227.04733333333334</v>
      </c>
      <c r="O139" s="3">
        <v>80.603333333333339</v>
      </c>
      <c r="P139" s="29">
        <v>4.7171020541077859E-3</v>
      </c>
      <c r="Q139" s="3">
        <v>29.939999999999998</v>
      </c>
      <c r="R139" s="3">
        <v>109.39666666666666</v>
      </c>
      <c r="S139" s="21">
        <v>94.063333333333333</v>
      </c>
      <c r="T139" s="3">
        <v>4.34</v>
      </c>
    </row>
    <row r="140" spans="1:20" x14ac:dyDescent="0.35">
      <c r="A140" t="s">
        <v>133</v>
      </c>
      <c r="B140" s="4">
        <v>40999</v>
      </c>
      <c r="C140" s="2">
        <v>2792410.2</v>
      </c>
      <c r="D140" s="2">
        <v>4341.8</v>
      </c>
      <c r="E140" s="3">
        <v>15309.02</v>
      </c>
      <c r="F140" s="29">
        <v>1.9277799043694418E-2</v>
      </c>
      <c r="G140" s="3">
        <v>0.25</v>
      </c>
      <c r="H140" s="8">
        <v>0.25</v>
      </c>
      <c r="I140" s="8" t="e">
        <v>#N/A</v>
      </c>
      <c r="J140" s="20">
        <v>0.76277728225505448</v>
      </c>
      <c r="K140" s="8">
        <v>6.3098000000000001</v>
      </c>
      <c r="L140" s="8">
        <v>8.2701666666666664</v>
      </c>
      <c r="M140" s="3">
        <v>97.356666666666669</v>
      </c>
      <c r="N140" s="21">
        <v>228.32600000000002</v>
      </c>
      <c r="O140" s="3">
        <v>81.026666666666657</v>
      </c>
      <c r="P140" s="29">
        <v>5.0876506712449546E-3</v>
      </c>
      <c r="Q140" s="3">
        <v>18.273333333333337</v>
      </c>
      <c r="R140" s="3">
        <v>118.49</v>
      </c>
      <c r="S140" s="21">
        <v>102.89333333333333</v>
      </c>
      <c r="T140" s="3">
        <v>4.3999999999999995</v>
      </c>
    </row>
    <row r="141" spans="1:20" x14ac:dyDescent="0.35">
      <c r="A141" t="s">
        <v>134</v>
      </c>
      <c r="B141" s="4">
        <v>41090</v>
      </c>
      <c r="C141" s="2">
        <v>2782321.9</v>
      </c>
      <c r="D141" s="2">
        <v>4361.1000000000004</v>
      </c>
      <c r="E141" s="3">
        <v>15608.06</v>
      </c>
      <c r="F141" s="29">
        <v>1.8526839257437176E-2</v>
      </c>
      <c r="G141" s="3">
        <v>0.25</v>
      </c>
      <c r="H141" s="8">
        <v>0.25</v>
      </c>
      <c r="I141" s="8" t="e">
        <v>#N/A</v>
      </c>
      <c r="J141" s="20">
        <v>0.77968778182464615</v>
      </c>
      <c r="K141" s="8">
        <v>6.3305999999999996</v>
      </c>
      <c r="L141" s="8">
        <v>8.1134333333333348</v>
      </c>
      <c r="M141" s="3">
        <v>97.839999999999989</v>
      </c>
      <c r="N141" s="21">
        <v>228.80799999999999</v>
      </c>
      <c r="O141" s="3">
        <v>81.469999999999985</v>
      </c>
      <c r="P141" s="29">
        <v>5.4574943231299241E-3</v>
      </c>
      <c r="Q141" s="3">
        <v>19.983333333333334</v>
      </c>
      <c r="R141" s="3">
        <v>108.30666666666666</v>
      </c>
      <c r="S141" s="21">
        <v>93.48</v>
      </c>
      <c r="T141" s="3">
        <v>4.3133333333333326</v>
      </c>
    </row>
    <row r="142" spans="1:20" x14ac:dyDescent="0.35">
      <c r="A142" t="s">
        <v>135</v>
      </c>
      <c r="B142" s="4">
        <v>41182</v>
      </c>
      <c r="C142" s="2">
        <v>2778800.9</v>
      </c>
      <c r="D142" s="2">
        <v>4367.3999999999996</v>
      </c>
      <c r="E142" s="3">
        <v>15893.72</v>
      </c>
      <c r="F142" s="29">
        <v>1.7753290223069266E-2</v>
      </c>
      <c r="G142" s="3">
        <v>0</v>
      </c>
      <c r="H142" s="8">
        <v>0.25</v>
      </c>
      <c r="I142" s="8" t="e">
        <v>#N/A</v>
      </c>
      <c r="J142" s="20">
        <v>0.79906009224882402</v>
      </c>
      <c r="K142" s="8">
        <v>6.3503333333333343</v>
      </c>
      <c r="L142" s="8">
        <v>7.9475000000000007</v>
      </c>
      <c r="M142" s="3">
        <v>98.316666666666663</v>
      </c>
      <c r="N142" s="21">
        <v>229.84100000000001</v>
      </c>
      <c r="O142" s="3">
        <v>81.776666666666657</v>
      </c>
      <c r="P142" s="29">
        <v>3.5520033727729459E-3</v>
      </c>
      <c r="Q142" s="3">
        <v>16.18</v>
      </c>
      <c r="R142" s="3">
        <v>109.61333333333334</v>
      </c>
      <c r="S142" s="21">
        <v>92.27</v>
      </c>
      <c r="T142" s="3">
        <v>4.2133333333333338</v>
      </c>
    </row>
    <row r="143" spans="1:20" x14ac:dyDescent="0.35">
      <c r="A143" t="s">
        <v>136</v>
      </c>
      <c r="B143" s="4">
        <v>41274</v>
      </c>
      <c r="C143" s="2">
        <v>2766521.3</v>
      </c>
      <c r="D143" s="2">
        <v>4372.5</v>
      </c>
      <c r="E143" s="3">
        <v>16222.63</v>
      </c>
      <c r="F143" s="29">
        <v>2.1819821428650962E-2</v>
      </c>
      <c r="G143" s="3">
        <v>0</v>
      </c>
      <c r="H143" s="8">
        <v>0.25</v>
      </c>
      <c r="I143" s="8" t="e">
        <v>#N/A</v>
      </c>
      <c r="J143" s="20">
        <v>0.77078677031864584</v>
      </c>
      <c r="K143" s="8">
        <v>6.2430999999999992</v>
      </c>
      <c r="L143" s="8">
        <v>8.1065666666666658</v>
      </c>
      <c r="M143" s="3">
        <v>98.733333333333334</v>
      </c>
      <c r="N143" s="21">
        <v>231.36933333333332</v>
      </c>
      <c r="O143" s="3">
        <v>82.23</v>
      </c>
      <c r="P143" s="29">
        <v>5.7805336587697905E-3</v>
      </c>
      <c r="Q143" s="3">
        <v>16.763333333333335</v>
      </c>
      <c r="R143" s="3">
        <v>110.08666666666666</v>
      </c>
      <c r="S143" s="21">
        <v>88.160000000000011</v>
      </c>
      <c r="T143" s="3">
        <v>4.0066666666666668</v>
      </c>
    </row>
    <row r="144" spans="1:20" x14ac:dyDescent="0.35">
      <c r="A144" t="s">
        <v>137</v>
      </c>
      <c r="B144" s="4">
        <v>41364</v>
      </c>
      <c r="C144" s="2">
        <v>2757562.9</v>
      </c>
      <c r="D144" s="2">
        <v>4415.6000000000004</v>
      </c>
      <c r="E144" s="3">
        <v>16517.48</v>
      </c>
      <c r="F144" s="29">
        <v>1.8324002329771355E-2</v>
      </c>
      <c r="G144" s="3">
        <v>0</v>
      </c>
      <c r="H144" s="8">
        <v>0.25</v>
      </c>
      <c r="I144" s="8" t="e">
        <v>#N/A</v>
      </c>
      <c r="J144" s="20">
        <v>0.757371114370612</v>
      </c>
      <c r="K144" s="8">
        <v>6.223066666666667</v>
      </c>
      <c r="L144" s="8">
        <v>8.2192999999999987</v>
      </c>
      <c r="M144" s="3">
        <v>99.139999999999986</v>
      </c>
      <c r="N144" s="21">
        <v>232.29933333333335</v>
      </c>
      <c r="O144" s="3">
        <v>83.026666666666657</v>
      </c>
      <c r="P144" s="29">
        <v>9.7450034568999713E-3</v>
      </c>
      <c r="Q144" s="3">
        <v>13.536666666666667</v>
      </c>
      <c r="R144" s="3">
        <v>112.49333333333334</v>
      </c>
      <c r="S144" s="21">
        <v>94.323333333333323</v>
      </c>
      <c r="T144" s="3">
        <v>3.6766666666666663</v>
      </c>
    </row>
    <row r="145" spans="1:20" x14ac:dyDescent="0.35">
      <c r="A145" t="s">
        <v>138</v>
      </c>
      <c r="B145" s="4">
        <v>41455</v>
      </c>
      <c r="C145" s="2">
        <v>2775556.3</v>
      </c>
      <c r="D145" s="2">
        <v>4427.3999999999996</v>
      </c>
      <c r="E145" s="3">
        <v>16800.39</v>
      </c>
      <c r="F145" s="29">
        <v>1.6532352440799036E-2</v>
      </c>
      <c r="G145" s="3">
        <v>0</v>
      </c>
      <c r="H145" s="8">
        <v>0.25</v>
      </c>
      <c r="I145" s="8" t="e">
        <v>#N/A</v>
      </c>
      <c r="J145" s="20">
        <v>0.76536860151849118</v>
      </c>
      <c r="K145" s="8">
        <v>6.1539666666666664</v>
      </c>
      <c r="L145" s="8">
        <v>8.0394666666666676</v>
      </c>
      <c r="M145" s="3">
        <v>99.25333333333333</v>
      </c>
      <c r="N145" s="21">
        <v>232.04499999999999</v>
      </c>
      <c r="O145" s="3">
        <v>83.433333333333323</v>
      </c>
      <c r="P145" s="29">
        <v>4.9450110727741244E-3</v>
      </c>
      <c r="Q145" s="3">
        <v>14.910000000000002</v>
      </c>
      <c r="R145" s="3">
        <v>102.57666666666667</v>
      </c>
      <c r="S145" s="21">
        <v>94.223333333333343</v>
      </c>
      <c r="T145" s="3">
        <v>3.3633333333333333</v>
      </c>
    </row>
    <row r="146" spans="1:20" x14ac:dyDescent="0.35">
      <c r="A146" t="s">
        <v>139</v>
      </c>
      <c r="B146" s="4">
        <v>41547</v>
      </c>
      <c r="C146" s="2">
        <v>2783857.4</v>
      </c>
      <c r="D146" s="2">
        <v>4465.1000000000004</v>
      </c>
      <c r="E146" s="3">
        <v>17158.36</v>
      </c>
      <c r="F146" s="29">
        <v>2.0934027783453598E-2</v>
      </c>
      <c r="G146" s="3">
        <v>0</v>
      </c>
      <c r="H146" s="8">
        <v>0.25</v>
      </c>
      <c r="I146" s="8" t="e">
        <v>#N/A</v>
      </c>
      <c r="J146" s="20">
        <v>0.75495381821668328</v>
      </c>
      <c r="K146" s="8">
        <v>6.1251333333333333</v>
      </c>
      <c r="L146" s="8">
        <v>8.1133666666666677</v>
      </c>
      <c r="M146" s="3">
        <v>99.586666666666659</v>
      </c>
      <c r="N146" s="21">
        <v>233.29999999999998</v>
      </c>
      <c r="O146" s="3">
        <v>84.01</v>
      </c>
      <c r="P146" s="29">
        <v>6.512680935715184E-3</v>
      </c>
      <c r="Q146" s="3">
        <v>14.29</v>
      </c>
      <c r="R146" s="3">
        <v>110.27</v>
      </c>
      <c r="S146" s="21">
        <v>105.85000000000001</v>
      </c>
      <c r="T146" s="3">
        <v>3.1233333333333335</v>
      </c>
    </row>
    <row r="147" spans="1:20" x14ac:dyDescent="0.35">
      <c r="A147" t="s">
        <v>140</v>
      </c>
      <c r="B147" s="4">
        <v>41639</v>
      </c>
      <c r="C147" s="2">
        <v>2789570.1</v>
      </c>
      <c r="D147" s="2">
        <v>4504</v>
      </c>
      <c r="E147" s="3">
        <v>17458.400000000001</v>
      </c>
      <c r="F147" s="29">
        <v>1.8115357404203183E-2</v>
      </c>
      <c r="G147" s="3">
        <v>0</v>
      </c>
      <c r="H147" s="8">
        <v>0.25</v>
      </c>
      <c r="I147" s="8">
        <v>5.73</v>
      </c>
      <c r="J147" s="20">
        <v>0.73472758505328972</v>
      </c>
      <c r="K147" s="8">
        <v>6.0899666666666663</v>
      </c>
      <c r="L147" s="8">
        <v>8.2898333333333323</v>
      </c>
      <c r="M147" s="3">
        <v>99.55</v>
      </c>
      <c r="N147" s="21">
        <v>234.16266666666669</v>
      </c>
      <c r="O147" s="3">
        <v>84.64</v>
      </c>
      <c r="P147" s="29">
        <v>7.5941938275203916E-3</v>
      </c>
      <c r="Q147" s="3">
        <v>14.173333333333332</v>
      </c>
      <c r="R147" s="3">
        <v>109.21</v>
      </c>
      <c r="S147" s="21">
        <v>97.360000000000014</v>
      </c>
      <c r="T147" s="3">
        <v>3.0100000000000002</v>
      </c>
    </row>
    <row r="148" spans="1:20" x14ac:dyDescent="0.35">
      <c r="A148" t="s">
        <v>141</v>
      </c>
      <c r="B148" s="4">
        <v>41729</v>
      </c>
      <c r="C148" s="2">
        <v>2802623.5</v>
      </c>
      <c r="D148" s="2">
        <v>4488.5</v>
      </c>
      <c r="E148" s="3">
        <v>17774.73</v>
      </c>
      <c r="F148" s="29">
        <v>1.8423176905709354E-2</v>
      </c>
      <c r="G148" s="3">
        <v>0</v>
      </c>
      <c r="H148" s="8">
        <v>0.25</v>
      </c>
      <c r="I148" s="8">
        <v>5.76</v>
      </c>
      <c r="J148" s="20">
        <v>0.73008243847534438</v>
      </c>
      <c r="K148" s="8">
        <v>6.1017999999999999</v>
      </c>
      <c r="L148" s="8">
        <v>8.3587333333333333</v>
      </c>
      <c r="M148" s="3">
        <v>99.806666666666672</v>
      </c>
      <c r="N148" s="21">
        <v>235.62100000000001</v>
      </c>
      <c r="O148" s="3">
        <v>84.96</v>
      </c>
      <c r="P148" s="29">
        <v>4.2497723169987135E-3</v>
      </c>
      <c r="Q148" s="3">
        <v>14.85</v>
      </c>
      <c r="R148" s="3">
        <v>108.16666666666667</v>
      </c>
      <c r="S148" s="21">
        <v>98.74666666666667</v>
      </c>
      <c r="T148" s="3">
        <v>2.936666666666667</v>
      </c>
    </row>
    <row r="149" spans="1:20" x14ac:dyDescent="0.35">
      <c r="A149" t="s">
        <v>142</v>
      </c>
      <c r="B149" s="4">
        <v>41820</v>
      </c>
      <c r="C149" s="2">
        <v>2809125</v>
      </c>
      <c r="D149" s="2">
        <v>4546.5</v>
      </c>
      <c r="E149" s="3">
        <v>18097.3</v>
      </c>
      <c r="F149" s="29">
        <v>1.7582482690718305E-2</v>
      </c>
      <c r="G149" s="3">
        <v>-0.1</v>
      </c>
      <c r="H149" s="8">
        <v>0.25</v>
      </c>
      <c r="I149" s="8">
        <v>5.76</v>
      </c>
      <c r="J149" s="20">
        <v>0.72927013186662526</v>
      </c>
      <c r="K149" s="8">
        <v>6.231066666666667</v>
      </c>
      <c r="L149" s="8">
        <v>8.5446666666666662</v>
      </c>
      <c r="M149" s="3">
        <v>99.806666666666672</v>
      </c>
      <c r="N149" s="21">
        <v>236.87233333333333</v>
      </c>
      <c r="O149" s="3">
        <v>85.279999999999987</v>
      </c>
      <c r="P149" s="29">
        <v>3.6274249291957765E-3</v>
      </c>
      <c r="Q149" s="3">
        <v>12.74</v>
      </c>
      <c r="R149" s="3">
        <v>109.7</v>
      </c>
      <c r="S149" s="21">
        <v>103.34666666666668</v>
      </c>
      <c r="T149" s="3">
        <v>2.8066666666666666</v>
      </c>
    </row>
    <row r="150" spans="1:20" x14ac:dyDescent="0.35">
      <c r="A150" t="s">
        <v>143</v>
      </c>
      <c r="B150" s="4">
        <v>41912</v>
      </c>
      <c r="C150" s="2">
        <v>2822836.8</v>
      </c>
      <c r="D150" s="2">
        <v>4601.7</v>
      </c>
      <c r="E150" s="3">
        <v>18418.36</v>
      </c>
      <c r="F150" s="29">
        <v>1.7415311344318361E-2</v>
      </c>
      <c r="G150" s="3">
        <v>-0.2</v>
      </c>
      <c r="H150" s="8">
        <v>0.25</v>
      </c>
      <c r="I150" s="8">
        <v>5.76</v>
      </c>
      <c r="J150" s="20">
        <v>0.75459112102811532</v>
      </c>
      <c r="K150" s="8">
        <v>6.1635666666666671</v>
      </c>
      <c r="L150" s="8">
        <v>8.170399999999999</v>
      </c>
      <c r="M150" s="3">
        <v>99.899999999999991</v>
      </c>
      <c r="N150" s="21">
        <v>237.47833333333332</v>
      </c>
      <c r="O150" s="3">
        <v>85.63666666666667</v>
      </c>
      <c r="P150" s="29">
        <v>3.7466134359707883E-3</v>
      </c>
      <c r="Q150" s="3">
        <v>13.086666666666666</v>
      </c>
      <c r="R150" s="3">
        <v>101.82333333333334</v>
      </c>
      <c r="S150" s="21">
        <v>97.779999999999987</v>
      </c>
      <c r="T150" s="3">
        <v>2.5333333333333332</v>
      </c>
    </row>
    <row r="151" spans="1:20" x14ac:dyDescent="0.35">
      <c r="A151" t="s">
        <v>144</v>
      </c>
      <c r="B151" s="4">
        <v>42004</v>
      </c>
      <c r="C151" s="2">
        <v>2833377.6</v>
      </c>
      <c r="D151" s="2">
        <v>4625</v>
      </c>
      <c r="E151" s="3">
        <v>18739.71</v>
      </c>
      <c r="F151" s="29">
        <v>1.8021911380589683E-2</v>
      </c>
      <c r="G151" s="3">
        <v>-0.2</v>
      </c>
      <c r="H151" s="8">
        <v>0.25</v>
      </c>
      <c r="I151" s="8">
        <v>5.51</v>
      </c>
      <c r="J151" s="20">
        <v>0.80050656055151703</v>
      </c>
      <c r="K151" s="8">
        <v>6.1462000000000003</v>
      </c>
      <c r="L151" s="8">
        <v>7.6791999999999989</v>
      </c>
      <c r="M151" s="3">
        <v>99.73</v>
      </c>
      <c r="N151" s="21">
        <v>236.88833333333332</v>
      </c>
      <c r="O151" s="3">
        <v>85.883333333333326</v>
      </c>
      <c r="P151" s="29">
        <v>2.7550276569764057E-3</v>
      </c>
      <c r="Q151" s="3">
        <v>15.92</v>
      </c>
      <c r="R151" s="3">
        <v>76.403333333333336</v>
      </c>
      <c r="S151" s="21">
        <v>73.16</v>
      </c>
      <c r="T151" s="3">
        <v>2.1700000000000004</v>
      </c>
    </row>
    <row r="152" spans="1:20" x14ac:dyDescent="0.35">
      <c r="A152" t="s">
        <v>145</v>
      </c>
      <c r="B152" s="4">
        <v>42094</v>
      </c>
      <c r="C152" s="2">
        <v>2854919.4</v>
      </c>
      <c r="D152" s="2">
        <v>4666.7</v>
      </c>
      <c r="E152" s="3">
        <v>19039.740000000002</v>
      </c>
      <c r="F152" s="29">
        <v>1.6403227566898878E-2</v>
      </c>
      <c r="G152" s="3">
        <v>-0.2</v>
      </c>
      <c r="H152" s="8">
        <v>0.25</v>
      </c>
      <c r="I152" s="8">
        <v>5.3</v>
      </c>
      <c r="J152" s="20">
        <v>0.88734661474308651</v>
      </c>
      <c r="K152" s="8">
        <v>6.2361666666666666</v>
      </c>
      <c r="L152" s="8">
        <v>7.0284000000000004</v>
      </c>
      <c r="M152" s="3">
        <v>99.676666666666677</v>
      </c>
      <c r="N152" s="21">
        <v>235.35500000000002</v>
      </c>
      <c r="O152" s="3">
        <v>85.986666666666665</v>
      </c>
      <c r="P152" s="29">
        <v>2.1045221240117216E-3</v>
      </c>
      <c r="Q152" s="3">
        <v>16.610000000000003</v>
      </c>
      <c r="R152" s="3">
        <v>53.916666666666664</v>
      </c>
      <c r="S152" s="21">
        <v>48.639999999999993</v>
      </c>
      <c r="T152" s="3">
        <v>1.7633333333333334</v>
      </c>
    </row>
    <row r="153" spans="1:20" x14ac:dyDescent="0.35">
      <c r="A153" t="s">
        <v>146</v>
      </c>
      <c r="B153" s="4">
        <v>42185</v>
      </c>
      <c r="C153" s="2">
        <v>2866851.2</v>
      </c>
      <c r="D153" s="2">
        <v>4695.6000000000004</v>
      </c>
      <c r="E153" s="3">
        <v>19382.740000000002</v>
      </c>
      <c r="F153" s="29">
        <v>1.7267633004294947E-2</v>
      </c>
      <c r="G153" s="3">
        <v>-0.2</v>
      </c>
      <c r="H153" s="8">
        <v>0.25</v>
      </c>
      <c r="I153" s="8">
        <v>4.8</v>
      </c>
      <c r="J153" s="20">
        <v>0.90519363902325989</v>
      </c>
      <c r="K153" s="8">
        <v>6.2032333333333325</v>
      </c>
      <c r="L153" s="8">
        <v>6.8538333333333341</v>
      </c>
      <c r="M153" s="3">
        <v>100.16333333333334</v>
      </c>
      <c r="N153" s="21">
        <v>236.96</v>
      </c>
      <c r="O153" s="3">
        <v>86.493333333333339</v>
      </c>
      <c r="P153" s="29">
        <v>5.5733665590383882E-3</v>
      </c>
      <c r="Q153" s="3">
        <v>13.723333333333334</v>
      </c>
      <c r="R153" s="3">
        <v>61.693333333333328</v>
      </c>
      <c r="S153" s="21">
        <v>57.856666666666662</v>
      </c>
      <c r="T153" s="3">
        <v>1.4433333333333334</v>
      </c>
    </row>
    <row r="154" spans="1:20" x14ac:dyDescent="0.35">
      <c r="A154" t="s">
        <v>147</v>
      </c>
      <c r="B154" s="4">
        <v>42277</v>
      </c>
      <c r="C154" s="2">
        <v>2879444.1</v>
      </c>
      <c r="D154" s="2">
        <v>4714.3999999999996</v>
      </c>
      <c r="E154" s="3">
        <v>19711.75</v>
      </c>
      <c r="F154" s="29">
        <v>1.66573683734276E-2</v>
      </c>
      <c r="G154" s="3">
        <v>-0.2</v>
      </c>
      <c r="H154" s="8">
        <v>0.25</v>
      </c>
      <c r="I154" s="8">
        <v>4.55</v>
      </c>
      <c r="J154" s="20">
        <v>0.89938814624411023</v>
      </c>
      <c r="K154" s="8">
        <v>6.3048000000000002</v>
      </c>
      <c r="L154" s="8">
        <v>7.0118999999999998</v>
      </c>
      <c r="M154" s="3">
        <v>100.09333333333332</v>
      </c>
      <c r="N154" s="21">
        <v>237.85500000000002</v>
      </c>
      <c r="O154" s="3">
        <v>87.133333333333326</v>
      </c>
      <c r="P154" s="29">
        <v>6.9510335138810086E-3</v>
      </c>
      <c r="Q154" s="3">
        <v>19.386666666666667</v>
      </c>
      <c r="R154" s="3">
        <v>50.233333333333341</v>
      </c>
      <c r="S154" s="21">
        <v>46.419999999999995</v>
      </c>
      <c r="T154" s="3">
        <v>1.3100000000000003</v>
      </c>
    </row>
    <row r="155" spans="1:20" x14ac:dyDescent="0.35">
      <c r="A155" t="s">
        <v>148</v>
      </c>
      <c r="B155" s="4">
        <v>42369</v>
      </c>
      <c r="C155" s="2">
        <v>2893722.8</v>
      </c>
      <c r="D155" s="2">
        <v>4723.1000000000004</v>
      </c>
      <c r="E155" s="3">
        <v>20029.580000000002</v>
      </c>
      <c r="F155" s="29">
        <v>1.6896573639402671E-2</v>
      </c>
      <c r="G155" s="3">
        <v>-0.3</v>
      </c>
      <c r="H155" s="8">
        <v>0.5</v>
      </c>
      <c r="I155" s="8">
        <v>4.3</v>
      </c>
      <c r="J155" s="20">
        <v>0.91329010629783558</v>
      </c>
      <c r="K155" s="8">
        <v>6.3878666666666675</v>
      </c>
      <c r="L155" s="8">
        <v>6.9979000000000005</v>
      </c>
      <c r="M155" s="3">
        <v>100.07</v>
      </c>
      <c r="N155" s="21">
        <v>237.83699999999999</v>
      </c>
      <c r="O155" s="3">
        <v>87.126666666666665</v>
      </c>
      <c r="P155" s="29">
        <v>-4.259703421687249E-4</v>
      </c>
      <c r="Q155" s="3">
        <v>17.010000000000002</v>
      </c>
      <c r="R155" s="3">
        <v>43.57</v>
      </c>
      <c r="S155" s="21">
        <v>42.023333333333333</v>
      </c>
      <c r="T155" s="3">
        <v>1.2266666666666666</v>
      </c>
    </row>
    <row r="156" spans="1:20" x14ac:dyDescent="0.35">
      <c r="A156" t="s">
        <v>149</v>
      </c>
      <c r="B156" s="4">
        <v>42460</v>
      </c>
      <c r="C156" s="2">
        <v>2907682.4</v>
      </c>
      <c r="D156" s="2">
        <v>4750.3999999999996</v>
      </c>
      <c r="E156" s="3">
        <v>20333.95</v>
      </c>
      <c r="F156" s="29">
        <v>1.5790490064980886E-2</v>
      </c>
      <c r="G156" s="3">
        <v>-0.4</v>
      </c>
      <c r="H156" s="8">
        <v>0.5</v>
      </c>
      <c r="I156" s="8">
        <v>4.3</v>
      </c>
      <c r="J156" s="20">
        <v>0.90765324136587289</v>
      </c>
      <c r="K156" s="8">
        <v>6.5417999999999994</v>
      </c>
      <c r="L156" s="8">
        <v>7.2090333333333341</v>
      </c>
      <c r="M156" s="3">
        <v>99.723333333333315</v>
      </c>
      <c r="N156" s="21">
        <v>237.68933333333334</v>
      </c>
      <c r="O156" s="3">
        <v>87.839999999999989</v>
      </c>
      <c r="P156" s="29">
        <v>9.5152806165313634E-3</v>
      </c>
      <c r="Q156" s="3">
        <v>20.696666666666665</v>
      </c>
      <c r="R156" s="3">
        <v>33.693333333333335</v>
      </c>
      <c r="S156" s="21">
        <v>33.356666666666662</v>
      </c>
      <c r="T156" s="3">
        <v>1.21</v>
      </c>
    </row>
    <row r="157" spans="1:20" x14ac:dyDescent="0.35">
      <c r="A157" t="s">
        <v>150</v>
      </c>
      <c r="B157" s="4">
        <v>42551</v>
      </c>
      <c r="C157" s="2">
        <v>2912999.2</v>
      </c>
      <c r="D157" s="2">
        <v>4765.7</v>
      </c>
      <c r="E157" s="3">
        <v>20678.849999999999</v>
      </c>
      <c r="F157" s="29">
        <v>1.5989143026907869E-2</v>
      </c>
      <c r="G157" s="3">
        <v>-0.4</v>
      </c>
      <c r="H157" s="8">
        <v>0.5</v>
      </c>
      <c r="I157" s="8">
        <v>4.3</v>
      </c>
      <c r="J157" s="20">
        <v>0.88549932864392567</v>
      </c>
      <c r="K157" s="8">
        <v>6.5301666666666662</v>
      </c>
      <c r="L157" s="8">
        <v>7.3782666666666659</v>
      </c>
      <c r="M157" s="3">
        <v>100.07000000000001</v>
      </c>
      <c r="N157" s="21">
        <v>239.59033333333332</v>
      </c>
      <c r="O157" s="3">
        <v>88.31</v>
      </c>
      <c r="P157" s="29">
        <v>4.7292502474206369E-3</v>
      </c>
      <c r="Q157" s="3">
        <v>15.64</v>
      </c>
      <c r="R157" s="3">
        <v>45.523333333333333</v>
      </c>
      <c r="S157" s="21">
        <v>45.44</v>
      </c>
      <c r="T157" s="3">
        <v>1.1666666666666667</v>
      </c>
    </row>
    <row r="158" spans="1:20" x14ac:dyDescent="0.35">
      <c r="A158" t="s">
        <v>151</v>
      </c>
      <c r="B158" s="4">
        <v>42643</v>
      </c>
      <c r="C158" s="2">
        <v>2927132</v>
      </c>
      <c r="D158" s="2">
        <v>4799.5</v>
      </c>
      <c r="E158" s="3">
        <v>21037.05</v>
      </c>
      <c r="F158" s="29">
        <v>1.5886164532504098E-2</v>
      </c>
      <c r="G158" s="3">
        <v>-0.4</v>
      </c>
      <c r="H158" s="8">
        <v>0.5</v>
      </c>
      <c r="I158" s="8">
        <v>4.3</v>
      </c>
      <c r="J158" s="20">
        <v>0.89572693465821307</v>
      </c>
      <c r="K158" s="8">
        <v>6.6646333333333336</v>
      </c>
      <c r="L158" s="8">
        <v>7.4421999999999997</v>
      </c>
      <c r="M158" s="3">
        <v>100.35000000000001</v>
      </c>
      <c r="N158" s="21">
        <v>240.60733333333329</v>
      </c>
      <c r="O158" s="3">
        <v>88.566666666666663</v>
      </c>
      <c r="P158" s="29">
        <v>2.6740806239023761E-3</v>
      </c>
      <c r="Q158" s="3">
        <v>13.26</v>
      </c>
      <c r="R158" s="3">
        <v>45.786666666666669</v>
      </c>
      <c r="S158" s="21">
        <v>44.889999999999993</v>
      </c>
      <c r="T158" s="3">
        <v>0.98666666666666669</v>
      </c>
    </row>
    <row r="159" spans="1:20" x14ac:dyDescent="0.35">
      <c r="A159" t="s">
        <v>152</v>
      </c>
      <c r="B159" s="4">
        <v>42735</v>
      </c>
      <c r="C159" s="2">
        <v>2949695.5</v>
      </c>
      <c r="D159" s="2">
        <v>4826.1000000000004</v>
      </c>
      <c r="E159" s="3">
        <v>21392.95</v>
      </c>
      <c r="F159" s="29">
        <v>1.8927322371320346E-2</v>
      </c>
      <c r="G159" s="3">
        <v>-0.4</v>
      </c>
      <c r="H159" s="8">
        <v>0.75</v>
      </c>
      <c r="I159" s="8">
        <v>4.3</v>
      </c>
      <c r="J159" s="20">
        <v>0.92684418822351777</v>
      </c>
      <c r="K159" s="8">
        <v>6.8300999999999989</v>
      </c>
      <c r="L159" s="8">
        <v>7.3688000000000002</v>
      </c>
      <c r="M159" s="3">
        <v>100.82333333333334</v>
      </c>
      <c r="N159" s="21">
        <v>242.13466666666667</v>
      </c>
      <c r="O159" s="3">
        <v>88.953333333333333</v>
      </c>
      <c r="P159" s="29">
        <v>3.8382907773010532E-3</v>
      </c>
      <c r="Q159" s="3">
        <v>14.1</v>
      </c>
      <c r="R159" s="3">
        <v>49.186666666666667</v>
      </c>
      <c r="S159" s="21">
        <v>49.199999999999996</v>
      </c>
      <c r="T159" s="3">
        <v>0.87333333333333341</v>
      </c>
    </row>
    <row r="160" spans="1:20" x14ac:dyDescent="0.35">
      <c r="A160" t="s">
        <v>153</v>
      </c>
      <c r="B160" s="4">
        <v>42825</v>
      </c>
      <c r="C160" s="2">
        <v>2973685.1</v>
      </c>
      <c r="D160" s="2">
        <v>4849.6000000000004</v>
      </c>
      <c r="E160" s="3">
        <v>21752.75</v>
      </c>
      <c r="F160" s="29">
        <v>1.847071417535805E-2</v>
      </c>
      <c r="G160" s="3">
        <v>-0.4</v>
      </c>
      <c r="H160" s="8">
        <v>1</v>
      </c>
      <c r="I160" s="8">
        <v>4.3</v>
      </c>
      <c r="J160" s="20">
        <v>0.93920936103708752</v>
      </c>
      <c r="K160" s="8">
        <v>6.8846999999999996</v>
      </c>
      <c r="L160" s="8">
        <v>7.3341333333333338</v>
      </c>
      <c r="M160" s="3">
        <v>101.49666666666667</v>
      </c>
      <c r="N160" s="21">
        <v>243.83866666666668</v>
      </c>
      <c r="O160" s="3">
        <v>89.056666666666672</v>
      </c>
      <c r="P160" s="29">
        <v>2.4093751504874663E-3</v>
      </c>
      <c r="Q160" s="3">
        <v>11.68</v>
      </c>
      <c r="R160" s="3">
        <v>53.68</v>
      </c>
      <c r="S160" s="21">
        <v>51.833333333333336</v>
      </c>
      <c r="T160" s="3">
        <v>0.87333333333333341</v>
      </c>
    </row>
    <row r="161" spans="1:20" x14ac:dyDescent="0.35">
      <c r="A161" t="s">
        <v>154</v>
      </c>
      <c r="B161" s="4">
        <v>42916</v>
      </c>
      <c r="C161" s="2">
        <v>2993152.8</v>
      </c>
      <c r="D161" s="2">
        <v>4876.7</v>
      </c>
      <c r="E161" s="3">
        <v>22124.58</v>
      </c>
      <c r="F161" s="29">
        <v>1.4858232737191602E-2</v>
      </c>
      <c r="G161" s="3">
        <v>-0.4</v>
      </c>
      <c r="H161" s="8">
        <v>1.25</v>
      </c>
      <c r="I161" s="8">
        <v>4.3</v>
      </c>
      <c r="J161" s="20">
        <v>0.90882597254982023</v>
      </c>
      <c r="K161" s="8">
        <v>6.8594999999999997</v>
      </c>
      <c r="L161" s="8">
        <v>7.5493666666666668</v>
      </c>
      <c r="M161" s="3">
        <v>101.56</v>
      </c>
      <c r="N161" s="21">
        <v>244.12</v>
      </c>
      <c r="O161" s="3">
        <v>89.61</v>
      </c>
      <c r="P161" s="29">
        <v>5.7243712621803692E-3</v>
      </c>
      <c r="Q161" s="3">
        <v>11.503333333333332</v>
      </c>
      <c r="R161" s="3">
        <v>49.669999999999995</v>
      </c>
      <c r="S161" s="21">
        <v>48.26</v>
      </c>
      <c r="T161" s="3">
        <v>0.94</v>
      </c>
    </row>
    <row r="162" spans="1:20" x14ac:dyDescent="0.35">
      <c r="A162" t="s">
        <v>155</v>
      </c>
      <c r="B162" s="4">
        <v>43008</v>
      </c>
      <c r="C162" s="2">
        <v>3015177.6</v>
      </c>
      <c r="D162" s="2">
        <v>4915.2</v>
      </c>
      <c r="E162" s="3">
        <v>22491.8</v>
      </c>
      <c r="F162" s="29">
        <v>1.3630649454303796E-2</v>
      </c>
      <c r="G162" s="3">
        <v>-0.4</v>
      </c>
      <c r="H162" s="8">
        <v>1.25</v>
      </c>
      <c r="I162" s="8">
        <v>4.3</v>
      </c>
      <c r="J162" s="20">
        <v>0.85148776199214082</v>
      </c>
      <c r="K162" s="8">
        <v>6.6684666666666663</v>
      </c>
      <c r="L162" s="8">
        <v>7.8327333333333335</v>
      </c>
      <c r="M162" s="3">
        <v>101.77</v>
      </c>
      <c r="N162" s="21">
        <v>245.28700000000001</v>
      </c>
      <c r="O162" s="3">
        <v>89.986666666666665</v>
      </c>
      <c r="P162" s="29">
        <v>4.0954281976313496E-3</v>
      </c>
      <c r="Q162" s="3">
        <v>10.893333333333333</v>
      </c>
      <c r="R162" s="3">
        <v>52.110000000000007</v>
      </c>
      <c r="S162" s="21">
        <v>48.163333333333334</v>
      </c>
      <c r="T162" s="3">
        <v>1.04</v>
      </c>
    </row>
    <row r="163" spans="1:20" x14ac:dyDescent="0.35">
      <c r="A163" t="s">
        <v>156</v>
      </c>
      <c r="B163" s="4">
        <v>43100</v>
      </c>
      <c r="C163" s="2">
        <v>3039729.9</v>
      </c>
      <c r="D163" s="2">
        <v>4970.6000000000004</v>
      </c>
      <c r="E163" s="3">
        <v>22849.99</v>
      </c>
      <c r="F163" s="29">
        <v>1.9302326081648374E-2</v>
      </c>
      <c r="G163" s="3">
        <v>-0.4</v>
      </c>
      <c r="H163" s="8">
        <v>1.5</v>
      </c>
      <c r="I163" s="8">
        <v>4.3</v>
      </c>
      <c r="J163" s="20">
        <v>0.84913502860311341</v>
      </c>
      <c r="K163" s="8">
        <v>6.6128666666666662</v>
      </c>
      <c r="L163" s="8">
        <v>7.7895333333333339</v>
      </c>
      <c r="M163" s="3">
        <v>102.27333333333333</v>
      </c>
      <c r="N163" s="21">
        <v>247.23833333333332</v>
      </c>
      <c r="O163" s="3">
        <v>90.473333333333343</v>
      </c>
      <c r="P163" s="29">
        <v>5.0127033806432715E-3</v>
      </c>
      <c r="Q163" s="3">
        <v>10.31</v>
      </c>
      <c r="R163" s="3">
        <v>61.53</v>
      </c>
      <c r="S163" s="21">
        <v>55.386666666666663</v>
      </c>
      <c r="T163" s="3">
        <v>1.0999999999999999</v>
      </c>
    </row>
    <row r="164" spans="1:20" x14ac:dyDescent="0.35">
      <c r="A164" t="s">
        <v>157</v>
      </c>
      <c r="B164" s="4">
        <v>43190</v>
      </c>
      <c r="C164" s="2">
        <v>3041095.9</v>
      </c>
      <c r="D164" s="2">
        <v>5011</v>
      </c>
      <c r="E164" s="3">
        <v>23249.09</v>
      </c>
      <c r="F164" s="29">
        <v>2.1208320209461472E-2</v>
      </c>
      <c r="G164" s="3">
        <v>-0.4</v>
      </c>
      <c r="H164" s="8">
        <v>1.75</v>
      </c>
      <c r="I164" s="8">
        <v>4.3</v>
      </c>
      <c r="J164" s="20">
        <v>0.81337205345806474</v>
      </c>
      <c r="K164" s="8">
        <v>6.3530000000000006</v>
      </c>
      <c r="L164" s="8">
        <v>7.8149333333333333</v>
      </c>
      <c r="M164" s="3">
        <v>102.78666666666668</v>
      </c>
      <c r="N164" s="21">
        <v>249.32166666666669</v>
      </c>
      <c r="O164" s="3">
        <v>90.969999999999985</v>
      </c>
      <c r="P164" s="29">
        <v>6.0371220779663302E-3</v>
      </c>
      <c r="Q164" s="3">
        <v>17.513333333333335</v>
      </c>
      <c r="R164" s="3">
        <v>66.806666666666658</v>
      </c>
      <c r="S164" s="21">
        <v>62.876666666666665</v>
      </c>
      <c r="T164" s="3">
        <v>1.0833333333333333</v>
      </c>
    </row>
    <row r="165" spans="1:20" x14ac:dyDescent="0.35">
      <c r="A165" t="s">
        <v>158</v>
      </c>
      <c r="B165" s="4">
        <v>43281</v>
      </c>
      <c r="C165" s="2">
        <v>3056525.3</v>
      </c>
      <c r="D165" s="2">
        <v>5037.6000000000004</v>
      </c>
      <c r="E165" s="3">
        <v>23649.77</v>
      </c>
      <c r="F165" s="29">
        <v>1.2936709582983106E-2</v>
      </c>
      <c r="G165" s="3">
        <v>-0.4</v>
      </c>
      <c r="H165" s="8">
        <v>2</v>
      </c>
      <c r="I165" s="8">
        <v>4.3099999999999996</v>
      </c>
      <c r="J165" s="20">
        <v>0.83876620845800665</v>
      </c>
      <c r="K165" s="8">
        <v>6.3773000000000009</v>
      </c>
      <c r="L165" s="8">
        <v>7.6049999999999995</v>
      </c>
      <c r="M165" s="3">
        <v>103.32666666666667</v>
      </c>
      <c r="N165" s="21">
        <v>250.679</v>
      </c>
      <c r="O165" s="3">
        <v>91.33</v>
      </c>
      <c r="P165" s="29">
        <v>3.8267221513671639E-3</v>
      </c>
      <c r="Q165" s="3">
        <v>15.356666666666667</v>
      </c>
      <c r="R165" s="3">
        <v>74.49666666666667</v>
      </c>
      <c r="S165" s="21">
        <v>67.86</v>
      </c>
      <c r="T165" s="3">
        <v>1.0566666666666669</v>
      </c>
    </row>
    <row r="166" spans="1:20" x14ac:dyDescent="0.35">
      <c r="A166" t="s">
        <v>159</v>
      </c>
      <c r="B166" s="4">
        <v>43373</v>
      </c>
      <c r="C166" s="2">
        <v>3059122.1</v>
      </c>
      <c r="D166" s="2">
        <v>5069.1000000000004</v>
      </c>
      <c r="E166" s="3">
        <v>24007.17</v>
      </c>
      <c r="F166" s="29">
        <v>1.0928957202579637E-2</v>
      </c>
      <c r="G166" s="3">
        <v>-0.4</v>
      </c>
      <c r="H166" s="8">
        <v>2.25</v>
      </c>
      <c r="I166" s="8">
        <v>4.3099999999999996</v>
      </c>
      <c r="J166" s="20">
        <v>0.85976169125441804</v>
      </c>
      <c r="K166" s="8">
        <v>6.805600000000001</v>
      </c>
      <c r="L166" s="8">
        <v>7.917533333333334</v>
      </c>
      <c r="M166" s="3">
        <v>103.89666666666666</v>
      </c>
      <c r="N166" s="21">
        <v>251.68633333333332</v>
      </c>
      <c r="O166" s="3">
        <v>92.053333333333327</v>
      </c>
      <c r="P166" s="29">
        <v>8.2566922993459208E-3</v>
      </c>
      <c r="Q166" s="3">
        <v>12.87</v>
      </c>
      <c r="R166" s="3">
        <v>75.193333333333328</v>
      </c>
      <c r="S166" s="21">
        <v>69.719999999999985</v>
      </c>
      <c r="T166" s="3">
        <v>1.0600000000000003</v>
      </c>
    </row>
    <row r="167" spans="1:20" x14ac:dyDescent="0.35">
      <c r="A167" t="s">
        <v>160</v>
      </c>
      <c r="B167" s="4">
        <v>43465</v>
      </c>
      <c r="C167" s="2">
        <v>3075473.6</v>
      </c>
      <c r="D167" s="2">
        <v>5076.2</v>
      </c>
      <c r="E167" s="3">
        <v>24326.91</v>
      </c>
      <c r="F167" s="29">
        <v>1.7541368419993927E-2</v>
      </c>
      <c r="G167" s="3">
        <v>-0.4</v>
      </c>
      <c r="H167" s="8">
        <v>2.5</v>
      </c>
      <c r="I167" s="8">
        <v>4.3099999999999996</v>
      </c>
      <c r="J167" s="20">
        <v>0.87629337250559436</v>
      </c>
      <c r="K167" s="8">
        <v>6.9131666666666662</v>
      </c>
      <c r="L167" s="8">
        <v>7.8919666666666659</v>
      </c>
      <c r="M167" s="3">
        <v>104.25</v>
      </c>
      <c r="N167" s="21">
        <v>252.71100000000001</v>
      </c>
      <c r="O167" s="3">
        <v>92.39</v>
      </c>
      <c r="P167" s="29">
        <v>3.1247990946133165E-3</v>
      </c>
      <c r="Q167" s="3">
        <v>21.23</v>
      </c>
      <c r="R167" s="3">
        <v>67.713333333333324</v>
      </c>
      <c r="S167" s="21">
        <v>58.903333333333336</v>
      </c>
      <c r="T167" s="3">
        <v>1.1033333333333335</v>
      </c>
    </row>
    <row r="168" spans="1:20" x14ac:dyDescent="0.35">
      <c r="A168" t="s">
        <v>161</v>
      </c>
      <c r="B168" s="4">
        <v>43555</v>
      </c>
      <c r="C168" s="2">
        <v>3098367.5</v>
      </c>
      <c r="D168" s="2">
        <v>5107.8999999999996</v>
      </c>
      <c r="E168" s="3">
        <v>24738.240000000002</v>
      </c>
      <c r="F168" s="29">
        <v>2.268174586551638E-2</v>
      </c>
      <c r="G168" s="3">
        <v>-0.4</v>
      </c>
      <c r="H168" s="8">
        <v>2.5</v>
      </c>
      <c r="I168" s="8">
        <v>4.3099999999999996</v>
      </c>
      <c r="J168" s="20">
        <v>0.88053903077307816</v>
      </c>
      <c r="K168" s="8">
        <v>6.7449666666666666</v>
      </c>
      <c r="L168" s="8">
        <v>7.6619000000000002</v>
      </c>
      <c r="M168" s="3">
        <v>104.19</v>
      </c>
      <c r="N168" s="21">
        <v>253.38566666666665</v>
      </c>
      <c r="O168" s="3">
        <v>92.63</v>
      </c>
      <c r="P168" s="29">
        <v>2.4298771168526538E-3</v>
      </c>
      <c r="Q168" s="3">
        <v>16.43</v>
      </c>
      <c r="R168" s="3">
        <v>63.169999999999995</v>
      </c>
      <c r="S168" s="21">
        <v>54.85</v>
      </c>
      <c r="T168" s="3">
        <v>1.1000000000000001</v>
      </c>
    </row>
    <row r="169" spans="1:20" x14ac:dyDescent="0.35">
      <c r="A169" t="s">
        <v>162</v>
      </c>
      <c r="B169" s="4">
        <v>43646</v>
      </c>
      <c r="C169" s="2">
        <v>3109048.6</v>
      </c>
      <c r="D169" s="2">
        <v>5150.6000000000004</v>
      </c>
      <c r="E169" s="3">
        <v>25090.67</v>
      </c>
      <c r="F169" s="29">
        <v>8.8372412420431659E-3</v>
      </c>
      <c r="G169" s="3">
        <v>-0.4</v>
      </c>
      <c r="H169" s="8">
        <v>2.5</v>
      </c>
      <c r="I169" s="8">
        <v>4.3099999999999996</v>
      </c>
      <c r="J169" s="20">
        <v>0.88977893145854925</v>
      </c>
      <c r="K169" s="8">
        <v>6.8218999999999994</v>
      </c>
      <c r="L169" s="8">
        <v>7.6720666666666668</v>
      </c>
      <c r="M169" s="3">
        <v>104.74000000000001</v>
      </c>
      <c r="N169" s="21">
        <v>255.24733333333333</v>
      </c>
      <c r="O169" s="3">
        <v>93.793333333333337</v>
      </c>
      <c r="P169" s="29">
        <v>1.2889843846227964E-2</v>
      </c>
      <c r="Q169" s="3">
        <v>15.17</v>
      </c>
      <c r="R169" s="3">
        <v>68.923333333333332</v>
      </c>
      <c r="S169" s="21">
        <v>59.786666666666669</v>
      </c>
      <c r="T169" s="3">
        <v>1.0199999999999998</v>
      </c>
    </row>
    <row r="170" spans="1:20" x14ac:dyDescent="0.35">
      <c r="A170" t="s">
        <v>163</v>
      </c>
      <c r="B170" s="4">
        <v>43738</v>
      </c>
      <c r="C170" s="2">
        <v>3114974.1</v>
      </c>
      <c r="D170" s="2">
        <v>5210.8</v>
      </c>
      <c r="E170" s="3">
        <v>25471.11</v>
      </c>
      <c r="F170" s="29">
        <v>9.6538074555261172E-3</v>
      </c>
      <c r="G170" s="3">
        <v>-0.5</v>
      </c>
      <c r="H170" s="8">
        <v>2</v>
      </c>
      <c r="I170" s="8">
        <v>4.2</v>
      </c>
      <c r="J170" s="20">
        <v>0.89959014672915028</v>
      </c>
      <c r="K170" s="8">
        <v>7.0180333333333325</v>
      </c>
      <c r="L170" s="8">
        <v>7.8018333333333336</v>
      </c>
      <c r="M170" s="3">
        <v>104.96999999999998</v>
      </c>
      <c r="N170" s="21">
        <v>256.08933333333334</v>
      </c>
      <c r="O170" s="3">
        <v>94.67</v>
      </c>
      <c r="P170" s="29">
        <v>9.9071187067982184E-3</v>
      </c>
      <c r="Q170" s="3">
        <v>15.950000000000001</v>
      </c>
      <c r="R170" s="3">
        <v>61.893333333333338</v>
      </c>
      <c r="S170" s="21">
        <v>56.406666666666666</v>
      </c>
      <c r="T170" s="3">
        <v>0.80333333333333334</v>
      </c>
    </row>
    <row r="171" spans="1:20" x14ac:dyDescent="0.35">
      <c r="A171" t="s">
        <v>164</v>
      </c>
      <c r="B171" s="4">
        <v>43830</v>
      </c>
      <c r="C171" s="2">
        <v>3111644.4</v>
      </c>
      <c r="D171" s="2">
        <v>5246.4</v>
      </c>
      <c r="E171" s="3">
        <v>25734.799999999999</v>
      </c>
      <c r="F171" s="29">
        <v>1.4899775057967685E-2</v>
      </c>
      <c r="G171" s="3">
        <v>-0.5</v>
      </c>
      <c r="H171" s="8">
        <v>1.75</v>
      </c>
      <c r="I171" s="8">
        <v>4.1500000000000004</v>
      </c>
      <c r="J171" s="20">
        <v>0.90315281616595366</v>
      </c>
      <c r="K171" s="8">
        <v>7.0432333333333332</v>
      </c>
      <c r="L171" s="8">
        <v>7.7997333333333332</v>
      </c>
      <c r="M171" s="3">
        <v>105.30666666666667</v>
      </c>
      <c r="N171" s="21">
        <v>257.88799999999998</v>
      </c>
      <c r="O171" s="3">
        <v>96.3</v>
      </c>
      <c r="P171" s="29">
        <v>1.6717587707026894E-2</v>
      </c>
      <c r="Q171" s="3">
        <v>13.916666666666666</v>
      </c>
      <c r="R171" s="3">
        <v>63.316666666666663</v>
      </c>
      <c r="S171" s="21">
        <v>56.913333333333334</v>
      </c>
      <c r="T171" s="3">
        <v>0.51666666666666661</v>
      </c>
    </row>
    <row r="172" spans="1:20" x14ac:dyDescent="0.35">
      <c r="A172" t="s">
        <v>165</v>
      </c>
      <c r="B172" s="4">
        <v>43921</v>
      </c>
      <c r="C172" s="2">
        <v>3011610.3</v>
      </c>
      <c r="D172" s="2">
        <v>5177.3</v>
      </c>
      <c r="E172" s="3">
        <v>23051.439999999999</v>
      </c>
      <c r="F172" s="29">
        <v>-9.736028052287482E-2</v>
      </c>
      <c r="G172" s="3">
        <v>-0.5</v>
      </c>
      <c r="H172" s="8">
        <v>0.25</v>
      </c>
      <c r="I172" s="8">
        <v>4.05</v>
      </c>
      <c r="J172" s="20">
        <v>0.90720035852558156</v>
      </c>
      <c r="K172" s="8">
        <v>6.9785333333333339</v>
      </c>
      <c r="L172" s="8">
        <v>7.6936333333333335</v>
      </c>
      <c r="M172" s="3">
        <v>105.36</v>
      </c>
      <c r="N172" s="21">
        <v>258.81766666666664</v>
      </c>
      <c r="O172" s="3">
        <v>97.259999999999991</v>
      </c>
      <c r="P172" s="29">
        <v>9.4000831484758515E-3</v>
      </c>
      <c r="Q172" s="3">
        <v>30.436666666666667</v>
      </c>
      <c r="R172" s="3">
        <v>50.423333333333325</v>
      </c>
      <c r="S172" s="21">
        <v>45.84</v>
      </c>
      <c r="T172" s="3">
        <v>0.29666666666666663</v>
      </c>
    </row>
    <row r="173" spans="1:20" x14ac:dyDescent="0.35">
      <c r="A173" t="s">
        <v>166</v>
      </c>
      <c r="B173" s="4">
        <v>44012</v>
      </c>
      <c r="C173" s="2">
        <v>2677667.5</v>
      </c>
      <c r="D173" s="2">
        <v>4769.5</v>
      </c>
      <c r="E173" s="3">
        <v>25911.03</v>
      </c>
      <c r="F173" s="29">
        <v>0.11878634790460092</v>
      </c>
      <c r="G173" s="3">
        <v>-0.5</v>
      </c>
      <c r="H173" s="8">
        <v>0.25</v>
      </c>
      <c r="I173" s="8">
        <v>3.85</v>
      </c>
      <c r="J173" s="20">
        <v>0.90858595556287802</v>
      </c>
      <c r="K173" s="8">
        <v>7.0846666666666662</v>
      </c>
      <c r="L173" s="8">
        <v>7.8024666666666675</v>
      </c>
      <c r="M173" s="3">
        <v>104.95666666666666</v>
      </c>
      <c r="N173" s="21">
        <v>256.29199999999997</v>
      </c>
      <c r="O173" s="3">
        <v>96.373333333333335</v>
      </c>
      <c r="P173" s="29">
        <v>-8.8460125050188639E-3</v>
      </c>
      <c r="Q173" s="3">
        <v>34.49</v>
      </c>
      <c r="R173" s="3">
        <v>29.343333333333334</v>
      </c>
      <c r="S173" s="21">
        <v>27.826666666666664</v>
      </c>
      <c r="T173" s="3">
        <v>0.16333333333333333</v>
      </c>
    </row>
    <row r="174" spans="1:20" x14ac:dyDescent="0.35">
      <c r="A174" t="s">
        <v>167</v>
      </c>
      <c r="B174" s="4">
        <v>44104</v>
      </c>
      <c r="C174" s="2">
        <v>2984332.5</v>
      </c>
      <c r="D174" s="2">
        <v>5139.7</v>
      </c>
      <c r="E174" s="3">
        <v>26747</v>
      </c>
      <c r="F174" s="29">
        <v>2.5669429947695086E-2</v>
      </c>
      <c r="G174" s="3">
        <v>-0.5</v>
      </c>
      <c r="H174" s="8">
        <v>0.25</v>
      </c>
      <c r="I174" s="8">
        <v>3.85</v>
      </c>
      <c r="J174" s="20">
        <v>0.85509307688141845</v>
      </c>
      <c r="K174" s="8">
        <v>6.9139000000000008</v>
      </c>
      <c r="L174" s="8">
        <v>8.0879666666666665</v>
      </c>
      <c r="M174" s="3">
        <v>104.89666666666666</v>
      </c>
      <c r="N174" s="21">
        <v>259.22166666666664</v>
      </c>
      <c r="O174" s="3">
        <v>96.726666666666674</v>
      </c>
      <c r="P174" s="29">
        <v>4.6430532517965934E-3</v>
      </c>
      <c r="Q174" s="3">
        <v>25.793333333333333</v>
      </c>
      <c r="R174" s="3">
        <v>42.963333333333331</v>
      </c>
      <c r="S174" s="21">
        <v>40.886666666666663</v>
      </c>
      <c r="T174" s="3">
        <v>0.12</v>
      </c>
    </row>
    <row r="175" spans="1:20" x14ac:dyDescent="0.35">
      <c r="A175" t="s">
        <v>168</v>
      </c>
      <c r="B175" s="4">
        <v>44196</v>
      </c>
      <c r="C175" s="2">
        <v>2995715.3</v>
      </c>
      <c r="D175" s="2">
        <v>5198</v>
      </c>
      <c r="E175" s="3">
        <v>27372.34</v>
      </c>
      <c r="F175" s="29">
        <v>2.801606988227472E-2</v>
      </c>
      <c r="G175" s="3">
        <v>-0.5</v>
      </c>
      <c r="H175" s="8">
        <v>0.25</v>
      </c>
      <c r="I175" s="8">
        <v>3.85</v>
      </c>
      <c r="J175" s="20">
        <v>0.83839139519786166</v>
      </c>
      <c r="K175" s="8">
        <v>6.6225333333333332</v>
      </c>
      <c r="L175" s="8">
        <v>7.8993000000000002</v>
      </c>
      <c r="M175" s="3">
        <v>105.04333333333334</v>
      </c>
      <c r="N175" s="21">
        <v>261.0916666666667</v>
      </c>
      <c r="O175" s="3">
        <v>96.350000000000009</v>
      </c>
      <c r="P175" s="29">
        <v>-4.4766482588506863E-3</v>
      </c>
      <c r="Q175" s="3">
        <v>25.603333333333335</v>
      </c>
      <c r="R175" s="3">
        <v>44.20000000000001</v>
      </c>
      <c r="S175" s="21">
        <v>42.506666666666668</v>
      </c>
      <c r="T175" s="3">
        <v>7.6666666666666675E-2</v>
      </c>
    </row>
    <row r="176" spans="1:20" x14ac:dyDescent="0.35">
      <c r="A176" t="s">
        <v>169</v>
      </c>
      <c r="B176" s="4">
        <v>44286</v>
      </c>
      <c r="C176" s="2">
        <v>3020649.8</v>
      </c>
      <c r="D176" s="2">
        <v>5270.5</v>
      </c>
      <c r="E176" s="3">
        <v>27378.6</v>
      </c>
      <c r="F176" s="29">
        <v>6.9882797576177932E-3</v>
      </c>
      <c r="G176" s="3">
        <v>-0.5</v>
      </c>
      <c r="H176" s="8">
        <v>0.25</v>
      </c>
      <c r="I176" s="8">
        <v>3.85</v>
      </c>
      <c r="J176" s="20">
        <v>0.82946617768713871</v>
      </c>
      <c r="K176" s="8">
        <v>6.4793999999999992</v>
      </c>
      <c r="L176" s="8">
        <v>7.8110333333333335</v>
      </c>
      <c r="M176" s="3">
        <v>106.33666666666666</v>
      </c>
      <c r="N176" s="21">
        <v>263.74233333333336</v>
      </c>
      <c r="O176" s="3">
        <v>97.293333333333337</v>
      </c>
      <c r="P176" s="29">
        <v>9.1497291247066761E-3</v>
      </c>
      <c r="Q176" s="3">
        <v>23.296666666666667</v>
      </c>
      <c r="R176" s="3">
        <v>60.82</v>
      </c>
      <c r="S176" s="21">
        <v>57.823333333333331</v>
      </c>
      <c r="T176" s="3">
        <v>6.6666666666666671E-3</v>
      </c>
    </row>
    <row r="177" spans="1:20" x14ac:dyDescent="0.35">
      <c r="A177" t="s">
        <v>170</v>
      </c>
      <c r="B177" s="4">
        <v>44377</v>
      </c>
      <c r="C177" s="2">
        <v>3085678</v>
      </c>
      <c r="D177" s="2">
        <v>5360.2</v>
      </c>
      <c r="E177" s="3">
        <v>28059.75</v>
      </c>
      <c r="F177" s="29">
        <v>2.0850905513737854E-2</v>
      </c>
      <c r="G177" s="3">
        <v>-0.5</v>
      </c>
      <c r="H177" s="8">
        <v>0.25</v>
      </c>
      <c r="I177" s="8">
        <v>3.85</v>
      </c>
      <c r="J177" s="20">
        <v>0.82936872046929</v>
      </c>
      <c r="K177" s="8">
        <v>6.4585333333333343</v>
      </c>
      <c r="L177" s="8">
        <v>7.7850333333333337</v>
      </c>
      <c r="M177" s="3">
        <v>106.90666666666668</v>
      </c>
      <c r="N177" s="21">
        <v>268.5503333333333</v>
      </c>
      <c r="O177" s="3">
        <v>97.43</v>
      </c>
      <c r="P177" s="29">
        <v>1.5991685112930654E-3</v>
      </c>
      <c r="Q177" s="3">
        <v>18.04666666666667</v>
      </c>
      <c r="R177" s="3">
        <v>68.83</v>
      </c>
      <c r="S177" s="21">
        <v>66.089999999999989</v>
      </c>
      <c r="T177" s="3">
        <v>-2.6666666666666668E-2</v>
      </c>
    </row>
    <row r="178" spans="1:20" x14ac:dyDescent="0.35">
      <c r="A178" t="s">
        <v>171</v>
      </c>
      <c r="B178" s="4">
        <v>44469</v>
      </c>
      <c r="C178" s="2">
        <v>3139738.2</v>
      </c>
      <c r="D178" s="2">
        <v>5404.5</v>
      </c>
      <c r="E178" s="3">
        <v>28234.67</v>
      </c>
      <c r="F178" s="29">
        <v>-6.8225185323975807E-4</v>
      </c>
      <c r="G178" s="3">
        <v>-0.5</v>
      </c>
      <c r="H178" s="8">
        <v>0.25</v>
      </c>
      <c r="I178" s="8">
        <v>3.85</v>
      </c>
      <c r="J178" s="20">
        <v>0.84832128528592377</v>
      </c>
      <c r="K178" s="8">
        <v>6.4697999999999993</v>
      </c>
      <c r="L178" s="8">
        <v>7.6260000000000003</v>
      </c>
      <c r="M178" s="3">
        <v>108.05</v>
      </c>
      <c r="N178" s="21">
        <v>272.8296666666667</v>
      </c>
      <c r="O178" s="3">
        <v>97.363333333333344</v>
      </c>
      <c r="P178" s="29">
        <v>3.8770319680793139E-5</v>
      </c>
      <c r="Q178" s="3">
        <v>18.296666666666667</v>
      </c>
      <c r="R178" s="3">
        <v>73.456666666666663</v>
      </c>
      <c r="S178" s="21">
        <v>70.563333333333333</v>
      </c>
      <c r="T178" s="3">
        <v>-0.03</v>
      </c>
    </row>
    <row r="179" spans="1:20" x14ac:dyDescent="0.35">
      <c r="A179" t="s">
        <v>172</v>
      </c>
      <c r="B179" s="4">
        <v>44561</v>
      </c>
      <c r="C179" s="2">
        <v>3164750.8</v>
      </c>
      <c r="D179" s="2">
        <v>5497.2</v>
      </c>
      <c r="E179" s="3">
        <v>28582.02</v>
      </c>
      <c r="F179" s="29">
        <v>1.6355936444243425E-2</v>
      </c>
      <c r="G179" s="3">
        <v>-0.5</v>
      </c>
      <c r="H179" s="8">
        <v>0.25</v>
      </c>
      <c r="I179" s="8">
        <v>3.8</v>
      </c>
      <c r="J179" s="20">
        <v>0.87414344868821647</v>
      </c>
      <c r="K179" s="8">
        <v>6.3917999999999999</v>
      </c>
      <c r="L179" s="8">
        <v>7.3140000000000001</v>
      </c>
      <c r="M179" s="3">
        <v>109.91666666666667</v>
      </c>
      <c r="N179" s="21">
        <v>278.77133333333336</v>
      </c>
      <c r="O179" s="3">
        <v>98.139999999999986</v>
      </c>
      <c r="P179" s="29">
        <v>7.9196135408151798E-3</v>
      </c>
      <c r="Q179" s="3">
        <v>19.240000000000002</v>
      </c>
      <c r="R179" s="3">
        <v>79.7</v>
      </c>
      <c r="S179" s="21">
        <v>77.44</v>
      </c>
      <c r="T179" s="3">
        <v>3.3333333333333333E-2</v>
      </c>
    </row>
    <row r="180" spans="1:20" x14ac:dyDescent="0.35">
      <c r="A180" t="s">
        <v>173</v>
      </c>
      <c r="B180" s="4">
        <v>44651</v>
      </c>
      <c r="C180" s="2">
        <v>3189106.4</v>
      </c>
      <c r="D180" s="2">
        <v>5483.2</v>
      </c>
      <c r="E180" s="3">
        <v>28636.18</v>
      </c>
      <c r="F180" s="29">
        <v>7.4835970085564245E-3</v>
      </c>
      <c r="G180" s="3">
        <v>-0.5</v>
      </c>
      <c r="H180" s="8">
        <v>0.5</v>
      </c>
      <c r="I180" s="8">
        <v>3.7</v>
      </c>
      <c r="J180" s="20">
        <v>0.89085960230839534</v>
      </c>
      <c r="K180" s="8">
        <v>6.3479333333333336</v>
      </c>
      <c r="L180" s="8">
        <v>7.1265000000000001</v>
      </c>
      <c r="M180" s="3">
        <v>112.86</v>
      </c>
      <c r="N180" s="21">
        <v>284.90566666666666</v>
      </c>
      <c r="O180" s="3">
        <v>98.466666666666654</v>
      </c>
      <c r="P180" s="29">
        <v>2.7552343299650662E-3</v>
      </c>
      <c r="Q180" s="3">
        <v>25.3</v>
      </c>
      <c r="R180" s="3">
        <v>100.31</v>
      </c>
      <c r="S180" s="21">
        <v>94.410000000000011</v>
      </c>
      <c r="T180" s="3">
        <v>0.18000000000000002</v>
      </c>
    </row>
    <row r="181" spans="1:20" x14ac:dyDescent="0.35">
      <c r="A181" t="s">
        <v>174</v>
      </c>
      <c r="B181" s="4">
        <v>44742</v>
      </c>
      <c r="C181" s="2">
        <v>3218355.8</v>
      </c>
      <c r="D181" s="2">
        <v>5491.8</v>
      </c>
      <c r="E181" s="3">
        <v>28371.96</v>
      </c>
      <c r="F181" s="29">
        <v>-1.1831075243160516E-2</v>
      </c>
      <c r="G181" s="3">
        <v>-0.5</v>
      </c>
      <c r="H181" s="8">
        <v>1.75</v>
      </c>
      <c r="I181" s="8">
        <v>3.7</v>
      </c>
      <c r="J181" s="20">
        <v>0.93858347730161007</v>
      </c>
      <c r="K181" s="8">
        <v>6.6083999999999996</v>
      </c>
      <c r="L181" s="8">
        <v>7.038966666666667</v>
      </c>
      <c r="M181" s="3">
        <v>115.52666666666666</v>
      </c>
      <c r="N181" s="21">
        <v>291.60533333333331</v>
      </c>
      <c r="O181" s="3">
        <v>99.566666666666663</v>
      </c>
      <c r="P181" s="29">
        <v>1.0917544320202914E-2</v>
      </c>
      <c r="Q181" s="3">
        <v>27.303333333333331</v>
      </c>
      <c r="R181" s="3">
        <v>113.54333333333334</v>
      </c>
      <c r="S181" s="21">
        <v>108.57333333333334</v>
      </c>
      <c r="T181" s="3">
        <v>0.5</v>
      </c>
    </row>
    <row r="182" spans="1:20" x14ac:dyDescent="0.35">
      <c r="A182" t="s">
        <v>175</v>
      </c>
      <c r="B182" s="4">
        <v>44834</v>
      </c>
      <c r="C182" s="2">
        <v>3232605.5</v>
      </c>
      <c r="D182" s="2">
        <v>5531.4</v>
      </c>
      <c r="E182" s="3">
        <v>29339.26</v>
      </c>
      <c r="F182" s="29">
        <v>2.851919524235149E-2</v>
      </c>
      <c r="G182" s="3">
        <v>0.75</v>
      </c>
      <c r="H182" s="8">
        <v>3.25</v>
      </c>
      <c r="I182" s="8">
        <v>3.65</v>
      </c>
      <c r="J182" s="20">
        <v>0.99301250202740066</v>
      </c>
      <c r="K182" s="8">
        <v>6.8517999999999999</v>
      </c>
      <c r="L182" s="8">
        <v>6.8976666666666668</v>
      </c>
      <c r="M182" s="3">
        <v>118.05333333333333</v>
      </c>
      <c r="N182" s="21">
        <v>295.45299999999997</v>
      </c>
      <c r="O182" s="3">
        <v>99.846666666666678</v>
      </c>
      <c r="P182" s="29">
        <v>3.4184395550570725E-3</v>
      </c>
      <c r="Q182" s="3">
        <v>24.83666666666667</v>
      </c>
      <c r="R182" s="3">
        <v>100.73</v>
      </c>
      <c r="S182" s="21">
        <v>92.63</v>
      </c>
      <c r="T182" s="3">
        <v>0.99666666666666659</v>
      </c>
    </row>
    <row r="183" spans="1:20" x14ac:dyDescent="0.35">
      <c r="A183" t="s">
        <v>176</v>
      </c>
      <c r="B183" s="4">
        <v>44926</v>
      </c>
      <c r="C183" s="2">
        <v>3230917.6</v>
      </c>
      <c r="D183" s="2">
        <v>5569.6</v>
      </c>
      <c r="E183" s="3">
        <v>29454.67</v>
      </c>
      <c r="F183" s="29">
        <v>6.7517256829233872E-3</v>
      </c>
      <c r="G183" s="3">
        <v>2</v>
      </c>
      <c r="H183" s="8">
        <v>4.5</v>
      </c>
      <c r="I183" s="8">
        <v>3.65</v>
      </c>
      <c r="J183" s="20">
        <v>0.97988780284657417</v>
      </c>
      <c r="K183" s="8">
        <v>7.1143666666666663</v>
      </c>
      <c r="L183" s="8">
        <v>7.2572333333333328</v>
      </c>
      <c r="M183" s="3">
        <v>120.88333333333333</v>
      </c>
      <c r="N183" s="21">
        <v>298.54166666666669</v>
      </c>
      <c r="O183" s="3">
        <v>99.966666666666654</v>
      </c>
      <c r="P183" s="29">
        <v>1.3646158837408479E-3</v>
      </c>
      <c r="Q183" s="3">
        <v>25.03</v>
      </c>
      <c r="R183" s="3">
        <v>88.606666666666669</v>
      </c>
      <c r="S183" s="21">
        <v>82.783333333333346</v>
      </c>
      <c r="T183" s="3">
        <v>1.6433333333333333</v>
      </c>
    </row>
    <row r="184" spans="1:20" x14ac:dyDescent="0.35">
      <c r="A184" t="s">
        <v>177</v>
      </c>
      <c r="B184" s="4">
        <v>45016</v>
      </c>
      <c r="C184" s="2">
        <v>3231041</v>
      </c>
      <c r="D184" s="2">
        <v>5609.9</v>
      </c>
      <c r="E184" s="3">
        <v>29915.41</v>
      </c>
      <c r="F184" s="29">
        <v>1.8908753054361887E-2</v>
      </c>
      <c r="G184" s="3">
        <v>3</v>
      </c>
      <c r="H184" s="8">
        <v>5</v>
      </c>
      <c r="I184" s="8">
        <v>3.65</v>
      </c>
      <c r="J184" s="20">
        <v>0.93196847585564802</v>
      </c>
      <c r="K184" s="8">
        <v>6.8397666666666668</v>
      </c>
      <c r="L184" s="8">
        <v>7.3408000000000007</v>
      </c>
      <c r="M184" s="3">
        <v>121.94333333333334</v>
      </c>
      <c r="N184" s="21">
        <v>301.23033333333336</v>
      </c>
      <c r="O184" s="3">
        <v>99.766666666666652</v>
      </c>
      <c r="P184" s="29">
        <v>-1.9961099320437888E-3</v>
      </c>
      <c r="Q184" s="3">
        <v>20.643333333333334</v>
      </c>
      <c r="R184" s="3">
        <v>81.186666666666667</v>
      </c>
      <c r="S184" s="21">
        <v>76.11666666666666</v>
      </c>
      <c r="T184" s="3">
        <v>2.27</v>
      </c>
    </row>
    <row r="185" spans="1:20" x14ac:dyDescent="0.35">
      <c r="A185" t="s">
        <v>178</v>
      </c>
      <c r="B185" s="4">
        <v>45107</v>
      </c>
      <c r="C185" s="2">
        <v>3237338</v>
      </c>
      <c r="D185" s="2">
        <v>5645.1</v>
      </c>
      <c r="E185" s="3">
        <v>30306.09</v>
      </c>
      <c r="F185" s="29">
        <v>1.2946778809629234E-2</v>
      </c>
      <c r="G185" s="3">
        <v>3.5</v>
      </c>
      <c r="H185" s="8">
        <v>5.25</v>
      </c>
      <c r="I185" s="8">
        <v>3.55</v>
      </c>
      <c r="J185" s="20">
        <v>0.91813088139340449</v>
      </c>
      <c r="K185" s="8">
        <v>7.0114666666666672</v>
      </c>
      <c r="L185" s="8">
        <v>7.6387333333333336</v>
      </c>
      <c r="M185" s="3">
        <v>122.69000000000001</v>
      </c>
      <c r="N185" s="21">
        <v>303.39766666666668</v>
      </c>
      <c r="O185" s="3">
        <v>99.666666666666671</v>
      </c>
      <c r="P185" s="29">
        <v>-1.8281968927065947E-3</v>
      </c>
      <c r="Q185" s="3">
        <v>16.486666666666668</v>
      </c>
      <c r="R185" s="3">
        <v>78.320000000000007</v>
      </c>
      <c r="S185" s="21">
        <v>73.766666666666666</v>
      </c>
      <c r="T185" s="3">
        <v>2.6999999999999997</v>
      </c>
    </row>
    <row r="186" spans="1:20" x14ac:dyDescent="0.35">
      <c r="A186" t="s">
        <v>179</v>
      </c>
      <c r="B186" s="4">
        <v>45199</v>
      </c>
      <c r="C186" s="2">
        <v>3237922.5</v>
      </c>
      <c r="D186" s="2">
        <v>5710.3</v>
      </c>
      <c r="E186" s="3">
        <v>30806.14</v>
      </c>
      <c r="F186" s="29">
        <v>1.1774417767187946E-2</v>
      </c>
      <c r="G186" s="3">
        <v>4</v>
      </c>
      <c r="H186" s="8">
        <v>5.5</v>
      </c>
      <c r="I186" s="8">
        <v>3.45</v>
      </c>
      <c r="J186" s="20">
        <v>0.91881306503175109</v>
      </c>
      <c r="K186" s="8">
        <v>7.2442666666666655</v>
      </c>
      <c r="L186" s="8">
        <v>7.8848333333333338</v>
      </c>
      <c r="M186" s="3">
        <v>123.75333333333333</v>
      </c>
      <c r="N186" s="21">
        <v>305.98900000000003</v>
      </c>
      <c r="O186" s="3">
        <v>99.74666666666667</v>
      </c>
      <c r="P186" s="29">
        <v>9.9709008953142129E-4</v>
      </c>
      <c r="Q186" s="3">
        <v>14.983333333333334</v>
      </c>
      <c r="R186" s="3">
        <v>86.660000000000011</v>
      </c>
      <c r="S186" s="21">
        <v>82.300000000000011</v>
      </c>
      <c r="T186" s="3">
        <v>2.9833333333333338</v>
      </c>
    </row>
    <row r="187" spans="1:20" x14ac:dyDescent="0.35">
      <c r="A187" t="s">
        <v>180</v>
      </c>
      <c r="B187" s="4">
        <v>45291</v>
      </c>
      <c r="C187" s="2">
        <v>3240423.9</v>
      </c>
      <c r="D187" s="2">
        <v>5758.5</v>
      </c>
      <c r="E187" s="3">
        <v>31040.82</v>
      </c>
      <c r="F187" s="29">
        <v>9.6895999296538401E-3</v>
      </c>
      <c r="G187" s="3">
        <v>4</v>
      </c>
      <c r="H187" s="8">
        <v>5.5</v>
      </c>
      <c r="I187" s="8">
        <v>3.45</v>
      </c>
      <c r="J187" s="20">
        <v>0.92954570312851004</v>
      </c>
      <c r="K187" s="8">
        <v>7.2232999999999992</v>
      </c>
      <c r="L187" s="8">
        <v>7.7718999999999996</v>
      </c>
      <c r="M187" s="3">
        <v>124.2</v>
      </c>
      <c r="N187" s="21">
        <v>308.19499999999999</v>
      </c>
      <c r="O187" s="3">
        <v>99.633333333333326</v>
      </c>
      <c r="P187" s="29">
        <v>-5.443122254146812E-4</v>
      </c>
      <c r="Q187" s="3">
        <v>15.209999999999999</v>
      </c>
      <c r="R187" s="3">
        <v>83.776666666666657</v>
      </c>
      <c r="S187" s="21">
        <v>78.346666666666678</v>
      </c>
      <c r="T187" s="3">
        <v>3.1366666666666667</v>
      </c>
    </row>
    <row r="188" spans="1:20" x14ac:dyDescent="0.35">
      <c r="A188" t="s">
        <v>181</v>
      </c>
      <c r="B188" s="4">
        <v>45382</v>
      </c>
      <c r="C188" s="2">
        <v>3251227.4</v>
      </c>
      <c r="D188" s="2">
        <v>5770.5</v>
      </c>
      <c r="E188" s="3">
        <v>31418.13</v>
      </c>
      <c r="F188" s="29">
        <v>1.3213197884116266E-2</v>
      </c>
      <c r="G188" s="3">
        <v>4</v>
      </c>
      <c r="H188" s="8">
        <v>5.5</v>
      </c>
      <c r="I188" s="8">
        <v>3.45</v>
      </c>
      <c r="J188" s="20">
        <v>0.92103505919952855</v>
      </c>
      <c r="K188" s="8">
        <v>7.1885666666666665</v>
      </c>
      <c r="L188" s="8">
        <v>7.8049666666666662</v>
      </c>
      <c r="M188" s="3">
        <v>125.08999999999999</v>
      </c>
      <c r="N188" s="21">
        <v>311.00333333333333</v>
      </c>
      <c r="O188" s="3">
        <v>99.786666666666676</v>
      </c>
      <c r="P188" s="29">
        <v>2.1134818090578029E-3</v>
      </c>
      <c r="Q188" s="3">
        <v>13.719999999999999</v>
      </c>
      <c r="R188" s="3">
        <v>83.003333333333345</v>
      </c>
      <c r="S188" s="21">
        <v>77.293333333333337</v>
      </c>
      <c r="T188" s="3">
        <v>3.1266666666666665</v>
      </c>
    </row>
    <row r="189" spans="1:20" x14ac:dyDescent="0.35">
      <c r="A189" t="s">
        <v>182</v>
      </c>
      <c r="B189" s="4">
        <v>45473</v>
      </c>
      <c r="C189" s="2">
        <v>3258283.2</v>
      </c>
      <c r="D189" s="2">
        <v>5821.6</v>
      </c>
      <c r="E189" s="3">
        <v>31767.23</v>
      </c>
      <c r="F189" s="29">
        <v>1.275726293607435E-2</v>
      </c>
      <c r="G189" s="3">
        <v>3.75</v>
      </c>
      <c r="H189" s="8">
        <v>5.5</v>
      </c>
      <c r="I189" s="8">
        <v>3.45</v>
      </c>
      <c r="J189" s="20">
        <v>0.92882161330741309</v>
      </c>
      <c r="K189" s="8">
        <v>7.2416000000000009</v>
      </c>
      <c r="L189" s="8">
        <v>7.7971666666666666</v>
      </c>
      <c r="M189" s="3">
        <v>125.74333333333334</v>
      </c>
      <c r="N189" s="21">
        <v>313.08066666666667</v>
      </c>
      <c r="O189" s="3">
        <v>99.946666666666658</v>
      </c>
      <c r="P189" s="29">
        <v>1.2326184812218644E-4</v>
      </c>
      <c r="Q189" s="3">
        <v>13.956666666666669</v>
      </c>
      <c r="R189" s="3">
        <v>84.646666666666661</v>
      </c>
      <c r="S189" s="21">
        <v>81.040000000000006</v>
      </c>
      <c r="T189" s="3">
        <v>3.1033333333333335</v>
      </c>
    </row>
    <row r="190" spans="1:20" x14ac:dyDescent="0.35">
      <c r="A190" t="s">
        <v>183</v>
      </c>
      <c r="B190" s="4">
        <v>45565</v>
      </c>
      <c r="C190" s="2">
        <v>3272596.7</v>
      </c>
      <c r="D190" s="2">
        <v>5869.7</v>
      </c>
      <c r="E190" s="3">
        <v>32212.61</v>
      </c>
      <c r="F190" s="29">
        <v>9.8925321524148922E-3</v>
      </c>
      <c r="G190" s="3">
        <v>3.5</v>
      </c>
      <c r="H190" s="8">
        <v>5</v>
      </c>
      <c r="I190" s="8">
        <v>3.35</v>
      </c>
      <c r="J190" s="20">
        <v>0.91013149276430305</v>
      </c>
      <c r="K190" s="8">
        <v>7.1614666666666666</v>
      </c>
      <c r="L190" s="8">
        <v>7.8699000000000003</v>
      </c>
      <c r="M190" s="3">
        <v>126.34666666666668</v>
      </c>
      <c r="N190" s="21">
        <v>314.12100000000004</v>
      </c>
      <c r="O190" s="3">
        <v>100.22000000000001</v>
      </c>
      <c r="P190" s="29">
        <v>2.8202286776838337E-3</v>
      </c>
      <c r="Q190" s="3">
        <v>17.113333333333333</v>
      </c>
      <c r="R190" s="3">
        <v>79.803333333333327</v>
      </c>
      <c r="S190" s="21">
        <v>75.803333333333327</v>
      </c>
      <c r="T190" s="3">
        <v>3.063333333333333</v>
      </c>
    </row>
    <row r="191" spans="1:20" x14ac:dyDescent="0.35">
      <c r="A191" t="s">
        <v>184</v>
      </c>
      <c r="B191" s="4">
        <v>45657</v>
      </c>
      <c r="C191" s="2">
        <v>3284793.9</v>
      </c>
      <c r="D191" s="2">
        <v>5896.6</v>
      </c>
      <c r="E191" s="3">
        <v>32705.46</v>
      </c>
      <c r="F191" s="29">
        <v>1.7287835566131435E-2</v>
      </c>
      <c r="G191" s="3">
        <v>3</v>
      </c>
      <c r="H191" s="8">
        <v>4.5</v>
      </c>
      <c r="I191" s="8">
        <v>3.1</v>
      </c>
      <c r="J191" s="20">
        <v>0.93711226979837092</v>
      </c>
      <c r="K191" s="8">
        <v>7.1917</v>
      </c>
      <c r="L191" s="8">
        <v>7.6730333333333327</v>
      </c>
      <c r="M191" s="3">
        <v>126.98</v>
      </c>
      <c r="N191" s="21">
        <v>316.58766666666662</v>
      </c>
      <c r="O191" s="3">
        <v>99.850000000000009</v>
      </c>
      <c r="P191" s="29">
        <v>-2.990812833726431E-3</v>
      </c>
      <c r="Q191" s="3">
        <v>17.283333333333335</v>
      </c>
      <c r="R191" s="3">
        <v>74.62</v>
      </c>
      <c r="S191" s="21">
        <v>70.276666666666657</v>
      </c>
      <c r="T191" s="3">
        <v>2.9299999999999997</v>
      </c>
    </row>
    <row r="192" spans="1:20" x14ac:dyDescent="0.35">
      <c r="A192" t="s">
        <v>185</v>
      </c>
      <c r="B192" s="4">
        <v>45747</v>
      </c>
      <c r="C192" s="2">
        <v>3306314.3</v>
      </c>
      <c r="D192" s="2">
        <v>5887.1</v>
      </c>
      <c r="E192" s="3">
        <v>33088.370000000003</v>
      </c>
      <c r="F192" s="29">
        <v>1.1467552153986644E-2</v>
      </c>
      <c r="G192" s="3">
        <v>2.5</v>
      </c>
      <c r="H192" s="8">
        <v>4.5</v>
      </c>
      <c r="I192" s="8">
        <v>3.1</v>
      </c>
      <c r="J192" s="20">
        <v>0.95017774658379428</v>
      </c>
      <c r="K192" s="8">
        <v>7.2727999999999993</v>
      </c>
      <c r="L192" s="8">
        <v>7.6554000000000002</v>
      </c>
      <c r="M192" s="3">
        <v>127.99000000000001</v>
      </c>
      <c r="N192" s="21">
        <v>319.47499999999997</v>
      </c>
      <c r="O192" s="3">
        <v>99.686666666666667</v>
      </c>
      <c r="P192" s="29">
        <v>-6.6895575022439123E-4</v>
      </c>
      <c r="Q192" s="3">
        <v>18.523333333333337</v>
      </c>
      <c r="R192" s="3">
        <v>75.833333333333329</v>
      </c>
      <c r="S192" s="21">
        <v>71.416666666666671</v>
      </c>
      <c r="T192" s="3">
        <v>2.94</v>
      </c>
    </row>
    <row r="193" spans="1:20" x14ac:dyDescent="0.35">
      <c r="A193" t="s">
        <v>186</v>
      </c>
      <c r="B193" s="4">
        <v>45838</v>
      </c>
      <c r="C193" s="2">
        <v>3310395</v>
      </c>
      <c r="D193" s="2">
        <v>5942.8</v>
      </c>
      <c r="E193" s="3">
        <v>33442.21</v>
      </c>
      <c r="F193" s="29">
        <v>1.3024531789013621E-2</v>
      </c>
      <c r="G193" s="3">
        <v>2</v>
      </c>
      <c r="H193" s="8">
        <v>4.5</v>
      </c>
      <c r="I193" s="8">
        <v>3</v>
      </c>
      <c r="J193" s="20">
        <v>0.88214044910946443</v>
      </c>
      <c r="K193" s="8">
        <v>7.231233333333333</v>
      </c>
      <c r="L193" s="8">
        <v>8.1966000000000001</v>
      </c>
      <c r="M193" s="3">
        <v>128.26666666666668</v>
      </c>
      <c r="N193" s="21">
        <v>320.78566666666666</v>
      </c>
      <c r="O193" s="3">
        <v>99.953333333333333</v>
      </c>
      <c r="P193" s="29">
        <v>1.0203130712739064E-3</v>
      </c>
      <c r="Q193" s="3">
        <v>23.61</v>
      </c>
      <c r="R193" s="3">
        <v>68.006666666666661</v>
      </c>
      <c r="S193" s="21">
        <v>63.743333333333339</v>
      </c>
      <c r="T193" s="3">
        <v>2.9633333333333334</v>
      </c>
    </row>
    <row r="194" spans="1:20" x14ac:dyDescent="0.35">
      <c r="A194" t="s">
        <v>569</v>
      </c>
      <c r="B194" s="4">
        <v>45930</v>
      </c>
      <c r="C194" s="2">
        <v>3319134.1</v>
      </c>
      <c r="D194" s="2">
        <v>6006.7</v>
      </c>
      <c r="E194" s="3">
        <v>33786.879999999997</v>
      </c>
      <c r="F194" s="29">
        <v>6.3353626642597095E-3</v>
      </c>
      <c r="G194" s="3">
        <v>2</v>
      </c>
      <c r="H194" s="8">
        <v>4.25</v>
      </c>
      <c r="I194" s="8">
        <v>3</v>
      </c>
      <c r="J194" s="20">
        <v>0.856151433782537</v>
      </c>
      <c r="K194" s="8">
        <v>7.1567666666666669</v>
      </c>
      <c r="L194" s="8">
        <v>8.3593999999999991</v>
      </c>
      <c r="M194" s="3">
        <v>129.03333333333333</v>
      </c>
      <c r="N194" s="21">
        <v>323.23500000000001</v>
      </c>
      <c r="O194" s="3">
        <v>100</v>
      </c>
      <c r="P194" s="29">
        <v>1.5488050397271668E-4</v>
      </c>
      <c r="Q194" s="3">
        <v>15.973333333333331</v>
      </c>
      <c r="R194" s="3">
        <v>68.953333333333333</v>
      </c>
      <c r="S194" s="21">
        <v>64.929999999999993</v>
      </c>
      <c r="T194" s="3">
        <v>2.9833333333333329</v>
      </c>
    </row>
    <row r="195" spans="1:20" x14ac:dyDescent="0.35">
      <c r="A195" t="s">
        <v>589</v>
      </c>
      <c r="B195" s="4">
        <v>46022</v>
      </c>
      <c r="C195" s="2">
        <v>3324699.5</v>
      </c>
      <c r="D195" s="2">
        <v>6013.9</v>
      </c>
      <c r="E195" s="3">
        <v>34161.29</v>
      </c>
      <c r="F195" s="29">
        <v>1.3099932545375448E-2</v>
      </c>
      <c r="G195" s="3">
        <v>2</v>
      </c>
      <c r="H195" s="8">
        <v>3.75</v>
      </c>
      <c r="I195" s="8">
        <v>3</v>
      </c>
      <c r="J195" s="20">
        <v>0.85961511019979175</v>
      </c>
      <c r="K195" s="8">
        <v>7.0900333333333334</v>
      </c>
      <c r="L195" s="8">
        <v>8.2483333333333331</v>
      </c>
      <c r="M195" s="3">
        <v>129.6</v>
      </c>
      <c r="N195" s="21" t="e">
        <v>#N/A</v>
      </c>
      <c r="O195" s="3">
        <v>100.36666666666667</v>
      </c>
      <c r="P195" s="29">
        <v>4.8052796272084718E-3</v>
      </c>
      <c r="Q195" s="3">
        <v>17.803333333333331</v>
      </c>
      <c r="R195" s="3">
        <v>63.606666666666662</v>
      </c>
      <c r="S195" s="21">
        <v>59.139999999999993</v>
      </c>
      <c r="T195" s="3">
        <v>3.0566666666666666</v>
      </c>
    </row>
    <row r="196" spans="1:20" x14ac:dyDescent="0.35">
      <c r="A196" t="s">
        <v>1374</v>
      </c>
      <c r="B196" s="4">
        <v>46112</v>
      </c>
      <c r="C196" s="2">
        <v>3317365.2</v>
      </c>
      <c r="D196" s="2">
        <v>6038.2</v>
      </c>
      <c r="E196" s="3">
        <v>34725</v>
      </c>
      <c r="F196" s="29">
        <v>1.6040765933381215E-2</v>
      </c>
      <c r="G196" s="3">
        <v>2</v>
      </c>
      <c r="H196" s="8">
        <v>3.75</v>
      </c>
      <c r="I196" s="8">
        <v>3</v>
      </c>
      <c r="J196" s="20">
        <v>0.85420171859691085</v>
      </c>
      <c r="K196" s="8">
        <v>6.9225666666666656</v>
      </c>
      <c r="L196" s="8">
        <v>8.1063666666666663</v>
      </c>
      <c r="M196" s="3" t="e">
        <v>#N/A</v>
      </c>
      <c r="N196" s="21">
        <v>328.11366666666669</v>
      </c>
      <c r="O196" s="3">
        <v>100.50666666666666</v>
      </c>
      <c r="P196" s="29">
        <v>2.1913592336703942E-3</v>
      </c>
      <c r="Q196" s="3">
        <v>20.330000000000002</v>
      </c>
      <c r="R196" s="3">
        <v>80.206666666666663</v>
      </c>
      <c r="S196" s="21">
        <v>71.926666666666662</v>
      </c>
      <c r="T196" s="3">
        <v>3.1166666666666671</v>
      </c>
    </row>
  </sheetData>
  <hyperlinks>
    <hyperlink ref="N2" r:id="rId1" xr:uid="{133A7DB8-6B34-4355-9D29-ABF90B76F302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F751E-018A-4581-8A51-60E569E42EB7}">
  <dimension ref="A1:D568"/>
  <sheetViews>
    <sheetView topLeftCell="A534" workbookViewId="0">
      <selection activeCell="D563" sqref="D563"/>
    </sheetView>
  </sheetViews>
  <sheetFormatPr baseColWidth="10" defaultRowHeight="14.5" x14ac:dyDescent="0.35"/>
  <sheetData>
    <row r="1" spans="1:3" x14ac:dyDescent="0.35">
      <c r="C1" s="5" t="s">
        <v>525</v>
      </c>
    </row>
    <row r="2" spans="1:3" x14ac:dyDescent="0.35">
      <c r="A2" s="1" t="s">
        <v>596</v>
      </c>
      <c r="B2" s="1" t="s">
        <v>4</v>
      </c>
      <c r="C2" s="24" t="s">
        <v>546</v>
      </c>
    </row>
    <row r="3" spans="1:3" x14ac:dyDescent="0.35">
      <c r="A3" t="s">
        <v>195</v>
      </c>
      <c r="C3" t="s">
        <v>551</v>
      </c>
    </row>
    <row r="4" spans="1:3" x14ac:dyDescent="0.35">
      <c r="A4" t="s">
        <v>194</v>
      </c>
      <c r="C4" t="s">
        <v>1152</v>
      </c>
    </row>
    <row r="5" spans="1:3" x14ac:dyDescent="0.35">
      <c r="A5" t="s">
        <v>193</v>
      </c>
      <c r="C5" t="s">
        <v>1389</v>
      </c>
    </row>
    <row r="6" spans="1:3" x14ac:dyDescent="0.35">
      <c r="A6" t="s">
        <v>192</v>
      </c>
      <c r="C6" t="s">
        <v>549</v>
      </c>
    </row>
    <row r="7" spans="1:3" x14ac:dyDescent="0.35">
      <c r="A7" t="s">
        <v>191</v>
      </c>
      <c r="C7" t="s">
        <v>548</v>
      </c>
    </row>
    <row r="8" spans="1:3" x14ac:dyDescent="0.35">
      <c r="A8" t="s">
        <v>190</v>
      </c>
      <c r="C8" t="s">
        <v>528</v>
      </c>
    </row>
    <row r="9" spans="1:3" x14ac:dyDescent="0.35">
      <c r="A9" t="s">
        <v>189</v>
      </c>
      <c r="C9" t="s">
        <v>1151</v>
      </c>
    </row>
    <row r="10" spans="1:3" x14ac:dyDescent="0.35">
      <c r="A10" t="s">
        <v>188</v>
      </c>
      <c r="C10" t="s">
        <v>221</v>
      </c>
    </row>
    <row r="11" spans="1:3" x14ac:dyDescent="0.35">
      <c r="A11" t="s">
        <v>187</v>
      </c>
      <c r="C11" t="s">
        <v>196</v>
      </c>
    </row>
    <row r="12" spans="1:3" x14ac:dyDescent="0.35">
      <c r="A12" s="4" t="s">
        <v>597</v>
      </c>
      <c r="B12" s="4">
        <v>29251</v>
      </c>
      <c r="C12" s="21">
        <v>78</v>
      </c>
    </row>
    <row r="13" spans="1:3" x14ac:dyDescent="0.35">
      <c r="A13" s="4" t="s">
        <v>598</v>
      </c>
      <c r="B13" s="4">
        <v>29280</v>
      </c>
      <c r="C13" s="21">
        <v>79</v>
      </c>
    </row>
    <row r="14" spans="1:3" x14ac:dyDescent="0.35">
      <c r="A14" s="4" t="s">
        <v>599</v>
      </c>
      <c r="B14" s="4">
        <v>29311</v>
      </c>
      <c r="C14" s="21">
        <v>80.099999999999994</v>
      </c>
    </row>
    <row r="15" spans="1:3" x14ac:dyDescent="0.35">
      <c r="A15" s="4" t="s">
        <v>600</v>
      </c>
      <c r="B15" s="4">
        <v>29341</v>
      </c>
      <c r="C15" s="21">
        <v>80.900000000000006</v>
      </c>
    </row>
    <row r="16" spans="1:3" x14ac:dyDescent="0.35">
      <c r="A16" s="4" t="s">
        <v>601</v>
      </c>
      <c r="B16" s="4">
        <v>29372</v>
      </c>
      <c r="C16" s="21">
        <v>81.7</v>
      </c>
    </row>
    <row r="17" spans="1:3" x14ac:dyDescent="0.35">
      <c r="A17" s="4" t="s">
        <v>602</v>
      </c>
      <c r="B17" s="4">
        <v>29402</v>
      </c>
      <c r="C17" s="21">
        <v>82.5</v>
      </c>
    </row>
    <row r="18" spans="1:3" x14ac:dyDescent="0.35">
      <c r="A18" s="4" t="s">
        <v>603</v>
      </c>
      <c r="B18" s="4">
        <v>29433</v>
      </c>
      <c r="C18" s="21">
        <v>82.6</v>
      </c>
    </row>
    <row r="19" spans="1:3" x14ac:dyDescent="0.35">
      <c r="A19" s="4" t="s">
        <v>604</v>
      </c>
      <c r="B19" s="4">
        <v>29464</v>
      </c>
      <c r="C19" s="21">
        <v>83.2</v>
      </c>
    </row>
    <row r="20" spans="1:3" x14ac:dyDescent="0.35">
      <c r="A20" s="4" t="s">
        <v>605</v>
      </c>
      <c r="B20" s="4">
        <v>29494</v>
      </c>
      <c r="C20" s="21">
        <v>83.9</v>
      </c>
    </row>
    <row r="21" spans="1:3" x14ac:dyDescent="0.35">
      <c r="A21" s="4" t="s">
        <v>606</v>
      </c>
      <c r="B21" s="4">
        <v>29525</v>
      </c>
      <c r="C21" s="21">
        <v>84.7</v>
      </c>
    </row>
    <row r="22" spans="1:3" x14ac:dyDescent="0.35">
      <c r="A22" s="4" t="s">
        <v>607</v>
      </c>
      <c r="B22" s="4">
        <v>29555</v>
      </c>
      <c r="C22" s="21">
        <v>85.6</v>
      </c>
    </row>
    <row r="23" spans="1:3" x14ac:dyDescent="0.35">
      <c r="A23" s="4" t="s">
        <v>608</v>
      </c>
      <c r="B23" s="4">
        <v>29586</v>
      </c>
      <c r="C23" s="21">
        <v>86.4</v>
      </c>
    </row>
    <row r="24" spans="1:3" x14ac:dyDescent="0.35">
      <c r="A24" s="4" t="s">
        <v>609</v>
      </c>
      <c r="B24" s="4">
        <v>29617</v>
      </c>
      <c r="C24" s="21">
        <v>87.2</v>
      </c>
    </row>
    <row r="25" spans="1:3" x14ac:dyDescent="0.35">
      <c r="A25" s="4" t="s">
        <v>610</v>
      </c>
      <c r="B25" s="4">
        <v>29645</v>
      </c>
      <c r="C25" s="21">
        <v>88</v>
      </c>
    </row>
    <row r="26" spans="1:3" x14ac:dyDescent="0.35">
      <c r="A26" s="4" t="s">
        <v>611</v>
      </c>
      <c r="B26" s="4">
        <v>29676</v>
      </c>
      <c r="C26" s="21">
        <v>88.6</v>
      </c>
    </row>
    <row r="27" spans="1:3" x14ac:dyDescent="0.35">
      <c r="A27" s="4" t="s">
        <v>612</v>
      </c>
      <c r="B27" s="4">
        <v>29706</v>
      </c>
      <c r="C27" s="21">
        <v>89.1</v>
      </c>
    </row>
    <row r="28" spans="1:3" x14ac:dyDescent="0.35">
      <c r="A28" s="4" t="s">
        <v>613</v>
      </c>
      <c r="B28" s="4">
        <v>29737</v>
      </c>
      <c r="C28" s="21">
        <v>89.7</v>
      </c>
    </row>
    <row r="29" spans="1:3" x14ac:dyDescent="0.35">
      <c r="A29" s="4" t="s">
        <v>614</v>
      </c>
      <c r="B29" s="4">
        <v>29767</v>
      </c>
      <c r="C29" s="21">
        <v>90.5</v>
      </c>
    </row>
    <row r="30" spans="1:3" x14ac:dyDescent="0.35">
      <c r="A30" s="4" t="s">
        <v>615</v>
      </c>
      <c r="B30" s="4">
        <v>29798</v>
      </c>
      <c r="C30" s="21">
        <v>91.5</v>
      </c>
    </row>
    <row r="31" spans="1:3" x14ac:dyDescent="0.35">
      <c r="A31" s="4" t="s">
        <v>616</v>
      </c>
      <c r="B31" s="4">
        <v>29829</v>
      </c>
      <c r="C31" s="21">
        <v>92.2</v>
      </c>
    </row>
    <row r="32" spans="1:3" x14ac:dyDescent="0.35">
      <c r="A32" s="4" t="s">
        <v>617</v>
      </c>
      <c r="B32" s="4">
        <v>29859</v>
      </c>
      <c r="C32" s="21">
        <v>93.1</v>
      </c>
    </row>
    <row r="33" spans="1:3" x14ac:dyDescent="0.35">
      <c r="A33" s="4" t="s">
        <v>618</v>
      </c>
      <c r="B33" s="4">
        <v>29890</v>
      </c>
      <c r="C33" s="21">
        <v>93.4</v>
      </c>
    </row>
    <row r="34" spans="1:3" x14ac:dyDescent="0.35">
      <c r="A34" s="4" t="s">
        <v>619</v>
      </c>
      <c r="B34" s="4">
        <v>29920</v>
      </c>
      <c r="C34" s="21">
        <v>93.8</v>
      </c>
    </row>
    <row r="35" spans="1:3" x14ac:dyDescent="0.35">
      <c r="A35" s="4" t="s">
        <v>620</v>
      </c>
      <c r="B35" s="4">
        <v>29951</v>
      </c>
      <c r="C35" s="21">
        <v>94.1</v>
      </c>
    </row>
    <row r="36" spans="1:3" x14ac:dyDescent="0.35">
      <c r="A36" s="4" t="s">
        <v>621</v>
      </c>
      <c r="B36" s="4">
        <v>29982</v>
      </c>
      <c r="C36" s="21">
        <v>94.4</v>
      </c>
    </row>
    <row r="37" spans="1:3" x14ac:dyDescent="0.35">
      <c r="A37" s="4" t="s">
        <v>622</v>
      </c>
      <c r="B37" s="4">
        <v>30010</v>
      </c>
      <c r="C37" s="21">
        <v>94.7</v>
      </c>
    </row>
    <row r="38" spans="1:3" x14ac:dyDescent="0.35">
      <c r="A38" s="4" t="s">
        <v>623</v>
      </c>
      <c r="B38" s="4">
        <v>30041</v>
      </c>
      <c r="C38" s="21">
        <v>94.7</v>
      </c>
    </row>
    <row r="39" spans="1:3" x14ac:dyDescent="0.35">
      <c r="A39" s="4" t="s">
        <v>624</v>
      </c>
      <c r="B39" s="4">
        <v>30071</v>
      </c>
      <c r="C39" s="21">
        <v>95</v>
      </c>
    </row>
    <row r="40" spans="1:3" x14ac:dyDescent="0.35">
      <c r="A40" s="4" t="s">
        <v>625</v>
      </c>
      <c r="B40" s="4">
        <v>30102</v>
      </c>
      <c r="C40" s="21">
        <v>95.9</v>
      </c>
    </row>
    <row r="41" spans="1:3" x14ac:dyDescent="0.35">
      <c r="A41" s="4" t="s">
        <v>626</v>
      </c>
      <c r="B41" s="4">
        <v>30132</v>
      </c>
      <c r="C41" s="21">
        <v>97</v>
      </c>
    </row>
    <row r="42" spans="1:3" x14ac:dyDescent="0.35">
      <c r="A42" s="4" t="s">
        <v>627</v>
      </c>
      <c r="B42" s="4">
        <v>30163</v>
      </c>
      <c r="C42" s="21">
        <v>97.5</v>
      </c>
    </row>
    <row r="43" spans="1:3" x14ac:dyDescent="0.35">
      <c r="A43" s="4" t="s">
        <v>628</v>
      </c>
      <c r="B43" s="4">
        <v>30194</v>
      </c>
      <c r="C43" s="21">
        <v>97.7</v>
      </c>
    </row>
    <row r="44" spans="1:3" x14ac:dyDescent="0.35">
      <c r="A44" s="4" t="s">
        <v>629</v>
      </c>
      <c r="B44" s="4">
        <v>30224</v>
      </c>
      <c r="C44" s="21">
        <v>97.7</v>
      </c>
    </row>
    <row r="45" spans="1:3" x14ac:dyDescent="0.35">
      <c r="A45" s="4" t="s">
        <v>630</v>
      </c>
      <c r="B45" s="4">
        <v>30255</v>
      </c>
      <c r="C45" s="21">
        <v>98.1</v>
      </c>
    </row>
    <row r="46" spans="1:3" x14ac:dyDescent="0.35">
      <c r="A46" s="4" t="s">
        <v>631</v>
      </c>
      <c r="B46" s="4">
        <v>30285</v>
      </c>
      <c r="C46" s="21">
        <v>98</v>
      </c>
    </row>
    <row r="47" spans="1:3" x14ac:dyDescent="0.35">
      <c r="A47" s="4" t="s">
        <v>632</v>
      </c>
      <c r="B47" s="4">
        <v>30316</v>
      </c>
      <c r="C47" s="21">
        <v>97.7</v>
      </c>
    </row>
    <row r="48" spans="1:3" x14ac:dyDescent="0.35">
      <c r="A48" s="4" t="s">
        <v>633</v>
      </c>
      <c r="B48" s="4">
        <v>30347</v>
      </c>
      <c r="C48" s="21">
        <v>97.9</v>
      </c>
    </row>
    <row r="49" spans="1:3" x14ac:dyDescent="0.35">
      <c r="A49" s="4" t="s">
        <v>634</v>
      </c>
      <c r="B49" s="4">
        <v>30375</v>
      </c>
      <c r="C49" s="21">
        <v>98</v>
      </c>
    </row>
    <row r="50" spans="1:3" x14ac:dyDescent="0.35">
      <c r="A50" s="4" t="s">
        <v>635</v>
      </c>
      <c r="B50" s="4">
        <v>30406</v>
      </c>
      <c r="C50" s="21">
        <v>98.1</v>
      </c>
    </row>
    <row r="51" spans="1:3" x14ac:dyDescent="0.35">
      <c r="A51" s="4" t="s">
        <v>636</v>
      </c>
      <c r="B51" s="4">
        <v>30436</v>
      </c>
      <c r="C51" s="21">
        <v>98.8</v>
      </c>
    </row>
    <row r="52" spans="1:3" x14ac:dyDescent="0.35">
      <c r="A52" s="4" t="s">
        <v>637</v>
      </c>
      <c r="B52" s="4">
        <v>30467</v>
      </c>
      <c r="C52" s="21">
        <v>99.2</v>
      </c>
    </row>
    <row r="53" spans="1:3" x14ac:dyDescent="0.35">
      <c r="A53" s="4" t="s">
        <v>638</v>
      </c>
      <c r="B53" s="4">
        <v>30497</v>
      </c>
      <c r="C53" s="21">
        <v>99.4</v>
      </c>
    </row>
    <row r="54" spans="1:3" x14ac:dyDescent="0.35">
      <c r="A54" s="4" t="s">
        <v>639</v>
      </c>
      <c r="B54" s="4">
        <v>30528</v>
      </c>
      <c r="C54" s="21">
        <v>99.8</v>
      </c>
    </row>
    <row r="55" spans="1:3" x14ac:dyDescent="0.35">
      <c r="A55" s="4" t="s">
        <v>640</v>
      </c>
      <c r="B55" s="4">
        <v>30559</v>
      </c>
      <c r="C55" s="21">
        <v>100.1</v>
      </c>
    </row>
    <row r="56" spans="1:3" x14ac:dyDescent="0.35">
      <c r="A56" s="4" t="s">
        <v>641</v>
      </c>
      <c r="B56" s="4">
        <v>30589</v>
      </c>
      <c r="C56" s="21">
        <v>100.4</v>
      </c>
    </row>
    <row r="57" spans="1:3" x14ac:dyDescent="0.35">
      <c r="A57" s="4" t="s">
        <v>642</v>
      </c>
      <c r="B57" s="4">
        <v>30620</v>
      </c>
      <c r="C57" s="21">
        <v>100.8</v>
      </c>
    </row>
    <row r="58" spans="1:3" x14ac:dyDescent="0.35">
      <c r="A58" s="4" t="s">
        <v>643</v>
      </c>
      <c r="B58" s="4">
        <v>30650</v>
      </c>
      <c r="C58" s="21">
        <v>101.1</v>
      </c>
    </row>
    <row r="59" spans="1:3" x14ac:dyDescent="0.35">
      <c r="A59" s="4" t="s">
        <v>644</v>
      </c>
      <c r="B59" s="4">
        <v>30681</v>
      </c>
      <c r="C59" s="21">
        <v>101.4</v>
      </c>
    </row>
    <row r="60" spans="1:3" x14ac:dyDescent="0.35">
      <c r="A60" s="4" t="s">
        <v>645</v>
      </c>
      <c r="B60" s="4">
        <v>30712</v>
      </c>
      <c r="C60" s="21">
        <v>102.1</v>
      </c>
    </row>
    <row r="61" spans="1:3" x14ac:dyDescent="0.35">
      <c r="A61" s="4" t="s">
        <v>646</v>
      </c>
      <c r="B61" s="4">
        <v>30741</v>
      </c>
      <c r="C61" s="21">
        <v>102.6</v>
      </c>
    </row>
    <row r="62" spans="1:3" x14ac:dyDescent="0.35">
      <c r="A62" s="4" t="s">
        <v>647</v>
      </c>
      <c r="B62" s="4">
        <v>30772</v>
      </c>
      <c r="C62" s="21">
        <v>102.9</v>
      </c>
    </row>
    <row r="63" spans="1:3" x14ac:dyDescent="0.35">
      <c r="A63" s="4" t="s">
        <v>648</v>
      </c>
      <c r="B63" s="4">
        <v>30802</v>
      </c>
      <c r="C63" s="21">
        <v>103.3</v>
      </c>
    </row>
    <row r="64" spans="1:3" x14ac:dyDescent="0.35">
      <c r="A64" s="4" t="s">
        <v>649</v>
      </c>
      <c r="B64" s="4">
        <v>30833</v>
      </c>
      <c r="C64" s="21">
        <v>103.5</v>
      </c>
    </row>
    <row r="65" spans="1:3" x14ac:dyDescent="0.35">
      <c r="A65" s="4" t="s">
        <v>650</v>
      </c>
      <c r="B65" s="4">
        <v>30863</v>
      </c>
      <c r="C65" s="21">
        <v>103.7</v>
      </c>
    </row>
    <row r="66" spans="1:3" x14ac:dyDescent="0.35">
      <c r="A66" s="4" t="s">
        <v>651</v>
      </c>
      <c r="B66" s="4">
        <v>30894</v>
      </c>
      <c r="C66" s="21">
        <v>104.1</v>
      </c>
    </row>
    <row r="67" spans="1:3" x14ac:dyDescent="0.35">
      <c r="A67" s="4" t="s">
        <v>652</v>
      </c>
      <c r="B67" s="4">
        <v>30925</v>
      </c>
      <c r="C67" s="21">
        <v>104.4</v>
      </c>
    </row>
    <row r="68" spans="1:3" x14ac:dyDescent="0.35">
      <c r="A68" s="4" t="s">
        <v>653</v>
      </c>
      <c r="B68" s="4">
        <v>30955</v>
      </c>
      <c r="C68" s="21">
        <v>104.7</v>
      </c>
    </row>
    <row r="69" spans="1:3" x14ac:dyDescent="0.35">
      <c r="A69" s="4" t="s">
        <v>654</v>
      </c>
      <c r="B69" s="4">
        <v>30986</v>
      </c>
      <c r="C69" s="21">
        <v>105.1</v>
      </c>
    </row>
    <row r="70" spans="1:3" x14ac:dyDescent="0.35">
      <c r="A70" s="4" t="s">
        <v>655</v>
      </c>
      <c r="B70" s="4">
        <v>31016</v>
      </c>
      <c r="C70" s="21">
        <v>105.3</v>
      </c>
    </row>
    <row r="71" spans="1:3" x14ac:dyDescent="0.35">
      <c r="A71" s="4" t="s">
        <v>656</v>
      </c>
      <c r="B71" s="4">
        <v>31047</v>
      </c>
      <c r="C71" s="21">
        <v>105.5</v>
      </c>
    </row>
    <row r="72" spans="1:3" x14ac:dyDescent="0.35">
      <c r="A72" s="4" t="s">
        <v>657</v>
      </c>
      <c r="B72" s="4">
        <v>31078</v>
      </c>
      <c r="C72" s="21">
        <v>105.7</v>
      </c>
    </row>
    <row r="73" spans="1:3" x14ac:dyDescent="0.35">
      <c r="A73" s="4" t="s">
        <v>658</v>
      </c>
      <c r="B73" s="4">
        <v>31106</v>
      </c>
      <c r="C73" s="21">
        <v>106.3</v>
      </c>
    </row>
    <row r="74" spans="1:3" x14ac:dyDescent="0.35">
      <c r="A74" s="4" t="s">
        <v>659</v>
      </c>
      <c r="B74" s="4">
        <v>31137</v>
      </c>
      <c r="C74" s="21">
        <v>106.8</v>
      </c>
    </row>
    <row r="75" spans="1:3" x14ac:dyDescent="0.35">
      <c r="A75" s="4" t="s">
        <v>660</v>
      </c>
      <c r="B75" s="4">
        <v>31167</v>
      </c>
      <c r="C75" s="21">
        <v>107</v>
      </c>
    </row>
    <row r="76" spans="1:3" x14ac:dyDescent="0.35">
      <c r="A76" s="4" t="s">
        <v>661</v>
      </c>
      <c r="B76" s="4">
        <v>31198</v>
      </c>
      <c r="C76" s="21">
        <v>107.2</v>
      </c>
    </row>
    <row r="77" spans="1:3" x14ac:dyDescent="0.35">
      <c r="A77" s="4" t="s">
        <v>662</v>
      </c>
      <c r="B77" s="4">
        <v>31228</v>
      </c>
      <c r="C77" s="21">
        <v>107.5</v>
      </c>
    </row>
    <row r="78" spans="1:3" x14ac:dyDescent="0.35">
      <c r="A78" s="4" t="s">
        <v>663</v>
      </c>
      <c r="B78" s="4">
        <v>31259</v>
      </c>
      <c r="C78" s="21">
        <v>107.7</v>
      </c>
    </row>
    <row r="79" spans="1:3" x14ac:dyDescent="0.35">
      <c r="A79" s="4" t="s">
        <v>664</v>
      </c>
      <c r="B79" s="4">
        <v>31290</v>
      </c>
      <c r="C79" s="21">
        <v>107.9</v>
      </c>
    </row>
    <row r="80" spans="1:3" x14ac:dyDescent="0.35">
      <c r="A80" s="4" t="s">
        <v>665</v>
      </c>
      <c r="B80" s="4">
        <v>31320</v>
      </c>
      <c r="C80" s="21">
        <v>108.1</v>
      </c>
    </row>
    <row r="81" spans="1:3" x14ac:dyDescent="0.35">
      <c r="A81" s="4" t="s">
        <v>666</v>
      </c>
      <c r="B81" s="4">
        <v>31351</v>
      </c>
      <c r="C81" s="21">
        <v>108.5</v>
      </c>
    </row>
    <row r="82" spans="1:3" x14ac:dyDescent="0.35">
      <c r="A82" s="4" t="s">
        <v>667</v>
      </c>
      <c r="B82" s="4">
        <v>31381</v>
      </c>
      <c r="C82" s="21">
        <v>109</v>
      </c>
    </row>
    <row r="83" spans="1:3" x14ac:dyDescent="0.35">
      <c r="A83" s="4" t="s">
        <v>668</v>
      </c>
      <c r="B83" s="4">
        <v>31412</v>
      </c>
      <c r="C83" s="21">
        <v>109.5</v>
      </c>
    </row>
    <row r="84" spans="1:3" x14ac:dyDescent="0.35">
      <c r="A84" s="4" t="s">
        <v>669</v>
      </c>
      <c r="B84" s="4">
        <v>31443</v>
      </c>
      <c r="C84" s="21">
        <v>109.9</v>
      </c>
    </row>
    <row r="85" spans="1:3" x14ac:dyDescent="0.35">
      <c r="A85" s="4" t="s">
        <v>670</v>
      </c>
      <c r="B85" s="4">
        <v>31471</v>
      </c>
      <c r="C85" s="21">
        <v>109.7</v>
      </c>
    </row>
    <row r="86" spans="1:3" x14ac:dyDescent="0.35">
      <c r="A86" s="4" t="s">
        <v>671</v>
      </c>
      <c r="B86" s="4">
        <v>31502</v>
      </c>
      <c r="C86" s="21">
        <v>109.1</v>
      </c>
    </row>
    <row r="87" spans="1:3" x14ac:dyDescent="0.35">
      <c r="A87" s="4" t="s">
        <v>672</v>
      </c>
      <c r="B87" s="4">
        <v>31532</v>
      </c>
      <c r="C87" s="21">
        <v>108.7</v>
      </c>
    </row>
    <row r="88" spans="1:3" x14ac:dyDescent="0.35">
      <c r="A88" s="4" t="s">
        <v>673</v>
      </c>
      <c r="B88" s="4">
        <v>31563</v>
      </c>
      <c r="C88" s="21">
        <v>109</v>
      </c>
    </row>
    <row r="89" spans="1:3" x14ac:dyDescent="0.35">
      <c r="A89" s="4" t="s">
        <v>674</v>
      </c>
      <c r="B89" s="4">
        <v>31593</v>
      </c>
      <c r="C89" s="21">
        <v>109.4</v>
      </c>
    </row>
    <row r="90" spans="1:3" x14ac:dyDescent="0.35">
      <c r="A90" s="4" t="s">
        <v>675</v>
      </c>
      <c r="B90" s="4">
        <v>31624</v>
      </c>
      <c r="C90" s="21">
        <v>109.5</v>
      </c>
    </row>
    <row r="91" spans="1:3" x14ac:dyDescent="0.35">
      <c r="A91" s="4" t="s">
        <v>676</v>
      </c>
      <c r="B91" s="4">
        <v>31655</v>
      </c>
      <c r="C91" s="21">
        <v>109.6</v>
      </c>
    </row>
    <row r="92" spans="1:3" x14ac:dyDescent="0.35">
      <c r="A92" s="4" t="s">
        <v>677</v>
      </c>
      <c r="B92" s="4">
        <v>31685</v>
      </c>
      <c r="C92" s="21">
        <v>110</v>
      </c>
    </row>
    <row r="93" spans="1:3" x14ac:dyDescent="0.35">
      <c r="A93" s="4" t="s">
        <v>678</v>
      </c>
      <c r="B93" s="4">
        <v>31716</v>
      </c>
      <c r="C93" s="21">
        <v>110.2</v>
      </c>
    </row>
    <row r="94" spans="1:3" x14ac:dyDescent="0.35">
      <c r="A94" s="4" t="s">
        <v>679</v>
      </c>
      <c r="B94" s="4">
        <v>31746</v>
      </c>
      <c r="C94" s="21">
        <v>110.4</v>
      </c>
    </row>
    <row r="95" spans="1:3" x14ac:dyDescent="0.35">
      <c r="A95" s="4" t="s">
        <v>680</v>
      </c>
      <c r="B95" s="4">
        <v>31777</v>
      </c>
      <c r="C95" s="21">
        <v>110.8</v>
      </c>
    </row>
    <row r="96" spans="1:3" x14ac:dyDescent="0.35">
      <c r="A96" s="4" t="s">
        <v>681</v>
      </c>
      <c r="B96" s="4">
        <v>31808</v>
      </c>
      <c r="C96" s="21">
        <v>111.4</v>
      </c>
    </row>
    <row r="97" spans="1:3" x14ac:dyDescent="0.35">
      <c r="A97" s="4" t="s">
        <v>682</v>
      </c>
      <c r="B97" s="4">
        <v>31836</v>
      </c>
      <c r="C97" s="21">
        <v>111.8</v>
      </c>
    </row>
    <row r="98" spans="1:3" x14ac:dyDescent="0.35">
      <c r="A98" s="4" t="s">
        <v>683</v>
      </c>
      <c r="B98" s="4">
        <v>31867</v>
      </c>
      <c r="C98" s="21">
        <v>112.2</v>
      </c>
    </row>
    <row r="99" spans="1:3" x14ac:dyDescent="0.35">
      <c r="A99" s="4" t="s">
        <v>684</v>
      </c>
      <c r="B99" s="4">
        <v>31897</v>
      </c>
      <c r="C99" s="21">
        <v>112.7</v>
      </c>
    </row>
    <row r="100" spans="1:3" x14ac:dyDescent="0.35">
      <c r="A100" s="4" t="s">
        <v>685</v>
      </c>
      <c r="B100" s="4">
        <v>31928</v>
      </c>
      <c r="C100" s="21">
        <v>113</v>
      </c>
    </row>
    <row r="101" spans="1:3" x14ac:dyDescent="0.35">
      <c r="A101" s="4" t="s">
        <v>686</v>
      </c>
      <c r="B101" s="4">
        <v>31958</v>
      </c>
      <c r="C101" s="21">
        <v>113.5</v>
      </c>
    </row>
    <row r="102" spans="1:3" x14ac:dyDescent="0.35">
      <c r="A102" s="4" t="s">
        <v>687</v>
      </c>
      <c r="B102" s="4">
        <v>31989</v>
      </c>
      <c r="C102" s="21">
        <v>113.8</v>
      </c>
    </row>
    <row r="103" spans="1:3" x14ac:dyDescent="0.35">
      <c r="A103" s="4" t="s">
        <v>688</v>
      </c>
      <c r="B103" s="4">
        <v>32020</v>
      </c>
      <c r="C103" s="21">
        <v>114.3</v>
      </c>
    </row>
    <row r="104" spans="1:3" x14ac:dyDescent="0.35">
      <c r="A104" s="4" t="s">
        <v>689</v>
      </c>
      <c r="B104" s="4">
        <v>32050</v>
      </c>
      <c r="C104" s="21">
        <v>114.7</v>
      </c>
    </row>
    <row r="105" spans="1:3" x14ac:dyDescent="0.35">
      <c r="A105" s="4" t="s">
        <v>690</v>
      </c>
      <c r="B105" s="4">
        <v>32081</v>
      </c>
      <c r="C105" s="21">
        <v>115</v>
      </c>
    </row>
    <row r="106" spans="1:3" x14ac:dyDescent="0.35">
      <c r="A106" s="4" t="s">
        <v>691</v>
      </c>
      <c r="B106" s="4">
        <v>32111</v>
      </c>
      <c r="C106" s="21">
        <v>115.4</v>
      </c>
    </row>
    <row r="107" spans="1:3" x14ac:dyDescent="0.35">
      <c r="A107" s="4" t="s">
        <v>692</v>
      </c>
      <c r="B107" s="4">
        <v>32142</v>
      </c>
      <c r="C107" s="21">
        <v>115.6</v>
      </c>
    </row>
    <row r="108" spans="1:3" x14ac:dyDescent="0.35">
      <c r="A108" s="4" t="s">
        <v>693</v>
      </c>
      <c r="B108" s="4">
        <v>32173</v>
      </c>
      <c r="C108" s="21">
        <v>116</v>
      </c>
    </row>
    <row r="109" spans="1:3" x14ac:dyDescent="0.35">
      <c r="A109" s="4" t="s">
        <v>694</v>
      </c>
      <c r="B109" s="4">
        <v>32202</v>
      </c>
      <c r="C109" s="21">
        <v>116.2</v>
      </c>
    </row>
    <row r="110" spans="1:3" x14ac:dyDescent="0.35">
      <c r="A110" s="4" t="s">
        <v>695</v>
      </c>
      <c r="B110" s="4">
        <v>32233</v>
      </c>
      <c r="C110" s="21">
        <v>116.5</v>
      </c>
    </row>
    <row r="111" spans="1:3" x14ac:dyDescent="0.35">
      <c r="A111" s="4" t="s">
        <v>696</v>
      </c>
      <c r="B111" s="4">
        <v>32263</v>
      </c>
      <c r="C111" s="21">
        <v>117.2</v>
      </c>
    </row>
    <row r="112" spans="1:3" x14ac:dyDescent="0.35">
      <c r="A112" s="4" t="s">
        <v>697</v>
      </c>
      <c r="B112" s="4">
        <v>32294</v>
      </c>
      <c r="C112" s="21">
        <v>117.5</v>
      </c>
    </row>
    <row r="113" spans="1:3" x14ac:dyDescent="0.35">
      <c r="A113" s="4" t="s">
        <v>698</v>
      </c>
      <c r="B113" s="4">
        <v>32324</v>
      </c>
      <c r="C113" s="21">
        <v>118</v>
      </c>
    </row>
    <row r="114" spans="1:3" x14ac:dyDescent="0.35">
      <c r="A114" s="4" t="s">
        <v>699</v>
      </c>
      <c r="B114" s="4">
        <v>32355</v>
      </c>
      <c r="C114" s="21">
        <v>118.5</v>
      </c>
    </row>
    <row r="115" spans="1:3" x14ac:dyDescent="0.35">
      <c r="A115" s="4" t="s">
        <v>700</v>
      </c>
      <c r="B115" s="4">
        <v>32386</v>
      </c>
      <c r="C115" s="21">
        <v>119</v>
      </c>
    </row>
    <row r="116" spans="1:3" x14ac:dyDescent="0.35">
      <c r="A116" s="4" t="s">
        <v>701</v>
      </c>
      <c r="B116" s="4">
        <v>32416</v>
      </c>
      <c r="C116" s="21">
        <v>119.5</v>
      </c>
    </row>
    <row r="117" spans="1:3" x14ac:dyDescent="0.35">
      <c r="A117" s="4" t="s">
        <v>702</v>
      </c>
      <c r="B117" s="4">
        <v>32447</v>
      </c>
      <c r="C117" s="21">
        <v>119.9</v>
      </c>
    </row>
    <row r="118" spans="1:3" x14ac:dyDescent="0.35">
      <c r="A118" s="4" t="s">
        <v>703</v>
      </c>
      <c r="B118" s="4">
        <v>32477</v>
      </c>
      <c r="C118" s="21">
        <v>120.3</v>
      </c>
    </row>
    <row r="119" spans="1:3" x14ac:dyDescent="0.35">
      <c r="A119" s="4" t="s">
        <v>704</v>
      </c>
      <c r="B119" s="4">
        <v>32508</v>
      </c>
      <c r="C119" s="21">
        <v>120.7</v>
      </c>
    </row>
    <row r="120" spans="1:3" x14ac:dyDescent="0.35">
      <c r="A120" s="4" t="s">
        <v>705</v>
      </c>
      <c r="B120" s="4">
        <v>32539</v>
      </c>
      <c r="C120" s="21">
        <v>121.2</v>
      </c>
    </row>
    <row r="121" spans="1:3" x14ac:dyDescent="0.35">
      <c r="A121" s="4" t="s">
        <v>706</v>
      </c>
      <c r="B121" s="4">
        <v>32567</v>
      </c>
      <c r="C121" s="21">
        <v>121.6</v>
      </c>
    </row>
    <row r="122" spans="1:3" x14ac:dyDescent="0.35">
      <c r="A122" s="4" t="s">
        <v>707</v>
      </c>
      <c r="B122" s="4">
        <v>32598</v>
      </c>
      <c r="C122" s="21">
        <v>122.2</v>
      </c>
    </row>
    <row r="123" spans="1:3" x14ac:dyDescent="0.35">
      <c r="A123" s="4" t="s">
        <v>708</v>
      </c>
      <c r="B123" s="4">
        <v>32628</v>
      </c>
      <c r="C123" s="21">
        <v>123.1</v>
      </c>
    </row>
    <row r="124" spans="1:3" x14ac:dyDescent="0.35">
      <c r="A124" s="4" t="s">
        <v>709</v>
      </c>
      <c r="B124" s="4">
        <v>32659</v>
      </c>
      <c r="C124" s="21">
        <v>123.7</v>
      </c>
    </row>
    <row r="125" spans="1:3" x14ac:dyDescent="0.35">
      <c r="A125" s="4" t="s">
        <v>710</v>
      </c>
      <c r="B125" s="4">
        <v>32689</v>
      </c>
      <c r="C125" s="21">
        <v>124.1</v>
      </c>
    </row>
    <row r="126" spans="1:3" x14ac:dyDescent="0.35">
      <c r="A126" s="4" t="s">
        <v>711</v>
      </c>
      <c r="B126" s="4">
        <v>32720</v>
      </c>
      <c r="C126" s="21">
        <v>124.5</v>
      </c>
    </row>
    <row r="127" spans="1:3" x14ac:dyDescent="0.35">
      <c r="A127" s="4" t="s">
        <v>712</v>
      </c>
      <c r="B127" s="4">
        <v>32751</v>
      </c>
      <c r="C127" s="21">
        <v>124.5</v>
      </c>
    </row>
    <row r="128" spans="1:3" x14ac:dyDescent="0.35">
      <c r="A128" s="4" t="s">
        <v>713</v>
      </c>
      <c r="B128" s="4">
        <v>32781</v>
      </c>
      <c r="C128" s="21">
        <v>124.8</v>
      </c>
    </row>
    <row r="129" spans="1:3" x14ac:dyDescent="0.35">
      <c r="A129" s="4" t="s">
        <v>714</v>
      </c>
      <c r="B129" s="4">
        <v>32812</v>
      </c>
      <c r="C129" s="21">
        <v>125.4</v>
      </c>
    </row>
    <row r="130" spans="1:3" x14ac:dyDescent="0.35">
      <c r="A130" s="4" t="s">
        <v>715</v>
      </c>
      <c r="B130" s="4">
        <v>32842</v>
      </c>
      <c r="C130" s="21">
        <v>125.9</v>
      </c>
    </row>
    <row r="131" spans="1:3" x14ac:dyDescent="0.35">
      <c r="A131" s="4" t="s">
        <v>716</v>
      </c>
      <c r="B131" s="4">
        <v>32873</v>
      </c>
      <c r="C131" s="21">
        <v>126.3</v>
      </c>
    </row>
    <row r="132" spans="1:3" x14ac:dyDescent="0.35">
      <c r="A132" s="4" t="s">
        <v>717</v>
      </c>
      <c r="B132" s="4">
        <v>32904</v>
      </c>
      <c r="C132" s="21">
        <v>127.5</v>
      </c>
    </row>
    <row r="133" spans="1:3" x14ac:dyDescent="0.35">
      <c r="A133" s="4" t="s">
        <v>718</v>
      </c>
      <c r="B133" s="4">
        <v>32932</v>
      </c>
      <c r="C133" s="21">
        <v>128</v>
      </c>
    </row>
    <row r="134" spans="1:3" x14ac:dyDescent="0.35">
      <c r="A134" s="4" t="s">
        <v>719</v>
      </c>
      <c r="B134" s="4">
        <v>32963</v>
      </c>
      <c r="C134" s="21">
        <v>128.6</v>
      </c>
    </row>
    <row r="135" spans="1:3" x14ac:dyDescent="0.35">
      <c r="A135" s="4" t="s">
        <v>720</v>
      </c>
      <c r="B135" s="4">
        <v>32993</v>
      </c>
      <c r="C135" s="21">
        <v>128.9</v>
      </c>
    </row>
    <row r="136" spans="1:3" x14ac:dyDescent="0.35">
      <c r="A136" s="4" t="s">
        <v>721</v>
      </c>
      <c r="B136" s="4">
        <v>33024</v>
      </c>
      <c r="C136" s="21">
        <v>129.1</v>
      </c>
    </row>
    <row r="137" spans="1:3" x14ac:dyDescent="0.35">
      <c r="A137" s="4" t="s">
        <v>722</v>
      </c>
      <c r="B137" s="4">
        <v>33054</v>
      </c>
      <c r="C137" s="21">
        <v>129.9</v>
      </c>
    </row>
    <row r="138" spans="1:3" x14ac:dyDescent="0.35">
      <c r="A138" s="4" t="s">
        <v>723</v>
      </c>
      <c r="B138" s="4">
        <v>33085</v>
      </c>
      <c r="C138" s="21">
        <v>130.5</v>
      </c>
    </row>
    <row r="139" spans="1:3" x14ac:dyDescent="0.35">
      <c r="A139" s="4" t="s">
        <v>724</v>
      </c>
      <c r="B139" s="4">
        <v>33116</v>
      </c>
      <c r="C139" s="21">
        <v>131.6</v>
      </c>
    </row>
    <row r="140" spans="1:3" x14ac:dyDescent="0.35">
      <c r="A140" s="4" t="s">
        <v>725</v>
      </c>
      <c r="B140" s="4">
        <v>33146</v>
      </c>
      <c r="C140" s="21">
        <v>132.5</v>
      </c>
    </row>
    <row r="141" spans="1:3" x14ac:dyDescent="0.35">
      <c r="A141" s="4" t="s">
        <v>726</v>
      </c>
      <c r="B141" s="4">
        <v>33177</v>
      </c>
      <c r="C141" s="21">
        <v>133.4</v>
      </c>
    </row>
    <row r="142" spans="1:3" x14ac:dyDescent="0.35">
      <c r="A142" s="4" t="s">
        <v>727</v>
      </c>
      <c r="B142" s="4">
        <v>33207</v>
      </c>
      <c r="C142" s="21">
        <v>133.69999999999999</v>
      </c>
    </row>
    <row r="143" spans="1:3" x14ac:dyDescent="0.35">
      <c r="A143" s="4" t="s">
        <v>728</v>
      </c>
      <c r="B143" s="4">
        <v>33238</v>
      </c>
      <c r="C143" s="21">
        <v>134.19999999999999</v>
      </c>
    </row>
    <row r="144" spans="1:3" x14ac:dyDescent="0.35">
      <c r="A144" s="4" t="s">
        <v>729</v>
      </c>
      <c r="B144" s="4">
        <v>33269</v>
      </c>
      <c r="C144" s="21">
        <v>134.69999999999999</v>
      </c>
    </row>
    <row r="145" spans="1:3" x14ac:dyDescent="0.35">
      <c r="A145" s="4" t="s">
        <v>730</v>
      </c>
      <c r="B145" s="4">
        <v>33297</v>
      </c>
      <c r="C145" s="21">
        <v>134.80000000000001</v>
      </c>
    </row>
    <row r="146" spans="1:3" x14ac:dyDescent="0.35">
      <c r="A146" s="4" t="s">
        <v>731</v>
      </c>
      <c r="B146" s="4">
        <v>33328</v>
      </c>
      <c r="C146" s="21">
        <v>134.80000000000001</v>
      </c>
    </row>
    <row r="147" spans="1:3" x14ac:dyDescent="0.35">
      <c r="A147" s="4" t="s">
        <v>732</v>
      </c>
      <c r="B147" s="4">
        <v>33358</v>
      </c>
      <c r="C147" s="21">
        <v>135.1</v>
      </c>
    </row>
    <row r="148" spans="1:3" x14ac:dyDescent="0.35">
      <c r="A148" s="4" t="s">
        <v>733</v>
      </c>
      <c r="B148" s="4">
        <v>33389</v>
      </c>
      <c r="C148" s="21">
        <v>135.6</v>
      </c>
    </row>
    <row r="149" spans="1:3" x14ac:dyDescent="0.35">
      <c r="A149" s="4" t="s">
        <v>734</v>
      </c>
      <c r="B149" s="4">
        <v>33419</v>
      </c>
      <c r="C149" s="21">
        <v>136</v>
      </c>
    </row>
    <row r="150" spans="1:3" x14ac:dyDescent="0.35">
      <c r="A150" s="4" t="s">
        <v>735</v>
      </c>
      <c r="B150" s="4">
        <v>33450</v>
      </c>
      <c r="C150" s="21">
        <v>136.19999999999999</v>
      </c>
    </row>
    <row r="151" spans="1:3" x14ac:dyDescent="0.35">
      <c r="A151" s="4" t="s">
        <v>736</v>
      </c>
      <c r="B151" s="4">
        <v>33481</v>
      </c>
      <c r="C151" s="21">
        <v>136.6</v>
      </c>
    </row>
    <row r="152" spans="1:3" x14ac:dyDescent="0.35">
      <c r="A152" s="4" t="s">
        <v>737</v>
      </c>
      <c r="B152" s="4">
        <v>33511</v>
      </c>
      <c r="C152" s="21">
        <v>137</v>
      </c>
    </row>
    <row r="153" spans="1:3" x14ac:dyDescent="0.35">
      <c r="A153" s="4" t="s">
        <v>738</v>
      </c>
      <c r="B153" s="4">
        <v>33542</v>
      </c>
      <c r="C153" s="21">
        <v>137.19999999999999</v>
      </c>
    </row>
    <row r="154" spans="1:3" x14ac:dyDescent="0.35">
      <c r="A154" s="4" t="s">
        <v>739</v>
      </c>
      <c r="B154" s="4">
        <v>33572</v>
      </c>
      <c r="C154" s="21">
        <v>137.80000000000001</v>
      </c>
    </row>
    <row r="155" spans="1:3" x14ac:dyDescent="0.35">
      <c r="A155" s="4" t="s">
        <v>740</v>
      </c>
      <c r="B155" s="4">
        <v>33603</v>
      </c>
      <c r="C155" s="21">
        <v>138.19999999999999</v>
      </c>
    </row>
    <row r="156" spans="1:3" x14ac:dyDescent="0.35">
      <c r="A156" s="4" t="s">
        <v>741</v>
      </c>
      <c r="B156" s="4">
        <v>33634</v>
      </c>
      <c r="C156" s="21">
        <v>138.30000000000001</v>
      </c>
    </row>
    <row r="157" spans="1:3" x14ac:dyDescent="0.35">
      <c r="A157" s="4" t="s">
        <v>742</v>
      </c>
      <c r="B157" s="4">
        <v>33663</v>
      </c>
      <c r="C157" s="21">
        <v>138.6</v>
      </c>
    </row>
    <row r="158" spans="1:3" x14ac:dyDescent="0.35">
      <c r="A158" s="4" t="s">
        <v>743</v>
      </c>
      <c r="B158" s="4">
        <v>33694</v>
      </c>
      <c r="C158" s="21">
        <v>139.1</v>
      </c>
    </row>
    <row r="159" spans="1:3" x14ac:dyDescent="0.35">
      <c r="A159" s="4" t="s">
        <v>744</v>
      </c>
      <c r="B159" s="4">
        <v>33724</v>
      </c>
      <c r="C159" s="21">
        <v>139.4</v>
      </c>
    </row>
    <row r="160" spans="1:3" x14ac:dyDescent="0.35">
      <c r="A160" s="4" t="s">
        <v>745</v>
      </c>
      <c r="B160" s="4">
        <v>33755</v>
      </c>
      <c r="C160" s="21">
        <v>139.69999999999999</v>
      </c>
    </row>
    <row r="161" spans="1:3" x14ac:dyDescent="0.35">
      <c r="A161" s="4" t="s">
        <v>746</v>
      </c>
      <c r="B161" s="4">
        <v>33785</v>
      </c>
      <c r="C161" s="21">
        <v>140.1</v>
      </c>
    </row>
    <row r="162" spans="1:3" x14ac:dyDescent="0.35">
      <c r="A162" s="4" t="s">
        <v>747</v>
      </c>
      <c r="B162" s="4">
        <v>33816</v>
      </c>
      <c r="C162" s="21">
        <v>140.5</v>
      </c>
    </row>
    <row r="163" spans="1:3" x14ac:dyDescent="0.35">
      <c r="A163" s="4" t="s">
        <v>748</v>
      </c>
      <c r="B163" s="4">
        <v>33847</v>
      </c>
      <c r="C163" s="21">
        <v>140.80000000000001</v>
      </c>
    </row>
    <row r="164" spans="1:3" x14ac:dyDescent="0.35">
      <c r="A164" s="4" t="s">
        <v>749</v>
      </c>
      <c r="B164" s="4">
        <v>33877</v>
      </c>
      <c r="C164" s="21">
        <v>141.1</v>
      </c>
    </row>
    <row r="165" spans="1:3" x14ac:dyDescent="0.35">
      <c r="A165" s="4" t="s">
        <v>750</v>
      </c>
      <c r="B165" s="4">
        <v>33908</v>
      </c>
      <c r="C165" s="21">
        <v>141.69999999999999</v>
      </c>
    </row>
    <row r="166" spans="1:3" x14ac:dyDescent="0.35">
      <c r="A166" s="4" t="s">
        <v>751</v>
      </c>
      <c r="B166" s="4">
        <v>33938</v>
      </c>
      <c r="C166" s="21">
        <v>142.1</v>
      </c>
    </row>
    <row r="167" spans="1:3" x14ac:dyDescent="0.35">
      <c r="A167" s="4" t="s">
        <v>752</v>
      </c>
      <c r="B167" s="4">
        <v>33969</v>
      </c>
      <c r="C167" s="21">
        <v>142.30000000000001</v>
      </c>
    </row>
    <row r="168" spans="1:3" x14ac:dyDescent="0.35">
      <c r="A168" s="4" t="s">
        <v>753</v>
      </c>
      <c r="B168" s="4">
        <v>34000</v>
      </c>
      <c r="C168" s="21">
        <v>142.80000000000001</v>
      </c>
    </row>
    <row r="169" spans="1:3" x14ac:dyDescent="0.35">
      <c r="A169" s="4" t="s">
        <v>754</v>
      </c>
      <c r="B169" s="4">
        <v>34028</v>
      </c>
      <c r="C169" s="21">
        <v>143.1</v>
      </c>
    </row>
    <row r="170" spans="1:3" x14ac:dyDescent="0.35">
      <c r="A170" s="4" t="s">
        <v>755</v>
      </c>
      <c r="B170" s="4">
        <v>34059</v>
      </c>
      <c r="C170" s="21">
        <v>143.30000000000001</v>
      </c>
    </row>
    <row r="171" spans="1:3" x14ac:dyDescent="0.35">
      <c r="A171" s="4" t="s">
        <v>756</v>
      </c>
      <c r="B171" s="4">
        <v>34089</v>
      </c>
      <c r="C171" s="21">
        <v>143.80000000000001</v>
      </c>
    </row>
    <row r="172" spans="1:3" x14ac:dyDescent="0.35">
      <c r="A172" s="4" t="s">
        <v>757</v>
      </c>
      <c r="B172" s="4">
        <v>34120</v>
      </c>
      <c r="C172" s="21">
        <v>144.19999999999999</v>
      </c>
    </row>
    <row r="173" spans="1:3" x14ac:dyDescent="0.35">
      <c r="A173" s="4" t="s">
        <v>758</v>
      </c>
      <c r="B173" s="4">
        <v>34150</v>
      </c>
      <c r="C173" s="21">
        <v>144.30000000000001</v>
      </c>
    </row>
    <row r="174" spans="1:3" x14ac:dyDescent="0.35">
      <c r="A174" s="4" t="s">
        <v>759</v>
      </c>
      <c r="B174" s="4">
        <v>34181</v>
      </c>
      <c r="C174" s="21">
        <v>144.5</v>
      </c>
    </row>
    <row r="175" spans="1:3" x14ac:dyDescent="0.35">
      <c r="A175" s="4" t="s">
        <v>760</v>
      </c>
      <c r="B175" s="4">
        <v>34212</v>
      </c>
      <c r="C175" s="21">
        <v>144.80000000000001</v>
      </c>
    </row>
    <row r="176" spans="1:3" x14ac:dyDescent="0.35">
      <c r="A176" s="4" t="s">
        <v>761</v>
      </c>
      <c r="B176" s="4">
        <v>34242</v>
      </c>
      <c r="C176" s="21">
        <v>145</v>
      </c>
    </row>
    <row r="177" spans="1:3" x14ac:dyDescent="0.35">
      <c r="A177" s="4" t="s">
        <v>762</v>
      </c>
      <c r="B177" s="4">
        <v>34273</v>
      </c>
      <c r="C177" s="21">
        <v>145.6</v>
      </c>
    </row>
    <row r="178" spans="1:3" x14ac:dyDescent="0.35">
      <c r="A178" s="4" t="s">
        <v>763</v>
      </c>
      <c r="B178" s="4">
        <v>34303</v>
      </c>
      <c r="C178" s="21">
        <v>146</v>
      </c>
    </row>
    <row r="179" spans="1:3" x14ac:dyDescent="0.35">
      <c r="A179" s="4" t="s">
        <v>764</v>
      </c>
      <c r="B179" s="4">
        <v>34334</v>
      </c>
      <c r="C179" s="21">
        <v>146.30000000000001</v>
      </c>
    </row>
    <row r="180" spans="1:3" x14ac:dyDescent="0.35">
      <c r="A180" s="4" t="s">
        <v>765</v>
      </c>
      <c r="B180" s="4">
        <v>34365</v>
      </c>
      <c r="C180" s="21">
        <v>146.30000000000001</v>
      </c>
    </row>
    <row r="181" spans="1:3" x14ac:dyDescent="0.35">
      <c r="A181" s="4" t="s">
        <v>766</v>
      </c>
      <c r="B181" s="4">
        <v>34393</v>
      </c>
      <c r="C181" s="21">
        <v>146.69999999999999</v>
      </c>
    </row>
    <row r="182" spans="1:3" x14ac:dyDescent="0.35">
      <c r="A182" s="4" t="s">
        <v>767</v>
      </c>
      <c r="B182" s="4">
        <v>34424</v>
      </c>
      <c r="C182" s="21">
        <v>147.1</v>
      </c>
    </row>
    <row r="183" spans="1:3" x14ac:dyDescent="0.35">
      <c r="A183" s="4" t="s">
        <v>768</v>
      </c>
      <c r="B183" s="4">
        <v>34454</v>
      </c>
      <c r="C183" s="21">
        <v>147.19999999999999</v>
      </c>
    </row>
    <row r="184" spans="1:3" x14ac:dyDescent="0.35">
      <c r="A184" s="4" t="s">
        <v>769</v>
      </c>
      <c r="B184" s="4">
        <v>34485</v>
      </c>
      <c r="C184" s="21">
        <v>147.5</v>
      </c>
    </row>
    <row r="185" spans="1:3" x14ac:dyDescent="0.35">
      <c r="A185" s="4" t="s">
        <v>770</v>
      </c>
      <c r="B185" s="4">
        <v>34515</v>
      </c>
      <c r="C185" s="21">
        <v>147.9</v>
      </c>
    </row>
    <row r="186" spans="1:3" x14ac:dyDescent="0.35">
      <c r="A186" s="4" t="s">
        <v>771</v>
      </c>
      <c r="B186" s="4">
        <v>34546</v>
      </c>
      <c r="C186" s="21">
        <v>148.4</v>
      </c>
    </row>
    <row r="187" spans="1:3" x14ac:dyDescent="0.35">
      <c r="A187" s="4" t="s">
        <v>772</v>
      </c>
      <c r="B187" s="4">
        <v>34577</v>
      </c>
      <c r="C187" s="21">
        <v>149</v>
      </c>
    </row>
    <row r="188" spans="1:3" x14ac:dyDescent="0.35">
      <c r="A188" s="4" t="s">
        <v>773</v>
      </c>
      <c r="B188" s="4">
        <v>34607</v>
      </c>
      <c r="C188" s="21">
        <v>149.30000000000001</v>
      </c>
    </row>
    <row r="189" spans="1:3" x14ac:dyDescent="0.35">
      <c r="A189" s="4" t="s">
        <v>774</v>
      </c>
      <c r="B189" s="4">
        <v>34638</v>
      </c>
      <c r="C189" s="21">
        <v>149.4</v>
      </c>
    </row>
    <row r="190" spans="1:3" x14ac:dyDescent="0.35">
      <c r="A190" s="4" t="s">
        <v>775</v>
      </c>
      <c r="B190" s="4">
        <v>34668</v>
      </c>
      <c r="C190" s="21">
        <v>149.80000000000001</v>
      </c>
    </row>
    <row r="191" spans="1:3" x14ac:dyDescent="0.35">
      <c r="A191" s="4" t="s">
        <v>776</v>
      </c>
      <c r="B191" s="4">
        <v>34699</v>
      </c>
      <c r="C191" s="21">
        <v>150.1</v>
      </c>
    </row>
    <row r="192" spans="1:3" x14ac:dyDescent="0.35">
      <c r="A192" s="4" t="s">
        <v>777</v>
      </c>
      <c r="B192" s="4">
        <v>34730</v>
      </c>
      <c r="C192" s="21">
        <v>150.5</v>
      </c>
    </row>
    <row r="193" spans="1:3" x14ac:dyDescent="0.35">
      <c r="A193" s="4" t="s">
        <v>778</v>
      </c>
      <c r="B193" s="4">
        <v>34758</v>
      </c>
      <c r="C193" s="21">
        <v>150.9</v>
      </c>
    </row>
    <row r="194" spans="1:3" x14ac:dyDescent="0.35">
      <c r="A194" s="4" t="s">
        <v>779</v>
      </c>
      <c r="B194" s="4">
        <v>34789</v>
      </c>
      <c r="C194" s="21">
        <v>151.19999999999999</v>
      </c>
    </row>
    <row r="195" spans="1:3" x14ac:dyDescent="0.35">
      <c r="A195" s="4" t="s">
        <v>780</v>
      </c>
      <c r="B195" s="4">
        <v>34819</v>
      </c>
      <c r="C195" s="21">
        <v>151.80000000000001</v>
      </c>
    </row>
    <row r="196" spans="1:3" x14ac:dyDescent="0.35">
      <c r="A196" s="4" t="s">
        <v>781</v>
      </c>
      <c r="B196" s="4">
        <v>34850</v>
      </c>
      <c r="C196" s="21">
        <v>152.1</v>
      </c>
    </row>
    <row r="197" spans="1:3" x14ac:dyDescent="0.35">
      <c r="A197" s="4" t="s">
        <v>782</v>
      </c>
      <c r="B197" s="4">
        <v>34880</v>
      </c>
      <c r="C197" s="21">
        <v>152.4</v>
      </c>
    </row>
    <row r="198" spans="1:3" x14ac:dyDescent="0.35">
      <c r="A198" s="4" t="s">
        <v>783</v>
      </c>
      <c r="B198" s="4">
        <v>34911</v>
      </c>
      <c r="C198" s="21">
        <v>152.6</v>
      </c>
    </row>
    <row r="199" spans="1:3" x14ac:dyDescent="0.35">
      <c r="A199" s="4" t="s">
        <v>784</v>
      </c>
      <c r="B199" s="4">
        <v>34942</v>
      </c>
      <c r="C199" s="21">
        <v>152.9</v>
      </c>
    </row>
    <row r="200" spans="1:3" x14ac:dyDescent="0.35">
      <c r="A200" s="4" t="s">
        <v>785</v>
      </c>
      <c r="B200" s="4">
        <v>34972</v>
      </c>
      <c r="C200" s="21">
        <v>153.1</v>
      </c>
    </row>
    <row r="201" spans="1:3" x14ac:dyDescent="0.35">
      <c r="A201" s="4" t="s">
        <v>786</v>
      </c>
      <c r="B201" s="4">
        <v>35003</v>
      </c>
      <c r="C201" s="21">
        <v>153.5</v>
      </c>
    </row>
    <row r="202" spans="1:3" x14ac:dyDescent="0.35">
      <c r="A202" s="4" t="s">
        <v>787</v>
      </c>
      <c r="B202" s="4">
        <v>35033</v>
      </c>
      <c r="C202" s="21">
        <v>153.69999999999999</v>
      </c>
    </row>
    <row r="203" spans="1:3" x14ac:dyDescent="0.35">
      <c r="A203" s="4" t="s">
        <v>788</v>
      </c>
      <c r="B203" s="4">
        <v>35064</v>
      </c>
      <c r="C203" s="21">
        <v>153.9</v>
      </c>
    </row>
    <row r="204" spans="1:3" x14ac:dyDescent="0.35">
      <c r="A204" s="4" t="s">
        <v>789</v>
      </c>
      <c r="B204" s="4">
        <v>35095</v>
      </c>
      <c r="C204" s="21">
        <v>154.69999999999999</v>
      </c>
    </row>
    <row r="205" spans="1:3" x14ac:dyDescent="0.35">
      <c r="A205" s="4" t="s">
        <v>790</v>
      </c>
      <c r="B205" s="4">
        <v>35124</v>
      </c>
      <c r="C205" s="21">
        <v>155</v>
      </c>
    </row>
    <row r="206" spans="1:3" x14ac:dyDescent="0.35">
      <c r="A206" s="4" t="s">
        <v>791</v>
      </c>
      <c r="B206" s="4">
        <v>35155</v>
      </c>
      <c r="C206" s="21">
        <v>155.5</v>
      </c>
    </row>
    <row r="207" spans="1:3" x14ac:dyDescent="0.35">
      <c r="A207" s="4" t="s">
        <v>792</v>
      </c>
      <c r="B207" s="4">
        <v>35185</v>
      </c>
      <c r="C207" s="21">
        <v>156.1</v>
      </c>
    </row>
    <row r="208" spans="1:3" x14ac:dyDescent="0.35">
      <c r="A208" s="4" t="s">
        <v>793</v>
      </c>
      <c r="B208" s="4">
        <v>35216</v>
      </c>
      <c r="C208" s="21">
        <v>156.4</v>
      </c>
    </row>
    <row r="209" spans="1:3" x14ac:dyDescent="0.35">
      <c r="A209" s="4" t="s">
        <v>794</v>
      </c>
      <c r="B209" s="4">
        <v>35246</v>
      </c>
      <c r="C209" s="21">
        <v>156.69999999999999</v>
      </c>
    </row>
    <row r="210" spans="1:3" x14ac:dyDescent="0.35">
      <c r="A210" s="4" t="s">
        <v>795</v>
      </c>
      <c r="B210" s="4">
        <v>35277</v>
      </c>
      <c r="C210" s="21">
        <v>157</v>
      </c>
    </row>
    <row r="211" spans="1:3" x14ac:dyDescent="0.35">
      <c r="A211" s="4" t="s">
        <v>796</v>
      </c>
      <c r="B211" s="4">
        <v>35308</v>
      </c>
      <c r="C211" s="21">
        <v>157.19999999999999</v>
      </c>
    </row>
    <row r="212" spans="1:3" x14ac:dyDescent="0.35">
      <c r="A212" s="4" t="s">
        <v>797</v>
      </c>
      <c r="B212" s="4">
        <v>35338</v>
      </c>
      <c r="C212" s="21">
        <v>157.69999999999999</v>
      </c>
    </row>
    <row r="213" spans="1:3" x14ac:dyDescent="0.35">
      <c r="A213" s="4" t="s">
        <v>798</v>
      </c>
      <c r="B213" s="4">
        <v>35369</v>
      </c>
      <c r="C213" s="21">
        <v>158.19999999999999</v>
      </c>
    </row>
    <row r="214" spans="1:3" x14ac:dyDescent="0.35">
      <c r="A214" s="4" t="s">
        <v>799</v>
      </c>
      <c r="B214" s="4">
        <v>35399</v>
      </c>
      <c r="C214" s="21">
        <v>158.69999999999999</v>
      </c>
    </row>
    <row r="215" spans="1:3" x14ac:dyDescent="0.35">
      <c r="A215" s="4" t="s">
        <v>800</v>
      </c>
      <c r="B215" s="4">
        <v>35430</v>
      </c>
      <c r="C215" s="21">
        <v>159.1</v>
      </c>
    </row>
    <row r="216" spans="1:3" x14ac:dyDescent="0.35">
      <c r="A216" s="4" t="s">
        <v>801</v>
      </c>
      <c r="B216" s="4">
        <v>35461</v>
      </c>
      <c r="C216" s="21">
        <v>159.4</v>
      </c>
    </row>
    <row r="217" spans="1:3" x14ac:dyDescent="0.35">
      <c r="A217" s="4" t="s">
        <v>802</v>
      </c>
      <c r="B217" s="4">
        <v>35489</v>
      </c>
      <c r="C217" s="21">
        <v>159.69999999999999</v>
      </c>
    </row>
    <row r="218" spans="1:3" x14ac:dyDescent="0.35">
      <c r="A218" s="4" t="s">
        <v>803</v>
      </c>
      <c r="B218" s="4">
        <v>35520</v>
      </c>
      <c r="C218" s="21">
        <v>159.80000000000001</v>
      </c>
    </row>
    <row r="219" spans="1:3" x14ac:dyDescent="0.35">
      <c r="A219" s="4" t="s">
        <v>804</v>
      </c>
      <c r="B219" s="4">
        <v>35550</v>
      </c>
      <c r="C219" s="21">
        <v>159.9</v>
      </c>
    </row>
    <row r="220" spans="1:3" x14ac:dyDescent="0.35">
      <c r="A220" s="4" t="s">
        <v>805</v>
      </c>
      <c r="B220" s="4">
        <v>35581</v>
      </c>
      <c r="C220" s="21">
        <v>159.9</v>
      </c>
    </row>
    <row r="221" spans="1:3" x14ac:dyDescent="0.35">
      <c r="A221" s="4" t="s">
        <v>806</v>
      </c>
      <c r="B221" s="4">
        <v>35611</v>
      </c>
      <c r="C221" s="21">
        <v>160.19999999999999</v>
      </c>
    </row>
    <row r="222" spans="1:3" x14ac:dyDescent="0.35">
      <c r="A222" s="4" t="s">
        <v>807</v>
      </c>
      <c r="B222" s="4">
        <v>35642</v>
      </c>
      <c r="C222" s="21">
        <v>160.4</v>
      </c>
    </row>
    <row r="223" spans="1:3" x14ac:dyDescent="0.35">
      <c r="A223" s="4" t="s">
        <v>808</v>
      </c>
      <c r="B223" s="4">
        <v>35673</v>
      </c>
      <c r="C223" s="21">
        <v>160.80000000000001</v>
      </c>
    </row>
    <row r="224" spans="1:3" x14ac:dyDescent="0.35">
      <c r="A224" s="4" t="s">
        <v>809</v>
      </c>
      <c r="B224" s="4">
        <v>35703</v>
      </c>
      <c r="C224" s="21">
        <v>161.19999999999999</v>
      </c>
    </row>
    <row r="225" spans="1:3" x14ac:dyDescent="0.35">
      <c r="A225" s="4" t="s">
        <v>810</v>
      </c>
      <c r="B225" s="4">
        <v>35734</v>
      </c>
      <c r="C225" s="21">
        <v>161.5</v>
      </c>
    </row>
    <row r="226" spans="1:3" x14ac:dyDescent="0.35">
      <c r="A226" s="4" t="s">
        <v>811</v>
      </c>
      <c r="B226" s="4">
        <v>35764</v>
      </c>
      <c r="C226" s="21">
        <v>161.69999999999999</v>
      </c>
    </row>
    <row r="227" spans="1:3" x14ac:dyDescent="0.35">
      <c r="A227" s="4" t="s">
        <v>812</v>
      </c>
      <c r="B227" s="4">
        <v>35795</v>
      </c>
      <c r="C227" s="21">
        <v>161.80000000000001</v>
      </c>
    </row>
    <row r="228" spans="1:3" x14ac:dyDescent="0.35">
      <c r="A228" s="4" t="s">
        <v>813</v>
      </c>
      <c r="B228" s="4">
        <v>35826</v>
      </c>
      <c r="C228" s="21">
        <v>162</v>
      </c>
    </row>
    <row r="229" spans="1:3" x14ac:dyDescent="0.35">
      <c r="A229" s="4" t="s">
        <v>814</v>
      </c>
      <c r="B229" s="4">
        <v>35854</v>
      </c>
      <c r="C229" s="21">
        <v>162</v>
      </c>
    </row>
    <row r="230" spans="1:3" x14ac:dyDescent="0.35">
      <c r="A230" s="4" t="s">
        <v>815</v>
      </c>
      <c r="B230" s="4">
        <v>35885</v>
      </c>
      <c r="C230" s="21">
        <v>162</v>
      </c>
    </row>
    <row r="231" spans="1:3" x14ac:dyDescent="0.35">
      <c r="A231" s="4" t="s">
        <v>816</v>
      </c>
      <c r="B231" s="4">
        <v>35915</v>
      </c>
      <c r="C231" s="21">
        <v>162.19999999999999</v>
      </c>
    </row>
    <row r="232" spans="1:3" x14ac:dyDescent="0.35">
      <c r="A232" s="4" t="s">
        <v>817</v>
      </c>
      <c r="B232" s="4">
        <v>35946</v>
      </c>
      <c r="C232" s="21">
        <v>162.6</v>
      </c>
    </row>
    <row r="233" spans="1:3" x14ac:dyDescent="0.35">
      <c r="A233" s="4" t="s">
        <v>818</v>
      </c>
      <c r="B233" s="4">
        <v>35976</v>
      </c>
      <c r="C233" s="21">
        <v>162.80000000000001</v>
      </c>
    </row>
    <row r="234" spans="1:3" x14ac:dyDescent="0.35">
      <c r="A234" s="4" t="s">
        <v>819</v>
      </c>
      <c r="B234" s="4">
        <v>36007</v>
      </c>
      <c r="C234" s="21">
        <v>163.19999999999999</v>
      </c>
    </row>
    <row r="235" spans="1:3" x14ac:dyDescent="0.35">
      <c r="A235" s="4" t="s">
        <v>820</v>
      </c>
      <c r="B235" s="4">
        <v>36038</v>
      </c>
      <c r="C235" s="21">
        <v>163.4</v>
      </c>
    </row>
    <row r="236" spans="1:3" x14ac:dyDescent="0.35">
      <c r="A236" s="4" t="s">
        <v>821</v>
      </c>
      <c r="B236" s="4">
        <v>36068</v>
      </c>
      <c r="C236" s="21">
        <v>163.5</v>
      </c>
    </row>
    <row r="237" spans="1:3" x14ac:dyDescent="0.35">
      <c r="A237" s="4" t="s">
        <v>822</v>
      </c>
      <c r="B237" s="4">
        <v>36099</v>
      </c>
      <c r="C237" s="21">
        <v>163.9</v>
      </c>
    </row>
    <row r="238" spans="1:3" x14ac:dyDescent="0.35">
      <c r="A238" s="4" t="s">
        <v>823</v>
      </c>
      <c r="B238" s="4">
        <v>36129</v>
      </c>
      <c r="C238" s="21">
        <v>164.1</v>
      </c>
    </row>
    <row r="239" spans="1:3" x14ac:dyDescent="0.35">
      <c r="A239" s="4" t="s">
        <v>824</v>
      </c>
      <c r="B239" s="4">
        <v>36160</v>
      </c>
      <c r="C239" s="21">
        <v>164.4</v>
      </c>
    </row>
    <row r="240" spans="1:3" x14ac:dyDescent="0.35">
      <c r="A240" s="4" t="s">
        <v>825</v>
      </c>
      <c r="B240" s="4">
        <v>36191</v>
      </c>
      <c r="C240" s="21">
        <v>164.7</v>
      </c>
    </row>
    <row r="241" spans="1:3" x14ac:dyDescent="0.35">
      <c r="A241" s="4" t="s">
        <v>826</v>
      </c>
      <c r="B241" s="4">
        <v>36219</v>
      </c>
      <c r="C241" s="21">
        <v>164.7</v>
      </c>
    </row>
    <row r="242" spans="1:3" x14ac:dyDescent="0.35">
      <c r="A242" s="4" t="s">
        <v>827</v>
      </c>
      <c r="B242" s="4">
        <v>36250</v>
      </c>
      <c r="C242" s="21">
        <v>164.8</v>
      </c>
    </row>
    <row r="243" spans="1:3" x14ac:dyDescent="0.35">
      <c r="A243" s="4" t="s">
        <v>828</v>
      </c>
      <c r="B243" s="4">
        <v>36280</v>
      </c>
      <c r="C243" s="21">
        <v>165.9</v>
      </c>
    </row>
    <row r="244" spans="1:3" x14ac:dyDescent="0.35">
      <c r="A244" s="4" t="s">
        <v>829</v>
      </c>
      <c r="B244" s="4">
        <v>36311</v>
      </c>
      <c r="C244" s="21">
        <v>166</v>
      </c>
    </row>
    <row r="245" spans="1:3" x14ac:dyDescent="0.35">
      <c r="A245" s="4" t="s">
        <v>830</v>
      </c>
      <c r="B245" s="4">
        <v>36341</v>
      </c>
      <c r="C245" s="21">
        <v>166</v>
      </c>
    </row>
    <row r="246" spans="1:3" x14ac:dyDescent="0.35">
      <c r="A246" s="4" t="s">
        <v>831</v>
      </c>
      <c r="B246" s="4">
        <v>36372</v>
      </c>
      <c r="C246" s="21">
        <v>166.7</v>
      </c>
    </row>
    <row r="247" spans="1:3" x14ac:dyDescent="0.35">
      <c r="A247" s="4" t="s">
        <v>832</v>
      </c>
      <c r="B247" s="4">
        <v>36403</v>
      </c>
      <c r="C247" s="21">
        <v>167.1</v>
      </c>
    </row>
    <row r="248" spans="1:3" x14ac:dyDescent="0.35">
      <c r="A248" s="4" t="s">
        <v>833</v>
      </c>
      <c r="B248" s="4">
        <v>36433</v>
      </c>
      <c r="C248" s="21">
        <v>167.8</v>
      </c>
    </row>
    <row r="249" spans="1:3" x14ac:dyDescent="0.35">
      <c r="A249" s="4" t="s">
        <v>834</v>
      </c>
      <c r="B249" s="4">
        <v>36464</v>
      </c>
      <c r="C249" s="21">
        <v>168.1</v>
      </c>
    </row>
    <row r="250" spans="1:3" x14ac:dyDescent="0.35">
      <c r="A250" s="4" t="s">
        <v>835</v>
      </c>
      <c r="B250" s="4">
        <v>36494</v>
      </c>
      <c r="C250" s="21">
        <v>168.4</v>
      </c>
    </row>
    <row r="251" spans="1:3" x14ac:dyDescent="0.35">
      <c r="A251" s="4" t="s">
        <v>836</v>
      </c>
      <c r="B251" s="4">
        <v>36525</v>
      </c>
      <c r="C251" s="21">
        <v>168.8</v>
      </c>
    </row>
    <row r="252" spans="1:3" x14ac:dyDescent="0.35">
      <c r="A252" s="4" t="s">
        <v>837</v>
      </c>
      <c r="B252" s="4">
        <v>36556</v>
      </c>
      <c r="C252" s="21">
        <v>169.3</v>
      </c>
    </row>
    <row r="253" spans="1:3" x14ac:dyDescent="0.35">
      <c r="A253" s="4" t="s">
        <v>838</v>
      </c>
      <c r="B253" s="4">
        <v>36585</v>
      </c>
      <c r="C253" s="21">
        <v>170</v>
      </c>
    </row>
    <row r="254" spans="1:3" x14ac:dyDescent="0.35">
      <c r="A254" s="4" t="s">
        <v>839</v>
      </c>
      <c r="B254" s="4">
        <v>36616</v>
      </c>
      <c r="C254" s="21">
        <v>171</v>
      </c>
    </row>
    <row r="255" spans="1:3" x14ac:dyDescent="0.35">
      <c r="A255" s="4" t="s">
        <v>840</v>
      </c>
      <c r="B255" s="4">
        <v>36646</v>
      </c>
      <c r="C255" s="21">
        <v>170.9</v>
      </c>
    </row>
    <row r="256" spans="1:3" x14ac:dyDescent="0.35">
      <c r="A256" s="4" t="s">
        <v>841</v>
      </c>
      <c r="B256" s="4">
        <v>36677</v>
      </c>
      <c r="C256" s="21">
        <v>171.2</v>
      </c>
    </row>
    <row r="257" spans="1:3" x14ac:dyDescent="0.35">
      <c r="A257" s="4" t="s">
        <v>842</v>
      </c>
      <c r="B257" s="4">
        <v>36707</v>
      </c>
      <c r="C257" s="21">
        <v>172.2</v>
      </c>
    </row>
    <row r="258" spans="1:3" x14ac:dyDescent="0.35">
      <c r="A258" s="4" t="s">
        <v>843</v>
      </c>
      <c r="B258" s="4">
        <v>36738</v>
      </c>
      <c r="C258" s="21">
        <v>172.7</v>
      </c>
    </row>
    <row r="259" spans="1:3" x14ac:dyDescent="0.35">
      <c r="A259" s="4" t="s">
        <v>844</v>
      </c>
      <c r="B259" s="4">
        <v>36769</v>
      </c>
      <c r="C259" s="21">
        <v>172.7</v>
      </c>
    </row>
    <row r="260" spans="1:3" x14ac:dyDescent="0.35">
      <c r="A260" s="4" t="s">
        <v>845</v>
      </c>
      <c r="B260" s="4">
        <v>36799</v>
      </c>
      <c r="C260" s="21">
        <v>173.6</v>
      </c>
    </row>
    <row r="261" spans="1:3" x14ac:dyDescent="0.35">
      <c r="A261" s="4" t="s">
        <v>846</v>
      </c>
      <c r="B261" s="4">
        <v>36830</v>
      </c>
      <c r="C261" s="21">
        <v>173.9</v>
      </c>
    </row>
    <row r="262" spans="1:3" x14ac:dyDescent="0.35">
      <c r="A262" s="4" t="s">
        <v>847</v>
      </c>
      <c r="B262" s="4">
        <v>36860</v>
      </c>
      <c r="C262" s="21">
        <v>174.2</v>
      </c>
    </row>
    <row r="263" spans="1:3" x14ac:dyDescent="0.35">
      <c r="A263" s="4" t="s">
        <v>848</v>
      </c>
      <c r="B263" s="4">
        <v>36891</v>
      </c>
      <c r="C263" s="21">
        <v>174.6</v>
      </c>
    </row>
    <row r="264" spans="1:3" x14ac:dyDescent="0.35">
      <c r="A264" s="4" t="s">
        <v>849</v>
      </c>
      <c r="B264" s="4">
        <v>36922</v>
      </c>
      <c r="C264" s="21">
        <v>175.6</v>
      </c>
    </row>
    <row r="265" spans="1:3" x14ac:dyDescent="0.35">
      <c r="A265" s="4" t="s">
        <v>850</v>
      </c>
      <c r="B265" s="4">
        <v>36950</v>
      </c>
      <c r="C265" s="21">
        <v>176</v>
      </c>
    </row>
    <row r="266" spans="1:3" x14ac:dyDescent="0.35">
      <c r="A266" s="4" t="s">
        <v>851</v>
      </c>
      <c r="B266" s="4">
        <v>36981</v>
      </c>
      <c r="C266" s="21">
        <v>176.1</v>
      </c>
    </row>
    <row r="267" spans="1:3" x14ac:dyDescent="0.35">
      <c r="A267" s="4" t="s">
        <v>852</v>
      </c>
      <c r="B267" s="4">
        <v>37011</v>
      </c>
      <c r="C267" s="21">
        <v>176.4</v>
      </c>
    </row>
    <row r="268" spans="1:3" x14ac:dyDescent="0.35">
      <c r="A268" s="4" t="s">
        <v>853</v>
      </c>
      <c r="B268" s="4">
        <v>37042</v>
      </c>
      <c r="C268" s="21">
        <v>177.3</v>
      </c>
    </row>
    <row r="269" spans="1:3" x14ac:dyDescent="0.35">
      <c r="A269" s="4" t="s">
        <v>854</v>
      </c>
      <c r="B269" s="4">
        <v>37072</v>
      </c>
      <c r="C269" s="21">
        <v>177.7</v>
      </c>
    </row>
    <row r="270" spans="1:3" x14ac:dyDescent="0.35">
      <c r="A270" s="4" t="s">
        <v>855</v>
      </c>
      <c r="B270" s="4">
        <v>37103</v>
      </c>
      <c r="C270" s="21">
        <v>177.4</v>
      </c>
    </row>
    <row r="271" spans="1:3" x14ac:dyDescent="0.35">
      <c r="A271" s="4" t="s">
        <v>856</v>
      </c>
      <c r="B271" s="4">
        <v>37134</v>
      </c>
      <c r="C271" s="21">
        <v>177.4</v>
      </c>
    </row>
    <row r="272" spans="1:3" x14ac:dyDescent="0.35">
      <c r="A272" s="4" t="s">
        <v>857</v>
      </c>
      <c r="B272" s="4">
        <v>37164</v>
      </c>
      <c r="C272" s="21">
        <v>178.1</v>
      </c>
    </row>
    <row r="273" spans="1:3" x14ac:dyDescent="0.35">
      <c r="A273" s="4" t="s">
        <v>858</v>
      </c>
      <c r="B273" s="4">
        <v>37195</v>
      </c>
      <c r="C273" s="21">
        <v>177.6</v>
      </c>
    </row>
    <row r="274" spans="1:3" x14ac:dyDescent="0.35">
      <c r="A274" s="4" t="s">
        <v>859</v>
      </c>
      <c r="B274" s="4">
        <v>37225</v>
      </c>
      <c r="C274" s="21">
        <v>177.5</v>
      </c>
    </row>
    <row r="275" spans="1:3" x14ac:dyDescent="0.35">
      <c r="A275" s="4" t="s">
        <v>860</v>
      </c>
      <c r="B275" s="4">
        <v>37256</v>
      </c>
      <c r="C275" s="21">
        <v>177.4</v>
      </c>
    </row>
    <row r="276" spans="1:3" x14ac:dyDescent="0.35">
      <c r="A276" s="4" t="s">
        <v>861</v>
      </c>
      <c r="B276" s="4">
        <v>37287</v>
      </c>
      <c r="C276" s="21">
        <v>177.7</v>
      </c>
    </row>
    <row r="277" spans="1:3" x14ac:dyDescent="0.35">
      <c r="A277" s="4" t="s">
        <v>862</v>
      </c>
      <c r="B277" s="4">
        <v>37315</v>
      </c>
      <c r="C277" s="21">
        <v>178</v>
      </c>
    </row>
    <row r="278" spans="1:3" x14ac:dyDescent="0.35">
      <c r="A278" s="4" t="s">
        <v>863</v>
      </c>
      <c r="B278" s="4">
        <v>37346</v>
      </c>
      <c r="C278" s="21">
        <v>178.5</v>
      </c>
    </row>
    <row r="279" spans="1:3" x14ac:dyDescent="0.35">
      <c r="A279" s="4" t="s">
        <v>864</v>
      </c>
      <c r="B279" s="4">
        <v>37376</v>
      </c>
      <c r="C279" s="21">
        <v>179.3</v>
      </c>
    </row>
    <row r="280" spans="1:3" x14ac:dyDescent="0.35">
      <c r="A280" s="4" t="s">
        <v>865</v>
      </c>
      <c r="B280" s="4">
        <v>37407</v>
      </c>
      <c r="C280" s="21">
        <v>179.5</v>
      </c>
    </row>
    <row r="281" spans="1:3" x14ac:dyDescent="0.35">
      <c r="A281" s="4" t="s">
        <v>866</v>
      </c>
      <c r="B281" s="4">
        <v>37437</v>
      </c>
      <c r="C281" s="21">
        <v>179.6</v>
      </c>
    </row>
    <row r="282" spans="1:3" x14ac:dyDescent="0.35">
      <c r="A282" s="4" t="s">
        <v>867</v>
      </c>
      <c r="B282" s="4">
        <v>37468</v>
      </c>
      <c r="C282" s="21">
        <v>180</v>
      </c>
    </row>
    <row r="283" spans="1:3" x14ac:dyDescent="0.35">
      <c r="A283" s="4" t="s">
        <v>868</v>
      </c>
      <c r="B283" s="4">
        <v>37499</v>
      </c>
      <c r="C283" s="21">
        <v>180.5</v>
      </c>
    </row>
    <row r="284" spans="1:3" x14ac:dyDescent="0.35">
      <c r="A284" s="4" t="s">
        <v>869</v>
      </c>
      <c r="B284" s="4">
        <v>37529</v>
      </c>
      <c r="C284" s="21">
        <v>180.8</v>
      </c>
    </row>
    <row r="285" spans="1:3" x14ac:dyDescent="0.35">
      <c r="A285" s="4" t="s">
        <v>870</v>
      </c>
      <c r="B285" s="4">
        <v>37560</v>
      </c>
      <c r="C285" s="21">
        <v>181.2</v>
      </c>
    </row>
    <row r="286" spans="1:3" x14ac:dyDescent="0.35">
      <c r="A286" s="4" t="s">
        <v>871</v>
      </c>
      <c r="B286" s="4">
        <v>37590</v>
      </c>
      <c r="C286" s="21">
        <v>181.5</v>
      </c>
    </row>
    <row r="287" spans="1:3" x14ac:dyDescent="0.35">
      <c r="A287" s="4" t="s">
        <v>872</v>
      </c>
      <c r="B287" s="4">
        <v>37621</v>
      </c>
      <c r="C287" s="21">
        <v>181.8</v>
      </c>
    </row>
    <row r="288" spans="1:3" x14ac:dyDescent="0.35">
      <c r="A288" s="4" t="s">
        <v>873</v>
      </c>
      <c r="B288" s="4">
        <v>37652</v>
      </c>
      <c r="C288" s="21">
        <v>182.6</v>
      </c>
    </row>
    <row r="289" spans="1:3" x14ac:dyDescent="0.35">
      <c r="A289" s="4" t="s">
        <v>874</v>
      </c>
      <c r="B289" s="4">
        <v>37680</v>
      </c>
      <c r="C289" s="21">
        <v>183.6</v>
      </c>
    </row>
    <row r="290" spans="1:3" x14ac:dyDescent="0.35">
      <c r="A290" s="4" t="s">
        <v>875</v>
      </c>
      <c r="B290" s="4">
        <v>37711</v>
      </c>
      <c r="C290" s="21">
        <v>183.9</v>
      </c>
    </row>
    <row r="291" spans="1:3" x14ac:dyDescent="0.35">
      <c r="A291" s="4" t="s">
        <v>876</v>
      </c>
      <c r="B291" s="4">
        <v>37741</v>
      </c>
      <c r="C291" s="21">
        <v>183.2</v>
      </c>
    </row>
    <row r="292" spans="1:3" x14ac:dyDescent="0.35">
      <c r="A292" s="4" t="s">
        <v>877</v>
      </c>
      <c r="B292" s="4">
        <v>37772</v>
      </c>
      <c r="C292" s="21">
        <v>182.9</v>
      </c>
    </row>
    <row r="293" spans="1:3" x14ac:dyDescent="0.35">
      <c r="A293" s="4" t="s">
        <v>878</v>
      </c>
      <c r="B293" s="4">
        <v>37802</v>
      </c>
      <c r="C293" s="21">
        <v>183.1</v>
      </c>
    </row>
    <row r="294" spans="1:3" x14ac:dyDescent="0.35">
      <c r="A294" s="4" t="s">
        <v>879</v>
      </c>
      <c r="B294" s="4">
        <v>37833</v>
      </c>
      <c r="C294" s="21">
        <v>183.7</v>
      </c>
    </row>
    <row r="295" spans="1:3" x14ac:dyDescent="0.35">
      <c r="A295" s="4" t="s">
        <v>880</v>
      </c>
      <c r="B295" s="4">
        <v>37864</v>
      </c>
      <c r="C295" s="21">
        <v>184.5</v>
      </c>
    </row>
    <row r="296" spans="1:3" x14ac:dyDescent="0.35">
      <c r="A296" s="4" t="s">
        <v>881</v>
      </c>
      <c r="B296" s="4">
        <v>37894</v>
      </c>
      <c r="C296" s="21">
        <v>185.1</v>
      </c>
    </row>
    <row r="297" spans="1:3" x14ac:dyDescent="0.35">
      <c r="A297" s="4" t="s">
        <v>882</v>
      </c>
      <c r="B297" s="4">
        <v>37925</v>
      </c>
      <c r="C297" s="21">
        <v>184.9</v>
      </c>
    </row>
    <row r="298" spans="1:3" x14ac:dyDescent="0.35">
      <c r="A298" s="4" t="s">
        <v>883</v>
      </c>
      <c r="B298" s="4">
        <v>37955</v>
      </c>
      <c r="C298" s="21">
        <v>185</v>
      </c>
    </row>
    <row r="299" spans="1:3" x14ac:dyDescent="0.35">
      <c r="A299" s="4" t="s">
        <v>884</v>
      </c>
      <c r="B299" s="4">
        <v>37986</v>
      </c>
      <c r="C299" s="21">
        <v>185.5</v>
      </c>
    </row>
    <row r="300" spans="1:3" x14ac:dyDescent="0.35">
      <c r="A300" s="4" t="s">
        <v>885</v>
      </c>
      <c r="B300" s="4">
        <v>38017</v>
      </c>
      <c r="C300" s="21">
        <v>186.3</v>
      </c>
    </row>
    <row r="301" spans="1:3" x14ac:dyDescent="0.35">
      <c r="A301" s="4" t="s">
        <v>886</v>
      </c>
      <c r="B301" s="4">
        <v>38046</v>
      </c>
      <c r="C301" s="21">
        <v>186.7</v>
      </c>
    </row>
    <row r="302" spans="1:3" x14ac:dyDescent="0.35">
      <c r="A302" s="4" t="s">
        <v>887</v>
      </c>
      <c r="B302" s="4">
        <v>38077</v>
      </c>
      <c r="C302" s="21">
        <v>187.1</v>
      </c>
    </row>
    <row r="303" spans="1:3" x14ac:dyDescent="0.35">
      <c r="A303" s="4" t="s">
        <v>888</v>
      </c>
      <c r="B303" s="4">
        <v>38107</v>
      </c>
      <c r="C303" s="21">
        <v>187.4</v>
      </c>
    </row>
    <row r="304" spans="1:3" x14ac:dyDescent="0.35">
      <c r="A304" s="4" t="s">
        <v>889</v>
      </c>
      <c r="B304" s="4">
        <v>38138</v>
      </c>
      <c r="C304" s="21">
        <v>188.2</v>
      </c>
    </row>
    <row r="305" spans="1:3" x14ac:dyDescent="0.35">
      <c r="A305" s="4" t="s">
        <v>890</v>
      </c>
      <c r="B305" s="4">
        <v>38168</v>
      </c>
      <c r="C305" s="21">
        <v>188.9</v>
      </c>
    </row>
    <row r="306" spans="1:3" x14ac:dyDescent="0.35">
      <c r="A306" s="4" t="s">
        <v>891</v>
      </c>
      <c r="B306" s="4">
        <v>38199</v>
      </c>
      <c r="C306" s="21">
        <v>189.1</v>
      </c>
    </row>
    <row r="307" spans="1:3" x14ac:dyDescent="0.35">
      <c r="A307" s="4" t="s">
        <v>892</v>
      </c>
      <c r="B307" s="4">
        <v>38230</v>
      </c>
      <c r="C307" s="21">
        <v>189.2</v>
      </c>
    </row>
    <row r="308" spans="1:3" x14ac:dyDescent="0.35">
      <c r="A308" s="4" t="s">
        <v>893</v>
      </c>
      <c r="B308" s="4">
        <v>38260</v>
      </c>
      <c r="C308" s="21">
        <v>189.8</v>
      </c>
    </row>
    <row r="309" spans="1:3" x14ac:dyDescent="0.35">
      <c r="A309" s="4" t="s">
        <v>894</v>
      </c>
      <c r="B309" s="4">
        <v>38291</v>
      </c>
      <c r="C309" s="21">
        <v>190.8</v>
      </c>
    </row>
    <row r="310" spans="1:3" x14ac:dyDescent="0.35">
      <c r="A310" s="4" t="s">
        <v>895</v>
      </c>
      <c r="B310" s="4">
        <v>38321</v>
      </c>
      <c r="C310" s="21">
        <v>191.7</v>
      </c>
    </row>
    <row r="311" spans="1:3" x14ac:dyDescent="0.35">
      <c r="A311" s="4" t="s">
        <v>896</v>
      </c>
      <c r="B311" s="4">
        <v>38352</v>
      </c>
      <c r="C311" s="21">
        <v>191.7</v>
      </c>
    </row>
    <row r="312" spans="1:3" x14ac:dyDescent="0.35">
      <c r="A312" s="4" t="s">
        <v>897</v>
      </c>
      <c r="B312" s="4">
        <v>38383</v>
      </c>
      <c r="C312" s="21">
        <v>191.6</v>
      </c>
    </row>
    <row r="313" spans="1:3" x14ac:dyDescent="0.35">
      <c r="A313" s="4" t="s">
        <v>898</v>
      </c>
      <c r="B313" s="4">
        <v>38411</v>
      </c>
      <c r="C313" s="21">
        <v>192.4</v>
      </c>
    </row>
    <row r="314" spans="1:3" x14ac:dyDescent="0.35">
      <c r="A314" s="4" t="s">
        <v>899</v>
      </c>
      <c r="B314" s="4">
        <v>38442</v>
      </c>
      <c r="C314" s="21">
        <v>193.1</v>
      </c>
    </row>
    <row r="315" spans="1:3" x14ac:dyDescent="0.35">
      <c r="A315" s="4" t="s">
        <v>900</v>
      </c>
      <c r="B315" s="4">
        <v>38472</v>
      </c>
      <c r="C315" s="21">
        <v>193.7</v>
      </c>
    </row>
    <row r="316" spans="1:3" x14ac:dyDescent="0.35">
      <c r="A316" s="4" t="s">
        <v>901</v>
      </c>
      <c r="B316" s="4">
        <v>38503</v>
      </c>
      <c r="C316" s="21">
        <v>193.6</v>
      </c>
    </row>
    <row r="317" spans="1:3" x14ac:dyDescent="0.35">
      <c r="A317" s="4" t="s">
        <v>902</v>
      </c>
      <c r="B317" s="4">
        <v>38533</v>
      </c>
      <c r="C317" s="21">
        <v>193.7</v>
      </c>
    </row>
    <row r="318" spans="1:3" x14ac:dyDescent="0.35">
      <c r="A318" s="4" t="s">
        <v>903</v>
      </c>
      <c r="B318" s="4">
        <v>38564</v>
      </c>
      <c r="C318" s="21">
        <v>194.9</v>
      </c>
    </row>
    <row r="319" spans="1:3" x14ac:dyDescent="0.35">
      <c r="A319" s="4" t="s">
        <v>904</v>
      </c>
      <c r="B319" s="4">
        <v>38595</v>
      </c>
      <c r="C319" s="21">
        <v>196.1</v>
      </c>
    </row>
    <row r="320" spans="1:3" x14ac:dyDescent="0.35">
      <c r="A320" s="4" t="s">
        <v>905</v>
      </c>
      <c r="B320" s="4">
        <v>38625</v>
      </c>
      <c r="C320" s="21">
        <v>198.8</v>
      </c>
    </row>
    <row r="321" spans="1:3" x14ac:dyDescent="0.35">
      <c r="A321" s="4" t="s">
        <v>906</v>
      </c>
      <c r="B321" s="4">
        <v>38656</v>
      </c>
      <c r="C321" s="21">
        <v>199.1</v>
      </c>
    </row>
    <row r="322" spans="1:3" x14ac:dyDescent="0.35">
      <c r="A322" s="4" t="s">
        <v>907</v>
      </c>
      <c r="B322" s="4">
        <v>38686</v>
      </c>
      <c r="C322" s="21">
        <v>198.1</v>
      </c>
    </row>
    <row r="323" spans="1:3" x14ac:dyDescent="0.35">
      <c r="A323" s="4" t="s">
        <v>908</v>
      </c>
      <c r="B323" s="4">
        <v>38717</v>
      </c>
      <c r="C323" s="21">
        <v>198.1</v>
      </c>
    </row>
    <row r="324" spans="1:3" x14ac:dyDescent="0.35">
      <c r="A324" s="4" t="s">
        <v>909</v>
      </c>
      <c r="B324" s="4">
        <v>38748</v>
      </c>
      <c r="C324" s="21">
        <v>199.3</v>
      </c>
    </row>
    <row r="325" spans="1:3" x14ac:dyDescent="0.35">
      <c r="A325" s="4" t="s">
        <v>910</v>
      </c>
      <c r="B325" s="4">
        <v>38776</v>
      </c>
      <c r="C325" s="21">
        <v>199.4</v>
      </c>
    </row>
    <row r="326" spans="1:3" x14ac:dyDescent="0.35">
      <c r="A326" s="4" t="s">
        <v>911</v>
      </c>
      <c r="B326" s="4">
        <v>38807</v>
      </c>
      <c r="C326" s="21">
        <v>199.7</v>
      </c>
    </row>
    <row r="327" spans="1:3" x14ac:dyDescent="0.35">
      <c r="A327" s="4" t="s">
        <v>912</v>
      </c>
      <c r="B327" s="4">
        <v>38837</v>
      </c>
      <c r="C327" s="21">
        <v>200.7</v>
      </c>
    </row>
    <row r="328" spans="1:3" x14ac:dyDescent="0.35">
      <c r="A328" s="4" t="s">
        <v>913</v>
      </c>
      <c r="B328" s="4">
        <v>38868</v>
      </c>
      <c r="C328" s="21">
        <v>201.3</v>
      </c>
    </row>
    <row r="329" spans="1:3" x14ac:dyDescent="0.35">
      <c r="A329" s="4" t="s">
        <v>914</v>
      </c>
      <c r="B329" s="4">
        <v>38898</v>
      </c>
      <c r="C329" s="21">
        <v>201.8</v>
      </c>
    </row>
    <row r="330" spans="1:3" x14ac:dyDescent="0.35">
      <c r="A330" s="4" t="s">
        <v>915</v>
      </c>
      <c r="B330" s="4">
        <v>38929</v>
      </c>
      <c r="C330" s="21">
        <v>202.9</v>
      </c>
    </row>
    <row r="331" spans="1:3" x14ac:dyDescent="0.35">
      <c r="A331" s="4" t="s">
        <v>916</v>
      </c>
      <c r="B331" s="4">
        <v>38960</v>
      </c>
      <c r="C331" s="21">
        <v>203.8</v>
      </c>
    </row>
    <row r="332" spans="1:3" x14ac:dyDescent="0.35">
      <c r="A332" s="4" t="s">
        <v>917</v>
      </c>
      <c r="B332" s="4">
        <v>38990</v>
      </c>
      <c r="C332" s="21">
        <v>202.8</v>
      </c>
    </row>
    <row r="333" spans="1:3" x14ac:dyDescent="0.35">
      <c r="A333" s="4" t="s">
        <v>918</v>
      </c>
      <c r="B333" s="4">
        <v>39021</v>
      </c>
      <c r="C333" s="21">
        <v>201.9</v>
      </c>
    </row>
    <row r="334" spans="1:3" x14ac:dyDescent="0.35">
      <c r="A334" s="4" t="s">
        <v>919</v>
      </c>
      <c r="B334" s="4">
        <v>39051</v>
      </c>
      <c r="C334" s="21">
        <v>202</v>
      </c>
    </row>
    <row r="335" spans="1:3" x14ac:dyDescent="0.35">
      <c r="A335" s="4" t="s">
        <v>920</v>
      </c>
      <c r="B335" s="4">
        <v>39082</v>
      </c>
      <c r="C335" s="21">
        <v>203.1</v>
      </c>
    </row>
    <row r="336" spans="1:3" x14ac:dyDescent="0.35">
      <c r="A336" s="4" t="s">
        <v>921</v>
      </c>
      <c r="B336" s="4">
        <v>39113</v>
      </c>
      <c r="C336" s="21">
        <v>203.43700000000001</v>
      </c>
    </row>
    <row r="337" spans="1:3" x14ac:dyDescent="0.35">
      <c r="A337" s="4" t="s">
        <v>922</v>
      </c>
      <c r="B337" s="4">
        <v>39141</v>
      </c>
      <c r="C337" s="21">
        <v>204.226</v>
      </c>
    </row>
    <row r="338" spans="1:3" x14ac:dyDescent="0.35">
      <c r="A338" s="4" t="s">
        <v>923</v>
      </c>
      <c r="B338" s="4">
        <v>39172</v>
      </c>
      <c r="C338" s="21">
        <v>205.28800000000001</v>
      </c>
    </row>
    <row r="339" spans="1:3" x14ac:dyDescent="0.35">
      <c r="A339" s="4" t="s">
        <v>924</v>
      </c>
      <c r="B339" s="4">
        <v>39202</v>
      </c>
      <c r="C339" s="21">
        <v>205.904</v>
      </c>
    </row>
    <row r="340" spans="1:3" x14ac:dyDescent="0.35">
      <c r="A340" s="4" t="s">
        <v>925</v>
      </c>
      <c r="B340" s="4">
        <v>39233</v>
      </c>
      <c r="C340" s="21">
        <v>206.755</v>
      </c>
    </row>
    <row r="341" spans="1:3" x14ac:dyDescent="0.35">
      <c r="A341" s="4" t="s">
        <v>926</v>
      </c>
      <c r="B341" s="4">
        <v>39263</v>
      </c>
      <c r="C341" s="21">
        <v>207.23400000000001</v>
      </c>
    </row>
    <row r="342" spans="1:3" x14ac:dyDescent="0.35">
      <c r="A342" s="4" t="s">
        <v>927</v>
      </c>
      <c r="B342" s="4">
        <v>39294</v>
      </c>
      <c r="C342" s="21">
        <v>207.60300000000001</v>
      </c>
    </row>
    <row r="343" spans="1:3" x14ac:dyDescent="0.35">
      <c r="A343" s="4" t="s">
        <v>928</v>
      </c>
      <c r="B343" s="4">
        <v>39325</v>
      </c>
      <c r="C343" s="21">
        <v>207.667</v>
      </c>
    </row>
    <row r="344" spans="1:3" x14ac:dyDescent="0.35">
      <c r="A344" s="4" t="s">
        <v>929</v>
      </c>
      <c r="B344" s="4">
        <v>39355</v>
      </c>
      <c r="C344" s="21">
        <v>208.547</v>
      </c>
    </row>
    <row r="345" spans="1:3" x14ac:dyDescent="0.35">
      <c r="A345" s="4" t="s">
        <v>930</v>
      </c>
      <c r="B345" s="4">
        <v>39386</v>
      </c>
      <c r="C345" s="21">
        <v>209.19</v>
      </c>
    </row>
    <row r="346" spans="1:3" x14ac:dyDescent="0.35">
      <c r="A346" s="4" t="s">
        <v>931</v>
      </c>
      <c r="B346" s="4">
        <v>39416</v>
      </c>
      <c r="C346" s="21">
        <v>210.834</v>
      </c>
    </row>
    <row r="347" spans="1:3" x14ac:dyDescent="0.35">
      <c r="A347" s="4" t="s">
        <v>932</v>
      </c>
      <c r="B347" s="4">
        <v>39447</v>
      </c>
      <c r="C347" s="21">
        <v>211.44499999999999</v>
      </c>
    </row>
    <row r="348" spans="1:3" x14ac:dyDescent="0.35">
      <c r="A348" s="4" t="s">
        <v>933</v>
      </c>
      <c r="B348" s="4">
        <v>39478</v>
      </c>
      <c r="C348" s="21">
        <v>212.17400000000001</v>
      </c>
    </row>
    <row r="349" spans="1:3" x14ac:dyDescent="0.35">
      <c r="A349" s="4" t="s">
        <v>934</v>
      </c>
      <c r="B349" s="4">
        <v>39507</v>
      </c>
      <c r="C349" s="21">
        <v>212.68700000000001</v>
      </c>
    </row>
    <row r="350" spans="1:3" x14ac:dyDescent="0.35">
      <c r="A350" s="4" t="s">
        <v>935</v>
      </c>
      <c r="B350" s="4">
        <v>39538</v>
      </c>
      <c r="C350" s="21">
        <v>213.44800000000001</v>
      </c>
    </row>
    <row r="351" spans="1:3" x14ac:dyDescent="0.35">
      <c r="A351" s="4" t="s">
        <v>936</v>
      </c>
      <c r="B351" s="4">
        <v>39568</v>
      </c>
      <c r="C351" s="21">
        <v>213.94200000000001</v>
      </c>
    </row>
    <row r="352" spans="1:3" x14ac:dyDescent="0.35">
      <c r="A352" s="4" t="s">
        <v>937</v>
      </c>
      <c r="B352" s="4">
        <v>39599</v>
      </c>
      <c r="C352" s="21">
        <v>215.208</v>
      </c>
    </row>
    <row r="353" spans="1:3" x14ac:dyDescent="0.35">
      <c r="A353" s="4" t="s">
        <v>938</v>
      </c>
      <c r="B353" s="4">
        <v>39629</v>
      </c>
      <c r="C353" s="21">
        <v>217.46299999999999</v>
      </c>
    </row>
    <row r="354" spans="1:3" x14ac:dyDescent="0.35">
      <c r="A354" s="4" t="s">
        <v>939</v>
      </c>
      <c r="B354" s="4">
        <v>39660</v>
      </c>
      <c r="C354" s="21">
        <v>219.01599999999999</v>
      </c>
    </row>
    <row r="355" spans="1:3" x14ac:dyDescent="0.35">
      <c r="A355" s="4" t="s">
        <v>940</v>
      </c>
      <c r="B355" s="4">
        <v>39691</v>
      </c>
      <c r="C355" s="21">
        <v>218.69</v>
      </c>
    </row>
    <row r="356" spans="1:3" x14ac:dyDescent="0.35">
      <c r="A356" s="4" t="s">
        <v>941</v>
      </c>
      <c r="B356" s="4">
        <v>39721</v>
      </c>
      <c r="C356" s="21">
        <v>218.87700000000001</v>
      </c>
    </row>
    <row r="357" spans="1:3" x14ac:dyDescent="0.35">
      <c r="A357" s="4" t="s">
        <v>942</v>
      </c>
      <c r="B357" s="4">
        <v>39752</v>
      </c>
      <c r="C357" s="21">
        <v>216.995</v>
      </c>
    </row>
    <row r="358" spans="1:3" x14ac:dyDescent="0.35">
      <c r="A358" s="4" t="s">
        <v>943</v>
      </c>
      <c r="B358" s="4">
        <v>39782</v>
      </c>
      <c r="C358" s="21">
        <v>213.15299999999999</v>
      </c>
    </row>
    <row r="359" spans="1:3" x14ac:dyDescent="0.35">
      <c r="A359" s="4" t="s">
        <v>944</v>
      </c>
      <c r="B359" s="4">
        <v>39813</v>
      </c>
      <c r="C359" s="21">
        <v>211.398</v>
      </c>
    </row>
    <row r="360" spans="1:3" x14ac:dyDescent="0.35">
      <c r="A360" s="4" t="s">
        <v>945</v>
      </c>
      <c r="B360" s="4">
        <v>39844</v>
      </c>
      <c r="C360" s="21">
        <v>211.93299999999999</v>
      </c>
    </row>
    <row r="361" spans="1:3" x14ac:dyDescent="0.35">
      <c r="A361" s="4" t="s">
        <v>946</v>
      </c>
      <c r="B361" s="4">
        <v>39872</v>
      </c>
      <c r="C361" s="21">
        <v>212.70500000000001</v>
      </c>
    </row>
    <row r="362" spans="1:3" x14ac:dyDescent="0.35">
      <c r="A362" s="4" t="s">
        <v>947</v>
      </c>
      <c r="B362" s="4">
        <v>39903</v>
      </c>
      <c r="C362" s="21">
        <v>212.495</v>
      </c>
    </row>
    <row r="363" spans="1:3" x14ac:dyDescent="0.35">
      <c r="A363" s="4" t="s">
        <v>948</v>
      </c>
      <c r="B363" s="4">
        <v>39933</v>
      </c>
      <c r="C363" s="21">
        <v>212.709</v>
      </c>
    </row>
    <row r="364" spans="1:3" x14ac:dyDescent="0.35">
      <c r="A364" s="4" t="s">
        <v>949</v>
      </c>
      <c r="B364" s="4">
        <v>39964</v>
      </c>
      <c r="C364" s="21">
        <v>213.02199999999999</v>
      </c>
    </row>
    <row r="365" spans="1:3" x14ac:dyDescent="0.35">
      <c r="A365" s="4" t="s">
        <v>950</v>
      </c>
      <c r="B365" s="4">
        <v>39994</v>
      </c>
      <c r="C365" s="21">
        <v>214.79</v>
      </c>
    </row>
    <row r="366" spans="1:3" x14ac:dyDescent="0.35">
      <c r="A366" s="4" t="s">
        <v>951</v>
      </c>
      <c r="B366" s="4">
        <v>40025</v>
      </c>
      <c r="C366" s="21">
        <v>214.726</v>
      </c>
    </row>
    <row r="367" spans="1:3" x14ac:dyDescent="0.35">
      <c r="A367" s="4" t="s">
        <v>952</v>
      </c>
      <c r="B367" s="4">
        <v>40056</v>
      </c>
      <c r="C367" s="21">
        <v>215.44499999999999</v>
      </c>
    </row>
    <row r="368" spans="1:3" x14ac:dyDescent="0.35">
      <c r="A368" s="4" t="s">
        <v>953</v>
      </c>
      <c r="B368" s="4">
        <v>40086</v>
      </c>
      <c r="C368" s="21">
        <v>215.86099999999999</v>
      </c>
    </row>
    <row r="369" spans="1:3" x14ac:dyDescent="0.35">
      <c r="A369" s="4" t="s">
        <v>954</v>
      </c>
      <c r="B369" s="4">
        <v>40117</v>
      </c>
      <c r="C369" s="21">
        <v>216.50899999999999</v>
      </c>
    </row>
    <row r="370" spans="1:3" x14ac:dyDescent="0.35">
      <c r="A370" s="4" t="s">
        <v>955</v>
      </c>
      <c r="B370" s="4">
        <v>40147</v>
      </c>
      <c r="C370" s="21">
        <v>217.23400000000001</v>
      </c>
    </row>
    <row r="371" spans="1:3" x14ac:dyDescent="0.35">
      <c r="A371" s="4" t="s">
        <v>956</v>
      </c>
      <c r="B371" s="4">
        <v>40178</v>
      </c>
      <c r="C371" s="21">
        <v>217.34700000000001</v>
      </c>
    </row>
    <row r="372" spans="1:3" x14ac:dyDescent="0.35">
      <c r="A372" s="4" t="s">
        <v>957</v>
      </c>
      <c r="B372" s="4">
        <v>40209</v>
      </c>
      <c r="C372" s="21">
        <v>217.488</v>
      </c>
    </row>
    <row r="373" spans="1:3" x14ac:dyDescent="0.35">
      <c r="A373" s="4" t="s">
        <v>958</v>
      </c>
      <c r="B373" s="4">
        <v>40237</v>
      </c>
      <c r="C373" s="21">
        <v>217.28100000000001</v>
      </c>
    </row>
    <row r="374" spans="1:3" x14ac:dyDescent="0.35">
      <c r="A374" s="4" t="s">
        <v>959</v>
      </c>
      <c r="B374" s="4">
        <v>40268</v>
      </c>
      <c r="C374" s="21">
        <v>217.35300000000001</v>
      </c>
    </row>
    <row r="375" spans="1:3" x14ac:dyDescent="0.35">
      <c r="A375" s="4" t="s">
        <v>960</v>
      </c>
      <c r="B375" s="4">
        <v>40298</v>
      </c>
      <c r="C375" s="21">
        <v>217.40299999999999</v>
      </c>
    </row>
    <row r="376" spans="1:3" x14ac:dyDescent="0.35">
      <c r="A376" s="4" t="s">
        <v>961</v>
      </c>
      <c r="B376" s="4">
        <v>40329</v>
      </c>
      <c r="C376" s="21">
        <v>217.29</v>
      </c>
    </row>
    <row r="377" spans="1:3" x14ac:dyDescent="0.35">
      <c r="A377" s="4" t="s">
        <v>962</v>
      </c>
      <c r="B377" s="4">
        <v>40359</v>
      </c>
      <c r="C377" s="21">
        <v>217.19900000000001</v>
      </c>
    </row>
    <row r="378" spans="1:3" x14ac:dyDescent="0.35">
      <c r="A378" s="4" t="s">
        <v>963</v>
      </c>
      <c r="B378" s="4">
        <v>40390</v>
      </c>
      <c r="C378" s="21">
        <v>217.60499999999999</v>
      </c>
    </row>
    <row r="379" spans="1:3" x14ac:dyDescent="0.35">
      <c r="A379" s="4" t="s">
        <v>964</v>
      </c>
      <c r="B379" s="4">
        <v>40421</v>
      </c>
      <c r="C379" s="21">
        <v>217.923</v>
      </c>
    </row>
    <row r="380" spans="1:3" x14ac:dyDescent="0.35">
      <c r="A380" s="4" t="s">
        <v>965</v>
      </c>
      <c r="B380" s="4">
        <v>40451</v>
      </c>
      <c r="C380" s="21">
        <v>218.27500000000001</v>
      </c>
    </row>
    <row r="381" spans="1:3" x14ac:dyDescent="0.35">
      <c r="A381" s="4" t="s">
        <v>966</v>
      </c>
      <c r="B381" s="4">
        <v>40482</v>
      </c>
      <c r="C381" s="21">
        <v>219.035</v>
      </c>
    </row>
    <row r="382" spans="1:3" x14ac:dyDescent="0.35">
      <c r="A382" s="4" t="s">
        <v>967</v>
      </c>
      <c r="B382" s="4">
        <v>40512</v>
      </c>
      <c r="C382" s="21">
        <v>219.59</v>
      </c>
    </row>
    <row r="383" spans="1:3" x14ac:dyDescent="0.35">
      <c r="A383" s="4" t="s">
        <v>968</v>
      </c>
      <c r="B383" s="4">
        <v>40543</v>
      </c>
      <c r="C383" s="21">
        <v>220.47200000000001</v>
      </c>
    </row>
    <row r="384" spans="1:3" x14ac:dyDescent="0.35">
      <c r="A384" s="4" t="s">
        <v>969</v>
      </c>
      <c r="B384" s="4">
        <v>40574</v>
      </c>
      <c r="C384" s="21">
        <v>221.18700000000001</v>
      </c>
    </row>
    <row r="385" spans="1:3" x14ac:dyDescent="0.35">
      <c r="A385" s="4" t="s">
        <v>970</v>
      </c>
      <c r="B385" s="4">
        <v>40602</v>
      </c>
      <c r="C385" s="21">
        <v>221.898</v>
      </c>
    </row>
    <row r="386" spans="1:3" x14ac:dyDescent="0.35">
      <c r="A386" s="4" t="s">
        <v>971</v>
      </c>
      <c r="B386" s="4">
        <v>40633</v>
      </c>
      <c r="C386" s="21">
        <v>223.04599999999999</v>
      </c>
    </row>
    <row r="387" spans="1:3" x14ac:dyDescent="0.35">
      <c r="A387" s="4" t="s">
        <v>972</v>
      </c>
      <c r="B387" s="4">
        <v>40663</v>
      </c>
      <c r="C387" s="21">
        <v>224.09299999999999</v>
      </c>
    </row>
    <row r="388" spans="1:3" x14ac:dyDescent="0.35">
      <c r="A388" s="4" t="s">
        <v>973</v>
      </c>
      <c r="B388" s="4">
        <v>40694</v>
      </c>
      <c r="C388" s="21">
        <v>224.80600000000001</v>
      </c>
    </row>
    <row r="389" spans="1:3" x14ac:dyDescent="0.35">
      <c r="A389" s="4" t="s">
        <v>974</v>
      </c>
      <c r="B389" s="4">
        <v>40724</v>
      </c>
      <c r="C389" s="21">
        <v>224.80600000000001</v>
      </c>
    </row>
    <row r="390" spans="1:3" x14ac:dyDescent="0.35">
      <c r="A390" s="4" t="s">
        <v>975</v>
      </c>
      <c r="B390" s="4">
        <v>40755</v>
      </c>
      <c r="C390" s="21">
        <v>225.39500000000001</v>
      </c>
    </row>
    <row r="391" spans="1:3" x14ac:dyDescent="0.35">
      <c r="A391" s="4" t="s">
        <v>976</v>
      </c>
      <c r="B391" s="4">
        <v>40786</v>
      </c>
      <c r="C391" s="21">
        <v>226.10599999999999</v>
      </c>
    </row>
    <row r="392" spans="1:3" x14ac:dyDescent="0.35">
      <c r="A392" s="4" t="s">
        <v>977</v>
      </c>
      <c r="B392" s="4">
        <v>40816</v>
      </c>
      <c r="C392" s="21">
        <v>226.59700000000001</v>
      </c>
    </row>
    <row r="393" spans="1:3" x14ac:dyDescent="0.35">
      <c r="A393" s="4" t="s">
        <v>978</v>
      </c>
      <c r="B393" s="4">
        <v>40847</v>
      </c>
      <c r="C393" s="21">
        <v>226.75</v>
      </c>
    </row>
    <row r="394" spans="1:3" x14ac:dyDescent="0.35">
      <c r="A394" s="4" t="s">
        <v>979</v>
      </c>
      <c r="B394" s="4">
        <v>40877</v>
      </c>
      <c r="C394" s="21">
        <v>227.16900000000001</v>
      </c>
    </row>
    <row r="395" spans="1:3" x14ac:dyDescent="0.35">
      <c r="A395" s="4" t="s">
        <v>980</v>
      </c>
      <c r="B395" s="4">
        <v>40908</v>
      </c>
      <c r="C395" s="21">
        <v>227.22300000000001</v>
      </c>
    </row>
    <row r="396" spans="1:3" x14ac:dyDescent="0.35">
      <c r="A396" s="4" t="s">
        <v>981</v>
      </c>
      <c r="B396" s="4">
        <v>40939</v>
      </c>
      <c r="C396" s="21">
        <v>227.84200000000001</v>
      </c>
    </row>
    <row r="397" spans="1:3" x14ac:dyDescent="0.35">
      <c r="A397" s="4" t="s">
        <v>982</v>
      </c>
      <c r="B397" s="4">
        <v>40968</v>
      </c>
      <c r="C397" s="21">
        <v>228.32900000000001</v>
      </c>
    </row>
    <row r="398" spans="1:3" x14ac:dyDescent="0.35">
      <c r="A398" s="4" t="s">
        <v>983</v>
      </c>
      <c r="B398" s="4">
        <v>40999</v>
      </c>
      <c r="C398" s="21">
        <v>228.80699999999999</v>
      </c>
    </row>
    <row r="399" spans="1:3" x14ac:dyDescent="0.35">
      <c r="A399" s="4" t="s">
        <v>984</v>
      </c>
      <c r="B399" s="4">
        <v>41029</v>
      </c>
      <c r="C399" s="21">
        <v>229.18700000000001</v>
      </c>
    </row>
    <row r="400" spans="1:3" x14ac:dyDescent="0.35">
      <c r="A400" s="4" t="s">
        <v>985</v>
      </c>
      <c r="B400" s="4">
        <v>41060</v>
      </c>
      <c r="C400" s="21">
        <v>228.71299999999999</v>
      </c>
    </row>
    <row r="401" spans="1:3" x14ac:dyDescent="0.35">
      <c r="A401" s="4" t="s">
        <v>986</v>
      </c>
      <c r="B401" s="4">
        <v>41090</v>
      </c>
      <c r="C401" s="21">
        <v>228.524</v>
      </c>
    </row>
    <row r="402" spans="1:3" x14ac:dyDescent="0.35">
      <c r="A402" s="4" t="s">
        <v>987</v>
      </c>
      <c r="B402" s="4">
        <v>41121</v>
      </c>
      <c r="C402" s="21">
        <v>228.59</v>
      </c>
    </row>
    <row r="403" spans="1:3" x14ac:dyDescent="0.35">
      <c r="A403" s="4" t="s">
        <v>988</v>
      </c>
      <c r="B403" s="4">
        <v>41152</v>
      </c>
      <c r="C403" s="21">
        <v>229.91800000000001</v>
      </c>
    </row>
    <row r="404" spans="1:3" x14ac:dyDescent="0.35">
      <c r="A404" s="4" t="s">
        <v>989</v>
      </c>
      <c r="B404" s="4">
        <v>41182</v>
      </c>
      <c r="C404" s="21">
        <v>231.01499999999999</v>
      </c>
    </row>
    <row r="405" spans="1:3" x14ac:dyDescent="0.35">
      <c r="A405" s="4" t="s">
        <v>990</v>
      </c>
      <c r="B405" s="4">
        <v>41213</v>
      </c>
      <c r="C405" s="21">
        <v>231.63800000000001</v>
      </c>
    </row>
    <row r="406" spans="1:3" x14ac:dyDescent="0.35">
      <c r="A406" s="4" t="s">
        <v>991</v>
      </c>
      <c r="B406" s="4">
        <v>41243</v>
      </c>
      <c r="C406" s="21">
        <v>231.249</v>
      </c>
    </row>
    <row r="407" spans="1:3" x14ac:dyDescent="0.35">
      <c r="A407" s="4" t="s">
        <v>992</v>
      </c>
      <c r="B407" s="4">
        <v>41274</v>
      </c>
      <c r="C407" s="21">
        <v>231.221</v>
      </c>
    </row>
    <row r="408" spans="1:3" x14ac:dyDescent="0.35">
      <c r="A408" s="4" t="s">
        <v>993</v>
      </c>
      <c r="B408" s="4">
        <v>41305</v>
      </c>
      <c r="C408" s="21">
        <v>231.679</v>
      </c>
    </row>
    <row r="409" spans="1:3" x14ac:dyDescent="0.35">
      <c r="A409" s="4" t="s">
        <v>994</v>
      </c>
      <c r="B409" s="4">
        <v>41333</v>
      </c>
      <c r="C409" s="21">
        <v>232.93700000000001</v>
      </c>
    </row>
    <row r="410" spans="1:3" x14ac:dyDescent="0.35">
      <c r="A410" s="4" t="s">
        <v>995</v>
      </c>
      <c r="B410" s="4">
        <v>41364</v>
      </c>
      <c r="C410" s="21">
        <v>232.28200000000001</v>
      </c>
    </row>
    <row r="411" spans="1:3" x14ac:dyDescent="0.35">
      <c r="A411" s="4" t="s">
        <v>996</v>
      </c>
      <c r="B411" s="4">
        <v>41394</v>
      </c>
      <c r="C411" s="21">
        <v>231.797</v>
      </c>
    </row>
    <row r="412" spans="1:3" x14ac:dyDescent="0.35">
      <c r="A412" s="4" t="s">
        <v>997</v>
      </c>
      <c r="B412" s="4">
        <v>41425</v>
      </c>
      <c r="C412" s="21">
        <v>231.893</v>
      </c>
    </row>
    <row r="413" spans="1:3" x14ac:dyDescent="0.35">
      <c r="A413" s="4" t="s">
        <v>998</v>
      </c>
      <c r="B413" s="4">
        <v>41455</v>
      </c>
      <c r="C413" s="21">
        <v>232.44499999999999</v>
      </c>
    </row>
    <row r="414" spans="1:3" x14ac:dyDescent="0.35">
      <c r="A414" s="4" t="s">
        <v>999</v>
      </c>
      <c r="B414" s="4">
        <v>41486</v>
      </c>
      <c r="C414" s="21">
        <v>232.9</v>
      </c>
    </row>
    <row r="415" spans="1:3" x14ac:dyDescent="0.35">
      <c r="A415" s="4" t="s">
        <v>1000</v>
      </c>
      <c r="B415" s="4">
        <v>41517</v>
      </c>
      <c r="C415" s="21">
        <v>233.45599999999999</v>
      </c>
    </row>
    <row r="416" spans="1:3" x14ac:dyDescent="0.35">
      <c r="A416" s="4" t="s">
        <v>1001</v>
      </c>
      <c r="B416" s="4">
        <v>41547</v>
      </c>
      <c r="C416" s="21">
        <v>233.54400000000001</v>
      </c>
    </row>
    <row r="417" spans="1:3" x14ac:dyDescent="0.35">
      <c r="A417" s="4" t="s">
        <v>1002</v>
      </c>
      <c r="B417" s="4">
        <v>41578</v>
      </c>
      <c r="C417" s="21">
        <v>233.66900000000001</v>
      </c>
    </row>
    <row r="418" spans="1:3" x14ac:dyDescent="0.35">
      <c r="A418" s="4" t="s">
        <v>1003</v>
      </c>
      <c r="B418" s="4">
        <v>41608</v>
      </c>
      <c r="C418" s="21">
        <v>234.1</v>
      </c>
    </row>
    <row r="419" spans="1:3" x14ac:dyDescent="0.35">
      <c r="A419" s="4" t="s">
        <v>1004</v>
      </c>
      <c r="B419" s="4">
        <v>41639</v>
      </c>
      <c r="C419" s="21">
        <v>234.71899999999999</v>
      </c>
    </row>
    <row r="420" spans="1:3" x14ac:dyDescent="0.35">
      <c r="A420" s="4" t="s">
        <v>1005</v>
      </c>
      <c r="B420" s="4">
        <v>41670</v>
      </c>
      <c r="C420" s="21">
        <v>235.28800000000001</v>
      </c>
    </row>
    <row r="421" spans="1:3" x14ac:dyDescent="0.35">
      <c r="A421" s="4" t="s">
        <v>1006</v>
      </c>
      <c r="B421" s="4">
        <v>41698</v>
      </c>
      <c r="C421" s="21">
        <v>235.547</v>
      </c>
    </row>
    <row r="422" spans="1:3" x14ac:dyDescent="0.35">
      <c r="A422" s="4" t="s">
        <v>1007</v>
      </c>
      <c r="B422" s="4">
        <v>41729</v>
      </c>
      <c r="C422" s="21">
        <v>236.02799999999999</v>
      </c>
    </row>
    <row r="423" spans="1:3" x14ac:dyDescent="0.35">
      <c r="A423" s="4" t="s">
        <v>1008</v>
      </c>
      <c r="B423" s="4">
        <v>41759</v>
      </c>
      <c r="C423" s="21">
        <v>236.46799999999999</v>
      </c>
    </row>
    <row r="424" spans="1:3" x14ac:dyDescent="0.35">
      <c r="A424" s="4" t="s">
        <v>1009</v>
      </c>
      <c r="B424" s="4">
        <v>41790</v>
      </c>
      <c r="C424" s="21">
        <v>236.91800000000001</v>
      </c>
    </row>
    <row r="425" spans="1:3" x14ac:dyDescent="0.35">
      <c r="A425" s="4" t="s">
        <v>1010</v>
      </c>
      <c r="B425" s="4">
        <v>41820</v>
      </c>
      <c r="C425" s="21">
        <v>237.23099999999999</v>
      </c>
    </row>
    <row r="426" spans="1:3" x14ac:dyDescent="0.35">
      <c r="A426" s="4" t="s">
        <v>1011</v>
      </c>
      <c r="B426" s="4">
        <v>41851</v>
      </c>
      <c r="C426" s="21">
        <v>237.49799999999999</v>
      </c>
    </row>
    <row r="427" spans="1:3" x14ac:dyDescent="0.35">
      <c r="A427" s="4" t="s">
        <v>1012</v>
      </c>
      <c r="B427" s="4">
        <v>41882</v>
      </c>
      <c r="C427" s="21">
        <v>237.46</v>
      </c>
    </row>
    <row r="428" spans="1:3" x14ac:dyDescent="0.35">
      <c r="A428" s="4" t="s">
        <v>1013</v>
      </c>
      <c r="B428" s="4">
        <v>41912</v>
      </c>
      <c r="C428" s="21">
        <v>237.477</v>
      </c>
    </row>
    <row r="429" spans="1:3" x14ac:dyDescent="0.35">
      <c r="A429" s="4" t="s">
        <v>1014</v>
      </c>
      <c r="B429" s="4">
        <v>41943</v>
      </c>
      <c r="C429" s="21">
        <v>237.43</v>
      </c>
    </row>
    <row r="430" spans="1:3" x14ac:dyDescent="0.35">
      <c r="A430" s="4" t="s">
        <v>1015</v>
      </c>
      <c r="B430" s="4">
        <v>41973</v>
      </c>
      <c r="C430" s="21">
        <v>236.983</v>
      </c>
    </row>
    <row r="431" spans="1:3" x14ac:dyDescent="0.35">
      <c r="A431" s="4" t="s">
        <v>1016</v>
      </c>
      <c r="B431" s="4">
        <v>42004</v>
      </c>
      <c r="C431" s="21">
        <v>236.25200000000001</v>
      </c>
    </row>
    <row r="432" spans="1:3" x14ac:dyDescent="0.35">
      <c r="A432" s="4" t="s">
        <v>1017</v>
      </c>
      <c r="B432" s="4">
        <v>42035</v>
      </c>
      <c r="C432" s="21">
        <v>234.74700000000001</v>
      </c>
    </row>
    <row r="433" spans="1:3" x14ac:dyDescent="0.35">
      <c r="A433" s="4" t="s">
        <v>1018</v>
      </c>
      <c r="B433" s="4">
        <v>42063</v>
      </c>
      <c r="C433" s="21">
        <v>235.34200000000001</v>
      </c>
    </row>
    <row r="434" spans="1:3" x14ac:dyDescent="0.35">
      <c r="A434" s="4" t="s">
        <v>1019</v>
      </c>
      <c r="B434" s="4">
        <v>42094</v>
      </c>
      <c r="C434" s="21">
        <v>235.976</v>
      </c>
    </row>
    <row r="435" spans="1:3" x14ac:dyDescent="0.35">
      <c r="A435" s="4" t="s">
        <v>1020</v>
      </c>
      <c r="B435" s="4">
        <v>42124</v>
      </c>
      <c r="C435" s="21">
        <v>236.22200000000001</v>
      </c>
    </row>
    <row r="436" spans="1:3" x14ac:dyDescent="0.35">
      <c r="A436" s="4" t="s">
        <v>1021</v>
      </c>
      <c r="B436" s="4">
        <v>42155</v>
      </c>
      <c r="C436" s="21">
        <v>237.001</v>
      </c>
    </row>
    <row r="437" spans="1:3" x14ac:dyDescent="0.35">
      <c r="A437" s="4" t="s">
        <v>1022</v>
      </c>
      <c r="B437" s="4">
        <v>42185</v>
      </c>
      <c r="C437" s="21">
        <v>237.65700000000001</v>
      </c>
    </row>
    <row r="438" spans="1:3" x14ac:dyDescent="0.35">
      <c r="A438" s="4" t="s">
        <v>1023</v>
      </c>
      <c r="B438" s="4">
        <v>42216</v>
      </c>
      <c r="C438" s="21">
        <v>238.03399999999999</v>
      </c>
    </row>
    <row r="439" spans="1:3" x14ac:dyDescent="0.35">
      <c r="A439" s="4" t="s">
        <v>1024</v>
      </c>
      <c r="B439" s="4">
        <v>42247</v>
      </c>
      <c r="C439" s="21">
        <v>238.03299999999999</v>
      </c>
    </row>
    <row r="440" spans="1:3" x14ac:dyDescent="0.35">
      <c r="A440" s="4" t="s">
        <v>1025</v>
      </c>
      <c r="B440" s="4">
        <v>42277</v>
      </c>
      <c r="C440" s="21">
        <v>237.49799999999999</v>
      </c>
    </row>
    <row r="441" spans="1:3" x14ac:dyDescent="0.35">
      <c r="A441" s="4" t="s">
        <v>1026</v>
      </c>
      <c r="B441" s="4">
        <v>42308</v>
      </c>
      <c r="C441" s="21">
        <v>237.733</v>
      </c>
    </row>
    <row r="442" spans="1:3" x14ac:dyDescent="0.35">
      <c r="A442" s="4" t="s">
        <v>1027</v>
      </c>
      <c r="B442" s="4">
        <v>42338</v>
      </c>
      <c r="C442" s="21">
        <v>238.017</v>
      </c>
    </row>
    <row r="443" spans="1:3" x14ac:dyDescent="0.35">
      <c r="A443" s="4" t="s">
        <v>1028</v>
      </c>
      <c r="B443" s="4">
        <v>42369</v>
      </c>
      <c r="C443" s="21">
        <v>237.761</v>
      </c>
    </row>
    <row r="444" spans="1:3" x14ac:dyDescent="0.35">
      <c r="A444" s="4" t="s">
        <v>1029</v>
      </c>
      <c r="B444" s="4">
        <v>42400</v>
      </c>
      <c r="C444" s="21">
        <v>237.65199999999999</v>
      </c>
    </row>
    <row r="445" spans="1:3" x14ac:dyDescent="0.35">
      <c r="A445" s="4" t="s">
        <v>1030</v>
      </c>
      <c r="B445" s="4">
        <v>42429</v>
      </c>
      <c r="C445" s="21">
        <v>237.33600000000001</v>
      </c>
    </row>
    <row r="446" spans="1:3" x14ac:dyDescent="0.35">
      <c r="A446" s="4" t="s">
        <v>1031</v>
      </c>
      <c r="B446" s="4">
        <v>42460</v>
      </c>
      <c r="C446" s="21">
        <v>238.08</v>
      </c>
    </row>
    <row r="447" spans="1:3" x14ac:dyDescent="0.35">
      <c r="A447" s="4" t="s">
        <v>1032</v>
      </c>
      <c r="B447" s="4">
        <v>42490</v>
      </c>
      <c r="C447" s="21">
        <v>238.99199999999999</v>
      </c>
    </row>
    <row r="448" spans="1:3" x14ac:dyDescent="0.35">
      <c r="A448" s="4" t="s">
        <v>1033</v>
      </c>
      <c r="B448" s="4">
        <v>42521</v>
      </c>
      <c r="C448" s="21">
        <v>239.55699999999999</v>
      </c>
    </row>
    <row r="449" spans="1:3" x14ac:dyDescent="0.35">
      <c r="A449" s="4" t="s">
        <v>1034</v>
      </c>
      <c r="B449" s="4">
        <v>42551</v>
      </c>
      <c r="C449" s="21">
        <v>240.22200000000001</v>
      </c>
    </row>
    <row r="450" spans="1:3" x14ac:dyDescent="0.35">
      <c r="A450" s="4" t="s">
        <v>1035</v>
      </c>
      <c r="B450" s="4">
        <v>42582</v>
      </c>
      <c r="C450" s="21">
        <v>240.101</v>
      </c>
    </row>
    <row r="451" spans="1:3" x14ac:dyDescent="0.35">
      <c r="A451" s="4" t="s">
        <v>1036</v>
      </c>
      <c r="B451" s="4">
        <v>42613</v>
      </c>
      <c r="C451" s="21">
        <v>240.54499999999999</v>
      </c>
    </row>
    <row r="452" spans="1:3" x14ac:dyDescent="0.35">
      <c r="A452" s="4" t="s">
        <v>1037</v>
      </c>
      <c r="B452" s="4">
        <v>42643</v>
      </c>
      <c r="C452" s="21">
        <v>241.17599999999999</v>
      </c>
    </row>
    <row r="453" spans="1:3" x14ac:dyDescent="0.35">
      <c r="A453" s="4" t="s">
        <v>1038</v>
      </c>
      <c r="B453" s="4">
        <v>42674</v>
      </c>
      <c r="C453" s="21">
        <v>241.74100000000001</v>
      </c>
    </row>
    <row r="454" spans="1:3" x14ac:dyDescent="0.35">
      <c r="A454" s="4" t="s">
        <v>1039</v>
      </c>
      <c r="B454" s="4">
        <v>42704</v>
      </c>
      <c r="C454" s="21">
        <v>242.02600000000001</v>
      </c>
    </row>
    <row r="455" spans="1:3" x14ac:dyDescent="0.35">
      <c r="A455" s="4" t="s">
        <v>1040</v>
      </c>
      <c r="B455" s="4">
        <v>42735</v>
      </c>
      <c r="C455" s="21">
        <v>242.637</v>
      </c>
    </row>
    <row r="456" spans="1:3" x14ac:dyDescent="0.35">
      <c r="A456" s="4" t="s">
        <v>1041</v>
      </c>
      <c r="B456" s="4">
        <v>42766</v>
      </c>
      <c r="C456" s="21">
        <v>243.61799999999999</v>
      </c>
    </row>
    <row r="457" spans="1:3" x14ac:dyDescent="0.35">
      <c r="A457" s="4" t="s">
        <v>1042</v>
      </c>
      <c r="B457" s="4">
        <v>42794</v>
      </c>
      <c r="C457" s="21">
        <v>244.006</v>
      </c>
    </row>
    <row r="458" spans="1:3" x14ac:dyDescent="0.35">
      <c r="A458" s="4" t="s">
        <v>1043</v>
      </c>
      <c r="B458" s="4">
        <v>42825</v>
      </c>
      <c r="C458" s="21">
        <v>243.892</v>
      </c>
    </row>
    <row r="459" spans="1:3" x14ac:dyDescent="0.35">
      <c r="A459" s="4" t="s">
        <v>1044</v>
      </c>
      <c r="B459" s="4">
        <v>42855</v>
      </c>
      <c r="C459" s="21">
        <v>244.19300000000001</v>
      </c>
    </row>
    <row r="460" spans="1:3" x14ac:dyDescent="0.35">
      <c r="A460" s="4" t="s">
        <v>1045</v>
      </c>
      <c r="B460" s="4">
        <v>42886</v>
      </c>
      <c r="C460" s="21">
        <v>244.00399999999999</v>
      </c>
    </row>
    <row r="461" spans="1:3" x14ac:dyDescent="0.35">
      <c r="A461" s="4" t="s">
        <v>1046</v>
      </c>
      <c r="B461" s="4">
        <v>42916</v>
      </c>
      <c r="C461" s="21">
        <v>244.16300000000001</v>
      </c>
    </row>
    <row r="462" spans="1:3" x14ac:dyDescent="0.35">
      <c r="A462" s="4" t="s">
        <v>1047</v>
      </c>
      <c r="B462" s="4">
        <v>42947</v>
      </c>
      <c r="C462" s="21">
        <v>244.24299999999999</v>
      </c>
    </row>
    <row r="463" spans="1:3" x14ac:dyDescent="0.35">
      <c r="A463" s="4" t="s">
        <v>1048</v>
      </c>
      <c r="B463" s="4">
        <v>42978</v>
      </c>
      <c r="C463" s="21">
        <v>245.18299999999999</v>
      </c>
    </row>
    <row r="464" spans="1:3" x14ac:dyDescent="0.35">
      <c r="A464" s="4" t="s">
        <v>1049</v>
      </c>
      <c r="B464" s="4">
        <v>43008</v>
      </c>
      <c r="C464" s="21">
        <v>246.435</v>
      </c>
    </row>
    <row r="465" spans="1:3" x14ac:dyDescent="0.35">
      <c r="A465" s="4" t="s">
        <v>1050</v>
      </c>
      <c r="B465" s="4">
        <v>43039</v>
      </c>
      <c r="C465" s="21">
        <v>246.626</v>
      </c>
    </row>
    <row r="466" spans="1:3" x14ac:dyDescent="0.35">
      <c r="A466" s="4" t="s">
        <v>1051</v>
      </c>
      <c r="B466" s="4">
        <v>43069</v>
      </c>
      <c r="C466" s="21">
        <v>247.28399999999999</v>
      </c>
    </row>
    <row r="467" spans="1:3" x14ac:dyDescent="0.35">
      <c r="A467" s="4" t="s">
        <v>1052</v>
      </c>
      <c r="B467" s="4">
        <v>43100</v>
      </c>
      <c r="C467" s="21">
        <v>247.80500000000001</v>
      </c>
    </row>
    <row r="468" spans="1:3" x14ac:dyDescent="0.35">
      <c r="A468" s="4" t="s">
        <v>1053</v>
      </c>
      <c r="B468" s="4">
        <v>43131</v>
      </c>
      <c r="C468" s="21">
        <v>248.85900000000001</v>
      </c>
    </row>
    <row r="469" spans="1:3" x14ac:dyDescent="0.35">
      <c r="A469" s="4" t="s">
        <v>1054</v>
      </c>
      <c r="B469" s="4">
        <v>43159</v>
      </c>
      <c r="C469" s="21">
        <v>249.529</v>
      </c>
    </row>
    <row r="470" spans="1:3" x14ac:dyDescent="0.35">
      <c r="A470" s="4" t="s">
        <v>1055</v>
      </c>
      <c r="B470" s="4">
        <v>43190</v>
      </c>
      <c r="C470" s="21">
        <v>249.577</v>
      </c>
    </row>
    <row r="471" spans="1:3" x14ac:dyDescent="0.35">
      <c r="A471" s="4" t="s">
        <v>1056</v>
      </c>
      <c r="B471" s="4">
        <v>43220</v>
      </c>
      <c r="C471" s="21">
        <v>250.227</v>
      </c>
    </row>
    <row r="472" spans="1:3" x14ac:dyDescent="0.35">
      <c r="A472" s="4" t="s">
        <v>1057</v>
      </c>
      <c r="B472" s="4">
        <v>43251</v>
      </c>
      <c r="C472" s="21">
        <v>250.792</v>
      </c>
    </row>
    <row r="473" spans="1:3" x14ac:dyDescent="0.35">
      <c r="A473" s="4" t="s">
        <v>1058</v>
      </c>
      <c r="B473" s="4">
        <v>43281</v>
      </c>
      <c r="C473" s="21">
        <v>251.018</v>
      </c>
    </row>
    <row r="474" spans="1:3" x14ac:dyDescent="0.35">
      <c r="A474" s="4" t="s">
        <v>1059</v>
      </c>
      <c r="B474" s="4">
        <v>43312</v>
      </c>
      <c r="C474" s="21">
        <v>251.214</v>
      </c>
    </row>
    <row r="475" spans="1:3" x14ac:dyDescent="0.35">
      <c r="A475" s="4" t="s">
        <v>1060</v>
      </c>
      <c r="B475" s="4">
        <v>43343</v>
      </c>
      <c r="C475" s="21">
        <v>251.66300000000001</v>
      </c>
    </row>
    <row r="476" spans="1:3" x14ac:dyDescent="0.35">
      <c r="A476" s="4" t="s">
        <v>1061</v>
      </c>
      <c r="B476" s="4">
        <v>43373</v>
      </c>
      <c r="C476" s="21">
        <v>252.18199999999999</v>
      </c>
    </row>
    <row r="477" spans="1:3" x14ac:dyDescent="0.35">
      <c r="A477" s="4" t="s">
        <v>1062</v>
      </c>
      <c r="B477" s="4">
        <v>43404</v>
      </c>
      <c r="C477" s="21">
        <v>252.77199999999999</v>
      </c>
    </row>
    <row r="478" spans="1:3" x14ac:dyDescent="0.35">
      <c r="A478" s="4" t="s">
        <v>1063</v>
      </c>
      <c r="B478" s="4">
        <v>43434</v>
      </c>
      <c r="C478" s="21">
        <v>252.59399999999999</v>
      </c>
    </row>
    <row r="479" spans="1:3" x14ac:dyDescent="0.35">
      <c r="A479" s="4" t="s">
        <v>1064</v>
      </c>
      <c r="B479" s="4">
        <v>43465</v>
      </c>
      <c r="C479" s="21">
        <v>252.767</v>
      </c>
    </row>
    <row r="480" spans="1:3" x14ac:dyDescent="0.35">
      <c r="A480" s="4" t="s">
        <v>1065</v>
      </c>
      <c r="B480" s="4">
        <v>43496</v>
      </c>
      <c r="C480" s="21">
        <v>252.56100000000001</v>
      </c>
    </row>
    <row r="481" spans="1:3" x14ac:dyDescent="0.35">
      <c r="A481" s="4" t="s">
        <v>1066</v>
      </c>
      <c r="B481" s="4">
        <v>43524</v>
      </c>
      <c r="C481" s="21">
        <v>253.31899999999999</v>
      </c>
    </row>
    <row r="482" spans="1:3" x14ac:dyDescent="0.35">
      <c r="A482" s="4" t="s">
        <v>1067</v>
      </c>
      <c r="B482" s="4">
        <v>43555</v>
      </c>
      <c r="C482" s="21">
        <v>254.27699999999999</v>
      </c>
    </row>
    <row r="483" spans="1:3" x14ac:dyDescent="0.35">
      <c r="A483" s="4" t="s">
        <v>1068</v>
      </c>
      <c r="B483" s="4">
        <v>43585</v>
      </c>
      <c r="C483" s="21">
        <v>255.233</v>
      </c>
    </row>
    <row r="484" spans="1:3" x14ac:dyDescent="0.35">
      <c r="A484" s="4" t="s">
        <v>1069</v>
      </c>
      <c r="B484" s="4">
        <v>43616</v>
      </c>
      <c r="C484" s="21">
        <v>255.29599999999999</v>
      </c>
    </row>
    <row r="485" spans="1:3" x14ac:dyDescent="0.35">
      <c r="A485" s="4" t="s">
        <v>1070</v>
      </c>
      <c r="B485" s="4">
        <v>43646</v>
      </c>
      <c r="C485" s="21">
        <v>255.21299999999999</v>
      </c>
    </row>
    <row r="486" spans="1:3" x14ac:dyDescent="0.35">
      <c r="A486" s="4" t="s">
        <v>1071</v>
      </c>
      <c r="B486" s="4">
        <v>43677</v>
      </c>
      <c r="C486" s="21">
        <v>255.80199999999999</v>
      </c>
    </row>
    <row r="487" spans="1:3" x14ac:dyDescent="0.35">
      <c r="A487" s="4" t="s">
        <v>1072</v>
      </c>
      <c r="B487" s="4">
        <v>43708</v>
      </c>
      <c r="C487" s="21">
        <v>256.036</v>
      </c>
    </row>
    <row r="488" spans="1:3" x14ac:dyDescent="0.35">
      <c r="A488" s="4" t="s">
        <v>1073</v>
      </c>
      <c r="B488" s="4">
        <v>43738</v>
      </c>
      <c r="C488" s="21">
        <v>256.43</v>
      </c>
    </row>
    <row r="489" spans="1:3" x14ac:dyDescent="0.35">
      <c r="A489" s="4" t="s">
        <v>1074</v>
      </c>
      <c r="B489" s="4">
        <v>43769</v>
      </c>
      <c r="C489" s="21">
        <v>257.15499999999997</v>
      </c>
    </row>
    <row r="490" spans="1:3" x14ac:dyDescent="0.35">
      <c r="A490" s="4" t="s">
        <v>1075</v>
      </c>
      <c r="B490" s="4">
        <v>43799</v>
      </c>
      <c r="C490" s="21">
        <v>257.87900000000002</v>
      </c>
    </row>
    <row r="491" spans="1:3" x14ac:dyDescent="0.35">
      <c r="A491" s="4" t="s">
        <v>1076</v>
      </c>
      <c r="B491" s="4">
        <v>43830</v>
      </c>
      <c r="C491" s="21">
        <v>258.63</v>
      </c>
    </row>
    <row r="492" spans="1:3" x14ac:dyDescent="0.35">
      <c r="A492" s="4" t="s">
        <v>1077</v>
      </c>
      <c r="B492" s="4">
        <v>43861</v>
      </c>
      <c r="C492" s="21">
        <v>259.12700000000001</v>
      </c>
    </row>
    <row r="493" spans="1:3" x14ac:dyDescent="0.35">
      <c r="A493" s="4" t="s">
        <v>1078</v>
      </c>
      <c r="B493" s="4">
        <v>43890</v>
      </c>
      <c r="C493" s="21">
        <v>259.25</v>
      </c>
    </row>
    <row r="494" spans="1:3" x14ac:dyDescent="0.35">
      <c r="A494" s="4" t="s">
        <v>1079</v>
      </c>
      <c r="B494" s="4">
        <v>43921</v>
      </c>
      <c r="C494" s="21">
        <v>258.07600000000002</v>
      </c>
    </row>
    <row r="495" spans="1:3" x14ac:dyDescent="0.35">
      <c r="A495" s="4" t="s">
        <v>1080</v>
      </c>
      <c r="B495" s="4">
        <v>43951</v>
      </c>
      <c r="C495" s="21">
        <v>256.03199999999998</v>
      </c>
    </row>
    <row r="496" spans="1:3" x14ac:dyDescent="0.35">
      <c r="A496" s="4" t="s">
        <v>1081</v>
      </c>
      <c r="B496" s="4">
        <v>43982</v>
      </c>
      <c r="C496" s="21">
        <v>255.80199999999999</v>
      </c>
    </row>
    <row r="497" spans="1:3" x14ac:dyDescent="0.35">
      <c r="A497" s="4" t="s">
        <v>1082</v>
      </c>
      <c r="B497" s="4">
        <v>44012</v>
      </c>
      <c r="C497" s="21">
        <v>257.04199999999997</v>
      </c>
    </row>
    <row r="498" spans="1:3" x14ac:dyDescent="0.35">
      <c r="A498" s="4" t="s">
        <v>1083</v>
      </c>
      <c r="B498" s="4">
        <v>44043</v>
      </c>
      <c r="C498" s="21">
        <v>258.35199999999998</v>
      </c>
    </row>
    <row r="499" spans="1:3" x14ac:dyDescent="0.35">
      <c r="A499" s="4" t="s">
        <v>1084</v>
      </c>
      <c r="B499" s="4">
        <v>44074</v>
      </c>
      <c r="C499" s="21">
        <v>259.31599999999997</v>
      </c>
    </row>
    <row r="500" spans="1:3" x14ac:dyDescent="0.35">
      <c r="A500" s="4" t="s">
        <v>1085</v>
      </c>
      <c r="B500" s="4">
        <v>44104</v>
      </c>
      <c r="C500" s="21">
        <v>259.99700000000001</v>
      </c>
    </row>
    <row r="501" spans="1:3" x14ac:dyDescent="0.35">
      <c r="A501" s="4" t="s">
        <v>1086</v>
      </c>
      <c r="B501" s="4">
        <v>44135</v>
      </c>
      <c r="C501" s="21">
        <v>260.31900000000002</v>
      </c>
    </row>
    <row r="502" spans="1:3" x14ac:dyDescent="0.35">
      <c r="A502" s="4" t="s">
        <v>1087</v>
      </c>
      <c r="B502" s="4">
        <v>44165</v>
      </c>
      <c r="C502" s="21">
        <v>260.911</v>
      </c>
    </row>
    <row r="503" spans="1:3" x14ac:dyDescent="0.35">
      <c r="A503" s="4" t="s">
        <v>1088</v>
      </c>
      <c r="B503" s="4">
        <v>44196</v>
      </c>
      <c r="C503" s="21">
        <v>262.04500000000002</v>
      </c>
    </row>
    <row r="504" spans="1:3" x14ac:dyDescent="0.35">
      <c r="A504" s="4" t="s">
        <v>1089</v>
      </c>
      <c r="B504" s="4">
        <v>44227</v>
      </c>
      <c r="C504" s="21">
        <v>262.68700000000001</v>
      </c>
    </row>
    <row r="505" spans="1:3" x14ac:dyDescent="0.35">
      <c r="A505" s="4" t="s">
        <v>1090</v>
      </c>
      <c r="B505" s="4">
        <v>44255</v>
      </c>
      <c r="C505" s="21">
        <v>263.57900000000001</v>
      </c>
    </row>
    <row r="506" spans="1:3" x14ac:dyDescent="0.35">
      <c r="A506" s="4" t="s">
        <v>1091</v>
      </c>
      <c r="B506" s="4">
        <v>44286</v>
      </c>
      <c r="C506" s="21">
        <v>264.96100000000001</v>
      </c>
    </row>
    <row r="507" spans="1:3" x14ac:dyDescent="0.35">
      <c r="A507" s="4" t="s">
        <v>1092</v>
      </c>
      <c r="B507" s="4">
        <v>44316</v>
      </c>
      <c r="C507" s="21">
        <v>266.61399999999998</v>
      </c>
    </row>
    <row r="508" spans="1:3" x14ac:dyDescent="0.35">
      <c r="A508" s="4" t="s">
        <v>1093</v>
      </c>
      <c r="B508" s="4">
        <v>44347</v>
      </c>
      <c r="C508" s="21">
        <v>268.38299999999998</v>
      </c>
    </row>
    <row r="509" spans="1:3" x14ac:dyDescent="0.35">
      <c r="A509" s="4" t="s">
        <v>1094</v>
      </c>
      <c r="B509" s="4">
        <v>44377</v>
      </c>
      <c r="C509" s="21">
        <v>270.654</v>
      </c>
    </row>
    <row r="510" spans="1:3" x14ac:dyDescent="0.35">
      <c r="A510" s="4" t="s">
        <v>1095</v>
      </c>
      <c r="B510" s="4">
        <v>44408</v>
      </c>
      <c r="C510" s="21">
        <v>271.90300000000002</v>
      </c>
    </row>
    <row r="511" spans="1:3" x14ac:dyDescent="0.35">
      <c r="A511" s="4" t="s">
        <v>1096</v>
      </c>
      <c r="B511" s="4">
        <v>44439</v>
      </c>
      <c r="C511" s="21">
        <v>272.67599999999999</v>
      </c>
    </row>
    <row r="512" spans="1:3" x14ac:dyDescent="0.35">
      <c r="A512" s="4" t="s">
        <v>1097</v>
      </c>
      <c r="B512" s="4">
        <v>44469</v>
      </c>
      <c r="C512" s="21">
        <v>273.91000000000003</v>
      </c>
    </row>
    <row r="513" spans="1:3" x14ac:dyDescent="0.35">
      <c r="A513" s="4" t="s">
        <v>1098</v>
      </c>
      <c r="B513" s="4">
        <v>44500</v>
      </c>
      <c r="C513" s="21">
        <v>276.55</v>
      </c>
    </row>
    <row r="514" spans="1:3" x14ac:dyDescent="0.35">
      <c r="A514" s="4" t="s">
        <v>1099</v>
      </c>
      <c r="B514" s="4">
        <v>44530</v>
      </c>
      <c r="C514" s="21">
        <v>278.91899999999998</v>
      </c>
    </row>
    <row r="515" spans="1:3" x14ac:dyDescent="0.35">
      <c r="A515" s="4" t="s">
        <v>1100</v>
      </c>
      <c r="B515" s="4">
        <v>44561</v>
      </c>
      <c r="C515" s="21">
        <v>280.84500000000003</v>
      </c>
    </row>
    <row r="516" spans="1:3" x14ac:dyDescent="0.35">
      <c r="A516" s="4" t="s">
        <v>1101</v>
      </c>
      <c r="B516" s="4">
        <v>44592</v>
      </c>
      <c r="C516" s="21">
        <v>282.54300000000001</v>
      </c>
    </row>
    <row r="517" spans="1:3" x14ac:dyDescent="0.35">
      <c r="A517" s="4" t="s">
        <v>1102</v>
      </c>
      <c r="B517" s="4">
        <v>44620</v>
      </c>
      <c r="C517" s="21">
        <v>284.5</v>
      </c>
    </row>
    <row r="518" spans="1:3" x14ac:dyDescent="0.35">
      <c r="A518" s="4" t="s">
        <v>1103</v>
      </c>
      <c r="B518" s="4">
        <v>44651</v>
      </c>
      <c r="C518" s="21">
        <v>287.67399999999998</v>
      </c>
    </row>
    <row r="519" spans="1:3" x14ac:dyDescent="0.35">
      <c r="A519" s="4" t="s">
        <v>1104</v>
      </c>
      <c r="B519" s="4">
        <v>44681</v>
      </c>
      <c r="C519" s="21">
        <v>288.56099999999998</v>
      </c>
    </row>
    <row r="520" spans="1:3" x14ac:dyDescent="0.35">
      <c r="A520" s="4" t="s">
        <v>1105</v>
      </c>
      <c r="B520" s="4">
        <v>44712</v>
      </c>
      <c r="C520" s="21">
        <v>291.298</v>
      </c>
    </row>
    <row r="521" spans="1:3" x14ac:dyDescent="0.35">
      <c r="A521" s="4" t="s">
        <v>1106</v>
      </c>
      <c r="B521" s="4">
        <v>44742</v>
      </c>
      <c r="C521" s="21">
        <v>294.95699999999999</v>
      </c>
    </row>
    <row r="522" spans="1:3" x14ac:dyDescent="0.35">
      <c r="A522" s="4" t="s">
        <v>1107</v>
      </c>
      <c r="B522" s="4">
        <v>44773</v>
      </c>
      <c r="C522" s="21">
        <v>294.91300000000001</v>
      </c>
    </row>
    <row r="523" spans="1:3" x14ac:dyDescent="0.35">
      <c r="A523" s="4" t="s">
        <v>1108</v>
      </c>
      <c r="B523" s="4">
        <v>44804</v>
      </c>
      <c r="C523" s="21">
        <v>295.09699999999998</v>
      </c>
    </row>
    <row r="524" spans="1:3" x14ac:dyDescent="0.35">
      <c r="A524" s="4" t="s">
        <v>1109</v>
      </c>
      <c r="B524" s="4">
        <v>44834</v>
      </c>
      <c r="C524" s="21">
        <v>296.34899999999999</v>
      </c>
    </row>
    <row r="525" spans="1:3" x14ac:dyDescent="0.35">
      <c r="A525" s="4" t="s">
        <v>1110</v>
      </c>
      <c r="B525" s="4">
        <v>44865</v>
      </c>
      <c r="C525" s="21">
        <v>298.00700000000001</v>
      </c>
    </row>
    <row r="526" spans="1:3" x14ac:dyDescent="0.35">
      <c r="A526" s="4" t="s">
        <v>1111</v>
      </c>
      <c r="B526" s="4">
        <v>44895</v>
      </c>
      <c r="C526" s="21">
        <v>298.786</v>
      </c>
    </row>
    <row r="527" spans="1:3" x14ac:dyDescent="0.35">
      <c r="A527" s="4" t="s">
        <v>1112</v>
      </c>
      <c r="B527" s="4">
        <v>44926</v>
      </c>
      <c r="C527" s="21">
        <v>298.83199999999999</v>
      </c>
    </row>
    <row r="528" spans="1:3" x14ac:dyDescent="0.35">
      <c r="A528" s="4" t="s">
        <v>1113</v>
      </c>
      <c r="B528" s="4">
        <v>44957</v>
      </c>
      <c r="C528" s="21">
        <v>300.42</v>
      </c>
    </row>
    <row r="529" spans="1:3" x14ac:dyDescent="0.35">
      <c r="A529" s="4" t="s">
        <v>1114</v>
      </c>
      <c r="B529" s="4">
        <v>44985</v>
      </c>
      <c r="C529" s="21">
        <v>301.45</v>
      </c>
    </row>
    <row r="530" spans="1:3" x14ac:dyDescent="0.35">
      <c r="A530" s="4" t="s">
        <v>1115</v>
      </c>
      <c r="B530" s="4">
        <v>45016</v>
      </c>
      <c r="C530" s="21">
        <v>301.82100000000003</v>
      </c>
    </row>
    <row r="531" spans="1:3" x14ac:dyDescent="0.35">
      <c r="A531" s="4" t="s">
        <v>1116</v>
      </c>
      <c r="B531" s="4">
        <v>45046</v>
      </c>
      <c r="C531" s="21">
        <v>302.84500000000003</v>
      </c>
    </row>
    <row r="532" spans="1:3" x14ac:dyDescent="0.35">
      <c r="A532" s="4" t="s">
        <v>1117</v>
      </c>
      <c r="B532" s="4">
        <v>45077</v>
      </c>
      <c r="C532" s="21">
        <v>303.334</v>
      </c>
    </row>
    <row r="533" spans="1:3" x14ac:dyDescent="0.35">
      <c r="A533" s="4" t="s">
        <v>1118</v>
      </c>
      <c r="B533" s="4">
        <v>45107</v>
      </c>
      <c r="C533" s="21">
        <v>304.01400000000001</v>
      </c>
    </row>
    <row r="534" spans="1:3" x14ac:dyDescent="0.35">
      <c r="A534" s="4" t="s">
        <v>1119</v>
      </c>
      <c r="B534" s="4">
        <v>45138</v>
      </c>
      <c r="C534" s="21">
        <v>304.60899999999998</v>
      </c>
    </row>
    <row r="535" spans="1:3" x14ac:dyDescent="0.35">
      <c r="A535" s="4" t="s">
        <v>1120</v>
      </c>
      <c r="B535" s="4">
        <v>45169</v>
      </c>
      <c r="C535" s="21">
        <v>306.08199999999999</v>
      </c>
    </row>
    <row r="536" spans="1:3" x14ac:dyDescent="0.35">
      <c r="A536" s="4" t="s">
        <v>1121</v>
      </c>
      <c r="B536" s="4">
        <v>45199</v>
      </c>
      <c r="C536" s="21">
        <v>307.27600000000001</v>
      </c>
    </row>
    <row r="537" spans="1:3" x14ac:dyDescent="0.35">
      <c r="A537" s="4" t="s">
        <v>1122</v>
      </c>
      <c r="B537" s="4">
        <v>45230</v>
      </c>
      <c r="C537" s="21">
        <v>307.69600000000003</v>
      </c>
    </row>
    <row r="538" spans="1:3" x14ac:dyDescent="0.35">
      <c r="A538" s="4" t="s">
        <v>1123</v>
      </c>
      <c r="B538" s="4">
        <v>45260</v>
      </c>
      <c r="C538" s="21">
        <v>308.14800000000002</v>
      </c>
    </row>
    <row r="539" spans="1:3" x14ac:dyDescent="0.35">
      <c r="A539" s="4" t="s">
        <v>1124</v>
      </c>
      <c r="B539" s="4">
        <v>45291</v>
      </c>
      <c r="C539" s="21">
        <v>308.74099999999999</v>
      </c>
    </row>
    <row r="540" spans="1:3" x14ac:dyDescent="0.35">
      <c r="A540" s="4" t="s">
        <v>1125</v>
      </c>
      <c r="B540" s="4">
        <v>45322</v>
      </c>
      <c r="C540" s="21">
        <v>309.69799999999998</v>
      </c>
    </row>
    <row r="541" spans="1:3" x14ac:dyDescent="0.35">
      <c r="A541" s="4" t="s">
        <v>1126</v>
      </c>
      <c r="B541" s="4">
        <v>45351</v>
      </c>
      <c r="C541" s="21">
        <v>310.96699999999998</v>
      </c>
    </row>
    <row r="542" spans="1:3" x14ac:dyDescent="0.35">
      <c r="A542" s="4" t="s">
        <v>1127</v>
      </c>
      <c r="B542" s="4">
        <v>45382</v>
      </c>
      <c r="C542" s="21">
        <v>312.34500000000003</v>
      </c>
    </row>
    <row r="543" spans="1:3" x14ac:dyDescent="0.35">
      <c r="A543" s="4" t="s">
        <v>1128</v>
      </c>
      <c r="B543" s="4">
        <v>45412</v>
      </c>
      <c r="C543" s="21">
        <v>313.02300000000002</v>
      </c>
    </row>
    <row r="544" spans="1:3" x14ac:dyDescent="0.35">
      <c r="A544" s="4" t="s">
        <v>1129</v>
      </c>
      <c r="B544" s="4">
        <v>45443</v>
      </c>
      <c r="C544" s="21">
        <v>313.17500000000001</v>
      </c>
    </row>
    <row r="545" spans="1:3" x14ac:dyDescent="0.35">
      <c r="A545" s="4" t="s">
        <v>1130</v>
      </c>
      <c r="B545" s="4">
        <v>45473</v>
      </c>
      <c r="C545" s="21">
        <v>313.04399999999998</v>
      </c>
    </row>
    <row r="546" spans="1:3" x14ac:dyDescent="0.35">
      <c r="A546" s="4" t="s">
        <v>1131</v>
      </c>
      <c r="B546" s="4">
        <v>45504</v>
      </c>
      <c r="C546" s="21">
        <v>313.56900000000002</v>
      </c>
    </row>
    <row r="547" spans="1:3" x14ac:dyDescent="0.35">
      <c r="A547" s="4" t="s">
        <v>1132</v>
      </c>
      <c r="B547" s="4">
        <v>45535</v>
      </c>
      <c r="C547" s="21">
        <v>314.06200000000001</v>
      </c>
    </row>
    <row r="548" spans="1:3" x14ac:dyDescent="0.35">
      <c r="A548" s="4" t="s">
        <v>1133</v>
      </c>
      <c r="B548" s="4">
        <v>45565</v>
      </c>
      <c r="C548" s="21">
        <v>314.73200000000003</v>
      </c>
    </row>
    <row r="549" spans="1:3" x14ac:dyDescent="0.35">
      <c r="A549" s="4" t="s">
        <v>1134</v>
      </c>
      <c r="B549" s="4">
        <v>45596</v>
      </c>
      <c r="C549" s="21">
        <v>315.63099999999997</v>
      </c>
    </row>
    <row r="550" spans="1:3" x14ac:dyDescent="0.35">
      <c r="A550" s="4" t="s">
        <v>1135</v>
      </c>
      <c r="B550" s="4">
        <v>45626</v>
      </c>
      <c r="C550" s="21">
        <v>316.52800000000002</v>
      </c>
    </row>
    <row r="551" spans="1:3" x14ac:dyDescent="0.35">
      <c r="A551" s="4" t="s">
        <v>1136</v>
      </c>
      <c r="B551" s="4">
        <v>45657</v>
      </c>
      <c r="C551" s="21">
        <v>317.60399999999998</v>
      </c>
    </row>
    <row r="552" spans="1:3" x14ac:dyDescent="0.35">
      <c r="A552" s="4" t="s">
        <v>1137</v>
      </c>
      <c r="B552" s="4">
        <v>45688</v>
      </c>
      <c r="C552" s="21">
        <v>318.96100000000001</v>
      </c>
    </row>
    <row r="553" spans="1:3" x14ac:dyDescent="0.35">
      <c r="A553" s="4" t="s">
        <v>1138</v>
      </c>
      <c r="B553" s="4">
        <v>45716</v>
      </c>
      <c r="C553" s="21">
        <v>319.67899999999997</v>
      </c>
    </row>
    <row r="554" spans="1:3" x14ac:dyDescent="0.35">
      <c r="A554" s="4" t="s">
        <v>1139</v>
      </c>
      <c r="B554" s="4">
        <v>45747</v>
      </c>
      <c r="C554" s="21">
        <v>319.78500000000003</v>
      </c>
    </row>
    <row r="555" spans="1:3" x14ac:dyDescent="0.35">
      <c r="A555" s="4" t="s">
        <v>1140</v>
      </c>
      <c r="B555" s="4">
        <v>45777</v>
      </c>
      <c r="C555" s="21">
        <v>320.30200000000002</v>
      </c>
    </row>
    <row r="556" spans="1:3" x14ac:dyDescent="0.35">
      <c r="A556" s="4" t="s">
        <v>1141</v>
      </c>
      <c r="B556" s="4">
        <v>45808</v>
      </c>
      <c r="C556" s="21">
        <v>320.62</v>
      </c>
    </row>
    <row r="557" spans="1:3" x14ac:dyDescent="0.35">
      <c r="A557" s="4" t="s">
        <v>1142</v>
      </c>
      <c r="B557" s="4">
        <v>45838</v>
      </c>
      <c r="C557" s="21">
        <v>321.435</v>
      </c>
    </row>
    <row r="558" spans="1:3" x14ac:dyDescent="0.35">
      <c r="A558" s="4" t="s">
        <v>1143</v>
      </c>
      <c r="B558" s="4">
        <v>45869</v>
      </c>
      <c r="C558" s="21">
        <v>322.16899999999998</v>
      </c>
    </row>
    <row r="559" spans="1:3" x14ac:dyDescent="0.35">
      <c r="A559" s="4" t="s">
        <v>1144</v>
      </c>
      <c r="B559" s="4">
        <v>45900</v>
      </c>
      <c r="C559" s="21">
        <v>323.291</v>
      </c>
    </row>
    <row r="560" spans="1:3" x14ac:dyDescent="0.35">
      <c r="A560" s="4" t="s">
        <v>1145</v>
      </c>
      <c r="B560" s="4">
        <v>45930</v>
      </c>
      <c r="C560" s="21">
        <v>324.245</v>
      </c>
    </row>
    <row r="561" spans="1:4" x14ac:dyDescent="0.35">
      <c r="A561" s="4" t="s">
        <v>1146</v>
      </c>
      <c r="B561" s="4">
        <v>45961</v>
      </c>
      <c r="C561" s="21" t="e">
        <v>#N/A</v>
      </c>
    </row>
    <row r="562" spans="1:4" x14ac:dyDescent="0.35">
      <c r="A562" s="4" t="s">
        <v>1147</v>
      </c>
      <c r="B562" s="4">
        <v>45991</v>
      </c>
      <c r="C562" s="21">
        <v>325.06299999999999</v>
      </c>
    </row>
    <row r="563" spans="1:4" x14ac:dyDescent="0.35">
      <c r="A563" s="4" t="s">
        <v>1148</v>
      </c>
      <c r="B563" s="4">
        <v>46022</v>
      </c>
      <c r="C563" s="21">
        <v>326.03100000000001</v>
      </c>
      <c r="D563" s="21">
        <f>AVERAGE(C562:C563)</f>
        <v>325.54700000000003</v>
      </c>
    </row>
    <row r="564" spans="1:4" x14ac:dyDescent="0.35">
      <c r="A564" s="4" t="s">
        <v>1149</v>
      </c>
      <c r="B564" s="4">
        <v>46053</v>
      </c>
      <c r="C564" s="21">
        <v>326.58800000000002</v>
      </c>
    </row>
    <row r="565" spans="1:4" x14ac:dyDescent="0.35">
      <c r="A565" s="4" t="s">
        <v>1150</v>
      </c>
      <c r="B565" s="4">
        <v>46081</v>
      </c>
      <c r="C565" s="21">
        <v>327.45999999999998</v>
      </c>
    </row>
    <row r="566" spans="1:4" x14ac:dyDescent="0.35">
      <c r="A566" t="s">
        <v>1386</v>
      </c>
      <c r="B566" s="4">
        <v>46112</v>
      </c>
      <c r="C566" s="21">
        <v>330.29300000000001</v>
      </c>
    </row>
    <row r="567" spans="1:4" x14ac:dyDescent="0.35">
      <c r="A567" t="s">
        <v>1387</v>
      </c>
      <c r="B567" s="4">
        <v>46142</v>
      </c>
      <c r="C567" s="21">
        <v>332.40699999999998</v>
      </c>
    </row>
    <row r="568" spans="1:4" x14ac:dyDescent="0.35">
      <c r="A568" t="s">
        <v>1388</v>
      </c>
      <c r="B568" s="4">
        <v>46173</v>
      </c>
      <c r="C568" s="21" t="e">
        <v>#N/A</v>
      </c>
    </row>
  </sheetData>
  <hyperlinks>
    <hyperlink ref="C2" r:id="rId1" xr:uid="{67B9F31A-3483-40FC-8D75-C56E0C91B6E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42"/>
  <sheetViews>
    <sheetView showGridLines="0" workbookViewId="0">
      <pane xSplit="1" ySplit="6" topLeftCell="B49" activePane="bottomRight" state="frozen"/>
      <selection pane="topRight" activeCell="B1" sqref="B1"/>
      <selection pane="bottomLeft" activeCell="A7" sqref="A7"/>
      <selection pane="bottomRight" activeCell="E59" sqref="E59"/>
    </sheetView>
  </sheetViews>
  <sheetFormatPr baseColWidth="10" defaultRowHeight="14.5" x14ac:dyDescent="0.35"/>
  <cols>
    <col min="1" max="1" width="15.6328125" customWidth="1"/>
    <col min="2" max="3" width="20.6328125" customWidth="1"/>
    <col min="4" max="5" width="10.6328125" customWidth="1"/>
    <col min="7" max="7" width="21.36328125" customWidth="1"/>
    <col min="8" max="8" width="25.6328125" customWidth="1"/>
    <col min="223" max="223" width="20.6328125" customWidth="1"/>
    <col min="224" max="225" width="15.6328125" customWidth="1"/>
    <col min="226" max="227" width="20.6328125" customWidth="1"/>
    <col min="228" max="228" width="18.6328125" customWidth="1"/>
    <col min="229" max="230" width="22.6328125" customWidth="1"/>
    <col min="231" max="231" width="13.6328125" customWidth="1"/>
    <col min="232" max="232" width="14.6328125" customWidth="1"/>
    <col min="233" max="233" width="10.6328125" customWidth="1"/>
    <col min="234" max="234" width="13.6328125" customWidth="1"/>
    <col min="235" max="235" width="14.6328125" customWidth="1"/>
    <col min="236" max="236" width="10.6328125" customWidth="1"/>
    <col min="237" max="237" width="18.6328125" customWidth="1"/>
    <col min="238" max="239" width="22.6328125" customWidth="1"/>
    <col min="240" max="240" width="13.6328125" customWidth="1"/>
    <col min="241" max="241" width="14.6328125" customWidth="1"/>
  </cols>
  <sheetData>
    <row r="1" spans="1:8" ht="29" x14ac:dyDescent="0.35">
      <c r="A1" s="9" t="s">
        <v>490</v>
      </c>
      <c r="B1" s="9" t="s">
        <v>493</v>
      </c>
      <c r="C1" s="9" t="s">
        <v>496</v>
      </c>
      <c r="D1" s="9" t="s">
        <v>497</v>
      </c>
      <c r="E1" s="9" t="s">
        <v>493</v>
      </c>
      <c r="F1" s="9" t="s">
        <v>496</v>
      </c>
      <c r="G1" s="9" t="s">
        <v>497</v>
      </c>
      <c r="H1" s="9" t="s">
        <v>493</v>
      </c>
    </row>
    <row r="2" spans="1:8" x14ac:dyDescent="0.35">
      <c r="A2" t="s">
        <v>491</v>
      </c>
      <c r="B2" t="s">
        <v>494</v>
      </c>
      <c r="C2" t="s">
        <v>494</v>
      </c>
      <c r="D2" t="s">
        <v>494</v>
      </c>
      <c r="E2" t="s">
        <v>512</v>
      </c>
      <c r="F2" t="s">
        <v>512</v>
      </c>
      <c r="G2" t="s">
        <v>512</v>
      </c>
      <c r="H2" t="s">
        <v>560</v>
      </c>
    </row>
    <row r="3" spans="1:8" x14ac:dyDescent="0.35">
      <c r="A3" t="s">
        <v>492</v>
      </c>
      <c r="B3" t="s">
        <v>495</v>
      </c>
      <c r="C3" t="s">
        <v>495</v>
      </c>
      <c r="D3" t="s">
        <v>495</v>
      </c>
      <c r="E3" t="s">
        <v>495</v>
      </c>
      <c r="F3" t="s">
        <v>495</v>
      </c>
      <c r="G3" t="s">
        <v>495</v>
      </c>
      <c r="H3" t="s">
        <v>495</v>
      </c>
    </row>
    <row r="4" spans="1:8" x14ac:dyDescent="0.35">
      <c r="A4" t="s">
        <v>235</v>
      </c>
      <c r="B4" t="s">
        <v>236</v>
      </c>
      <c r="C4" t="s">
        <v>236</v>
      </c>
      <c r="D4" t="s">
        <v>236</v>
      </c>
      <c r="E4" t="s">
        <v>500</v>
      </c>
      <c r="F4" t="s">
        <v>501</v>
      </c>
      <c r="G4" t="s">
        <v>502</v>
      </c>
      <c r="H4" t="s">
        <v>556</v>
      </c>
    </row>
    <row r="5" spans="1:8" x14ac:dyDescent="0.35">
      <c r="A5" t="s">
        <v>238</v>
      </c>
      <c r="B5" t="s">
        <v>239</v>
      </c>
      <c r="C5" t="s">
        <v>239</v>
      </c>
      <c r="D5" t="s">
        <v>239</v>
      </c>
      <c r="E5" t="s">
        <v>503</v>
      </c>
      <c r="F5" t="s">
        <v>503</v>
      </c>
      <c r="G5" t="s">
        <v>503</v>
      </c>
      <c r="H5" t="s">
        <v>239</v>
      </c>
    </row>
    <row r="6" spans="1:8" x14ac:dyDescent="0.35">
      <c r="A6" t="s">
        <v>240</v>
      </c>
      <c r="B6" t="s">
        <v>241</v>
      </c>
      <c r="C6" t="s">
        <v>241</v>
      </c>
      <c r="D6" t="s">
        <v>241</v>
      </c>
      <c r="E6" t="s">
        <v>241</v>
      </c>
      <c r="F6" t="s">
        <v>241</v>
      </c>
      <c r="G6" t="s">
        <v>241</v>
      </c>
      <c r="H6" t="s">
        <v>241</v>
      </c>
    </row>
    <row r="7" spans="1:8" x14ac:dyDescent="0.35">
      <c r="A7" t="s">
        <v>242</v>
      </c>
      <c r="B7" s="10">
        <v>1E-3</v>
      </c>
      <c r="C7" s="10">
        <v>1E-3</v>
      </c>
      <c r="D7" s="10">
        <v>13.93896</v>
      </c>
      <c r="E7" s="10">
        <v>719.64700000000005</v>
      </c>
      <c r="F7" s="10">
        <v>1561.5989999999999</v>
      </c>
      <c r="G7" s="10">
        <v>1835.4</v>
      </c>
      <c r="H7" s="10">
        <v>16.154900000000001</v>
      </c>
    </row>
    <row r="8" spans="1:8" x14ac:dyDescent="0.35">
      <c r="A8" t="s">
        <v>243</v>
      </c>
      <c r="B8" s="10">
        <v>1E-3</v>
      </c>
      <c r="C8" s="10">
        <v>1E-3</v>
      </c>
      <c r="D8" s="10">
        <v>11.742599999999999</v>
      </c>
      <c r="E8" s="10">
        <v>734.29539999999997</v>
      </c>
      <c r="F8" s="10">
        <v>1554.268</v>
      </c>
      <c r="G8" s="10">
        <v>1797.575</v>
      </c>
      <c r="H8" s="10">
        <v>16.2807</v>
      </c>
    </row>
    <row r="9" spans="1:8" x14ac:dyDescent="0.35">
      <c r="A9" t="s">
        <v>244</v>
      </c>
      <c r="B9" s="10">
        <v>1E-3</v>
      </c>
      <c r="C9" s="10">
        <v>1E-3</v>
      </c>
      <c r="D9" s="10">
        <v>9.0943629999999995</v>
      </c>
      <c r="E9" s="10">
        <v>748.46349999999995</v>
      </c>
      <c r="F9" s="10">
        <v>1553.3820000000001</v>
      </c>
      <c r="G9" s="10">
        <v>1795.425</v>
      </c>
      <c r="H9" s="10">
        <v>15.72297</v>
      </c>
    </row>
    <row r="10" spans="1:8" x14ac:dyDescent="0.35">
      <c r="A10" t="s">
        <v>245</v>
      </c>
      <c r="B10" s="10">
        <v>1E-3</v>
      </c>
      <c r="C10" s="10">
        <v>1E-3</v>
      </c>
      <c r="D10" s="10">
        <v>14.729990000000001</v>
      </c>
      <c r="E10" s="10">
        <v>764.02470000000005</v>
      </c>
      <c r="F10" s="10">
        <v>1554.1110000000001</v>
      </c>
      <c r="G10" s="10">
        <v>1828.925</v>
      </c>
      <c r="H10" s="10">
        <v>15.980729999999999</v>
      </c>
    </row>
    <row r="11" spans="1:8" x14ac:dyDescent="0.35">
      <c r="A11" t="s">
        <v>246</v>
      </c>
      <c r="B11" s="10">
        <v>1E-3</v>
      </c>
      <c r="C11" s="10">
        <v>1E-3</v>
      </c>
      <c r="D11" s="10">
        <v>15.40231</v>
      </c>
      <c r="E11" s="10">
        <v>754.69489999999996</v>
      </c>
      <c r="F11" s="10">
        <v>1555.6110000000001</v>
      </c>
      <c r="G11" s="10">
        <v>1864.75</v>
      </c>
      <c r="H11" s="10">
        <v>16.553239999999999</v>
      </c>
    </row>
    <row r="12" spans="1:8" x14ac:dyDescent="0.35">
      <c r="A12" t="s">
        <v>247</v>
      </c>
      <c r="B12" s="10">
        <v>1E-3</v>
      </c>
      <c r="C12" s="10">
        <v>1E-3</v>
      </c>
      <c r="D12" s="10">
        <v>16.518730000000001</v>
      </c>
      <c r="E12" s="10">
        <v>771.19039999999995</v>
      </c>
      <c r="F12" s="10">
        <v>1560.27</v>
      </c>
      <c r="G12" s="10">
        <v>1850.925</v>
      </c>
      <c r="H12" s="10">
        <v>16.68214</v>
      </c>
    </row>
    <row r="13" spans="1:8" x14ac:dyDescent="0.35">
      <c r="A13" t="s">
        <v>248</v>
      </c>
      <c r="B13" s="10">
        <v>1E-3</v>
      </c>
      <c r="C13" s="10">
        <v>1E-3</v>
      </c>
      <c r="D13" s="10">
        <v>16.470780000000001</v>
      </c>
      <c r="E13" s="10">
        <v>787.24040000000002</v>
      </c>
      <c r="F13" s="10">
        <v>1564.575</v>
      </c>
      <c r="G13" s="10">
        <v>1873.1</v>
      </c>
      <c r="H13" s="10">
        <v>16.11065</v>
      </c>
    </row>
    <row r="14" spans="1:8" x14ac:dyDescent="0.35">
      <c r="A14" t="s">
        <v>249</v>
      </c>
      <c r="B14" s="10">
        <v>1E-3</v>
      </c>
      <c r="C14" s="10">
        <v>1E-3</v>
      </c>
      <c r="D14" s="10">
        <v>12.665609999999999</v>
      </c>
      <c r="E14" s="10">
        <v>804.71950000000004</v>
      </c>
      <c r="F14" s="10">
        <v>1568.2460000000001</v>
      </c>
      <c r="G14" s="10">
        <v>1852.7</v>
      </c>
      <c r="H14" s="10">
        <v>16.374770000000002</v>
      </c>
    </row>
    <row r="15" spans="1:8" x14ac:dyDescent="0.35">
      <c r="A15" t="s">
        <v>250</v>
      </c>
      <c r="B15" s="10">
        <v>1E-3</v>
      </c>
      <c r="C15" s="10">
        <v>1E-3</v>
      </c>
      <c r="D15" s="10">
        <v>13.27632</v>
      </c>
      <c r="E15" s="10">
        <v>820.29489999999998</v>
      </c>
      <c r="F15" s="10">
        <v>1574.7280000000001</v>
      </c>
      <c r="G15" s="10">
        <v>1823.9</v>
      </c>
      <c r="H15" s="10">
        <v>16.87782</v>
      </c>
    </row>
    <row r="16" spans="1:8" x14ac:dyDescent="0.35">
      <c r="A16" t="s">
        <v>251</v>
      </c>
      <c r="B16" s="10">
        <v>1E-3</v>
      </c>
      <c r="C16" s="10">
        <v>1E-3</v>
      </c>
      <c r="D16" s="10">
        <v>13.511889999999999</v>
      </c>
      <c r="E16" s="10">
        <v>839.24869999999999</v>
      </c>
      <c r="F16" s="10">
        <v>1576.846</v>
      </c>
      <c r="G16" s="10">
        <v>1832.2249999999999</v>
      </c>
      <c r="H16" s="10">
        <v>17.009239999999998</v>
      </c>
    </row>
    <row r="17" spans="1:8" x14ac:dyDescent="0.35">
      <c r="A17" t="s">
        <v>252</v>
      </c>
      <c r="B17" s="10">
        <v>1E-3</v>
      </c>
      <c r="C17" s="10">
        <v>1E-3</v>
      </c>
      <c r="D17" s="10">
        <v>10.25</v>
      </c>
      <c r="E17" s="10">
        <v>859.08540000000005</v>
      </c>
      <c r="F17" s="10">
        <v>1568.4349999999999</v>
      </c>
      <c r="G17" s="10">
        <v>1825.2249999999999</v>
      </c>
      <c r="H17" s="10">
        <v>16.426549999999999</v>
      </c>
    </row>
    <row r="18" spans="1:8" x14ac:dyDescent="0.35">
      <c r="A18" t="s">
        <v>253</v>
      </c>
      <c r="B18" s="10">
        <v>1E-3</v>
      </c>
      <c r="C18" s="10">
        <v>1E-3</v>
      </c>
      <c r="D18" s="10">
        <v>9.1893940000000001</v>
      </c>
      <c r="E18" s="10">
        <v>879.73400000000004</v>
      </c>
      <c r="F18" s="10">
        <v>1569.1079999999999</v>
      </c>
      <c r="G18" s="10">
        <v>1825.95</v>
      </c>
      <c r="H18" s="10">
        <v>16.69584</v>
      </c>
    </row>
    <row r="19" spans="1:8" x14ac:dyDescent="0.35">
      <c r="A19" t="s">
        <v>254</v>
      </c>
      <c r="B19" s="10">
        <v>1E-3</v>
      </c>
      <c r="C19" s="10">
        <v>1E-3</v>
      </c>
      <c r="D19" s="10">
        <v>8.5019530000000003</v>
      </c>
      <c r="E19" s="10">
        <v>905.58069999999998</v>
      </c>
      <c r="F19" s="10">
        <v>1579.5550000000001</v>
      </c>
      <c r="G19" s="10">
        <v>1850.0250000000001</v>
      </c>
      <c r="H19" s="10">
        <v>17.217140000000001</v>
      </c>
    </row>
    <row r="20" spans="1:8" x14ac:dyDescent="0.35">
      <c r="A20" t="s">
        <v>255</v>
      </c>
      <c r="B20" s="10">
        <v>1E-3</v>
      </c>
      <c r="C20" s="10">
        <v>1E-3</v>
      </c>
      <c r="D20" s="10">
        <v>8.6961539999999999</v>
      </c>
      <c r="E20" s="10">
        <v>928.59230000000002</v>
      </c>
      <c r="F20" s="10">
        <v>1589.8910000000001</v>
      </c>
      <c r="G20" s="10">
        <v>1892.125</v>
      </c>
      <c r="H20" s="10">
        <v>17.351209999999998</v>
      </c>
    </row>
    <row r="21" spans="1:8" x14ac:dyDescent="0.35">
      <c r="A21" t="s">
        <v>256</v>
      </c>
      <c r="B21" s="10">
        <v>1E-3</v>
      </c>
      <c r="C21" s="10">
        <v>1E-3</v>
      </c>
      <c r="D21" s="10">
        <v>9.3825760000000002</v>
      </c>
      <c r="E21" s="10">
        <v>953.23149999999998</v>
      </c>
      <c r="F21" s="10">
        <v>1594.021</v>
      </c>
      <c r="G21" s="10">
        <v>1929.925</v>
      </c>
      <c r="H21" s="10">
        <v>16.756810000000002</v>
      </c>
    </row>
    <row r="22" spans="1:8" x14ac:dyDescent="0.35">
      <c r="A22" t="s">
        <v>257</v>
      </c>
      <c r="B22" s="10">
        <v>1E-3</v>
      </c>
      <c r="C22" s="10">
        <v>1E-3</v>
      </c>
      <c r="D22" s="10">
        <v>9.375</v>
      </c>
      <c r="E22" s="10">
        <v>976.37130000000002</v>
      </c>
      <c r="F22" s="10">
        <v>1611.454</v>
      </c>
      <c r="G22" s="10">
        <v>1970.2</v>
      </c>
      <c r="H22" s="10">
        <v>17.031510000000001</v>
      </c>
    </row>
    <row r="23" spans="1:8" x14ac:dyDescent="0.35">
      <c r="A23" t="s">
        <v>258</v>
      </c>
      <c r="B23" s="10">
        <v>1E-3</v>
      </c>
      <c r="C23" s="10">
        <v>1E-3</v>
      </c>
      <c r="D23" s="10">
        <v>9.4096159999999998</v>
      </c>
      <c r="E23" s="10">
        <v>1041.193</v>
      </c>
      <c r="F23" s="10">
        <v>1625.299</v>
      </c>
      <c r="G23" s="10">
        <v>2008.7</v>
      </c>
      <c r="H23" s="10">
        <v>17.689250000000001</v>
      </c>
    </row>
    <row r="24" spans="1:8" x14ac:dyDescent="0.35">
      <c r="A24" t="s">
        <v>259</v>
      </c>
      <c r="B24" s="10">
        <v>1E-3</v>
      </c>
      <c r="C24" s="10">
        <v>1E-3</v>
      </c>
      <c r="D24" s="10">
        <v>10.5</v>
      </c>
      <c r="E24" s="10">
        <v>1068.7919999999999</v>
      </c>
      <c r="F24" s="10">
        <v>1617.6179999999999</v>
      </c>
      <c r="G24" s="10">
        <v>2043.425</v>
      </c>
      <c r="H24" s="10">
        <v>17.826989999999999</v>
      </c>
    </row>
    <row r="25" spans="1:8" x14ac:dyDescent="0.35">
      <c r="A25" t="s">
        <v>260</v>
      </c>
      <c r="B25" s="10">
        <v>1E-3</v>
      </c>
      <c r="C25" s="10">
        <v>1E-3</v>
      </c>
      <c r="D25" s="10">
        <v>11.28462</v>
      </c>
      <c r="E25" s="10">
        <v>1098.5409999999999</v>
      </c>
      <c r="F25" s="10">
        <v>1634.297</v>
      </c>
      <c r="G25" s="10">
        <v>2063.125</v>
      </c>
      <c r="H25" s="10">
        <v>17.216290000000001</v>
      </c>
    </row>
    <row r="26" spans="1:8" x14ac:dyDescent="0.35">
      <c r="A26" t="s">
        <v>261</v>
      </c>
      <c r="B26" s="10">
        <v>1E-3</v>
      </c>
      <c r="C26" s="10">
        <v>1E-3</v>
      </c>
      <c r="D26" s="10">
        <v>9.530303</v>
      </c>
      <c r="E26" s="10">
        <v>1126.01</v>
      </c>
      <c r="F26" s="10">
        <v>1642.66</v>
      </c>
      <c r="G26" s="10">
        <v>2080.0500000000002</v>
      </c>
      <c r="H26" s="10">
        <v>17.498529999999999</v>
      </c>
    </row>
    <row r="27" spans="1:8" x14ac:dyDescent="0.35">
      <c r="A27" t="s">
        <v>262</v>
      </c>
      <c r="B27" s="10">
        <v>1E-3</v>
      </c>
      <c r="C27" s="10">
        <v>1E-3</v>
      </c>
      <c r="D27" s="10">
        <v>8.2832030000000003</v>
      </c>
      <c r="E27" s="10">
        <v>1179.425</v>
      </c>
      <c r="F27" s="10">
        <v>1646.3510000000001</v>
      </c>
      <c r="G27" s="10">
        <v>2100.1999999999998</v>
      </c>
      <c r="H27" s="10">
        <v>18.809449999999998</v>
      </c>
    </row>
    <row r="28" spans="1:8" x14ac:dyDescent="0.35">
      <c r="A28" t="s">
        <v>263</v>
      </c>
      <c r="B28" s="10">
        <v>1E-3</v>
      </c>
      <c r="C28" s="10">
        <v>1E-3</v>
      </c>
      <c r="D28" s="10">
        <v>8.0884619999999998</v>
      </c>
      <c r="E28" s="10">
        <v>1212.5350000000001</v>
      </c>
      <c r="F28" s="10">
        <v>1662.06</v>
      </c>
      <c r="G28" s="10">
        <v>2118.6999999999998</v>
      </c>
      <c r="H28" s="10">
        <v>19.47148</v>
      </c>
    </row>
    <row r="29" spans="1:8" x14ac:dyDescent="0.35">
      <c r="A29" t="s">
        <v>264</v>
      </c>
      <c r="B29" s="10">
        <v>1E-3</v>
      </c>
      <c r="C29" s="10">
        <v>1E-3</v>
      </c>
      <c r="D29" s="10">
        <v>7.8162880000000001</v>
      </c>
      <c r="E29" s="10">
        <v>1245.585</v>
      </c>
      <c r="F29" s="10">
        <v>1676.1310000000001</v>
      </c>
      <c r="G29" s="10">
        <v>2151.0500000000002</v>
      </c>
      <c r="H29" s="10">
        <v>19.13316</v>
      </c>
    </row>
    <row r="30" spans="1:8" x14ac:dyDescent="0.35">
      <c r="A30" t="s">
        <v>265</v>
      </c>
      <c r="B30" s="10">
        <v>1E-3</v>
      </c>
      <c r="C30" s="10">
        <v>1E-3</v>
      </c>
      <c r="D30" s="10">
        <v>7.9621209999999998</v>
      </c>
      <c r="E30" s="10">
        <v>1275.758</v>
      </c>
      <c r="F30" s="10">
        <v>1686.123</v>
      </c>
      <c r="G30" s="10">
        <v>2167.0500000000002</v>
      </c>
      <c r="H30" s="10">
        <v>19.49944</v>
      </c>
    </row>
    <row r="31" spans="1:8" x14ac:dyDescent="0.35">
      <c r="A31" t="s">
        <v>266</v>
      </c>
      <c r="B31" s="10">
        <v>1E-3</v>
      </c>
      <c r="C31" s="10">
        <v>1E-3</v>
      </c>
      <c r="D31" s="10">
        <v>7.6171879999999996</v>
      </c>
      <c r="E31" s="10">
        <v>1285.894</v>
      </c>
      <c r="F31" s="10">
        <v>1680.3710000000001</v>
      </c>
      <c r="G31" s="10">
        <v>2187.2750000000001</v>
      </c>
      <c r="H31" s="10">
        <v>20.319970000000001</v>
      </c>
    </row>
    <row r="32" spans="1:8" x14ac:dyDescent="0.35">
      <c r="A32" t="s">
        <v>267</v>
      </c>
      <c r="B32" s="10">
        <v>1E-3</v>
      </c>
      <c r="C32" s="10">
        <v>1E-3</v>
      </c>
      <c r="D32" s="10">
        <v>6.9162229999999996</v>
      </c>
      <c r="E32" s="10">
        <v>1321.713</v>
      </c>
      <c r="F32" s="10">
        <v>1711.181</v>
      </c>
      <c r="G32" s="10">
        <v>2197.125</v>
      </c>
      <c r="H32" s="10">
        <v>20.360600000000002</v>
      </c>
    </row>
    <row r="33" spans="1:8" x14ac:dyDescent="0.35">
      <c r="A33" t="s">
        <v>268</v>
      </c>
      <c r="B33" s="10">
        <v>1E-3</v>
      </c>
      <c r="C33" s="10">
        <v>1E-3</v>
      </c>
      <c r="D33" s="10">
        <v>6.2159089999999999</v>
      </c>
      <c r="E33" s="10">
        <v>1355.3150000000001</v>
      </c>
      <c r="F33" s="10">
        <v>1719.874</v>
      </c>
      <c r="G33" s="10">
        <v>2218.15</v>
      </c>
      <c r="H33" s="10">
        <v>19.96302</v>
      </c>
    </row>
    <row r="34" spans="1:8" x14ac:dyDescent="0.35">
      <c r="A34" t="s">
        <v>269</v>
      </c>
      <c r="B34" s="10">
        <v>1E-3</v>
      </c>
      <c r="C34" s="10">
        <v>1E-3</v>
      </c>
      <c r="D34" s="10">
        <v>5.875</v>
      </c>
      <c r="E34" s="10">
        <v>1387.2260000000001</v>
      </c>
      <c r="F34" s="10">
        <v>1724.133</v>
      </c>
      <c r="G34" s="10">
        <v>2230.0500000000002</v>
      </c>
      <c r="H34" s="10">
        <v>20.648679999999999</v>
      </c>
    </row>
    <row r="35" spans="1:8" x14ac:dyDescent="0.35">
      <c r="A35" t="s">
        <v>270</v>
      </c>
      <c r="B35" s="10">
        <v>1E-3</v>
      </c>
      <c r="C35" s="10">
        <v>1E-3</v>
      </c>
      <c r="D35" s="10">
        <v>5.9960940000000003</v>
      </c>
      <c r="E35" s="10">
        <v>1438.79</v>
      </c>
      <c r="F35" s="10">
        <v>1715.8589999999999</v>
      </c>
      <c r="G35" s="10">
        <v>2246.6</v>
      </c>
      <c r="H35" s="10">
        <v>21.42409</v>
      </c>
    </row>
    <row r="36" spans="1:8" x14ac:dyDescent="0.35">
      <c r="A36" t="s">
        <v>271</v>
      </c>
      <c r="B36" s="10">
        <v>1E-3</v>
      </c>
      <c r="C36" s="10">
        <v>1E-3</v>
      </c>
      <c r="D36" s="10">
        <v>6.4461539999999999</v>
      </c>
      <c r="E36" s="10">
        <v>1478.825</v>
      </c>
      <c r="F36" s="10">
        <v>1744.7670000000001</v>
      </c>
      <c r="G36" s="10">
        <v>2270.8249999999998</v>
      </c>
      <c r="H36" s="10">
        <v>21.860009999999999</v>
      </c>
    </row>
    <row r="37" spans="1:8" x14ac:dyDescent="0.35">
      <c r="A37" t="s">
        <v>272</v>
      </c>
      <c r="B37" s="10">
        <v>1E-3</v>
      </c>
      <c r="C37" s="10">
        <v>1E-3</v>
      </c>
      <c r="D37" s="10">
        <v>6.8248110000000004</v>
      </c>
      <c r="E37" s="10">
        <v>1512.607</v>
      </c>
      <c r="F37" s="10">
        <v>1763.5039999999999</v>
      </c>
      <c r="G37" s="10">
        <v>2290.5</v>
      </c>
      <c r="H37" s="10">
        <v>21.539639999999999</v>
      </c>
    </row>
    <row r="38" spans="1:8" x14ac:dyDescent="0.35">
      <c r="A38" t="s">
        <v>273</v>
      </c>
      <c r="B38" s="10">
        <v>1E-3</v>
      </c>
      <c r="C38" s="10">
        <v>1E-3</v>
      </c>
      <c r="D38" s="10">
        <v>6.9943179999999998</v>
      </c>
      <c r="E38" s="10">
        <v>1545.578</v>
      </c>
      <c r="F38" s="10">
        <v>1785.9829999999999</v>
      </c>
      <c r="G38" s="10">
        <v>2329.8249999999998</v>
      </c>
      <c r="H38" s="10">
        <v>22.348549999999999</v>
      </c>
    </row>
    <row r="39" spans="1:8" x14ac:dyDescent="0.35">
      <c r="A39" t="s">
        <v>274</v>
      </c>
      <c r="B39" s="10">
        <v>1E-3</v>
      </c>
      <c r="C39" s="10">
        <v>1E-3</v>
      </c>
      <c r="D39" s="10">
        <v>6.6182689999999997</v>
      </c>
      <c r="E39" s="10">
        <v>1604.2170000000001</v>
      </c>
      <c r="F39" s="10">
        <v>1795.845</v>
      </c>
      <c r="G39" s="10">
        <v>2341.875</v>
      </c>
      <c r="H39" s="10">
        <v>23.64554</v>
      </c>
    </row>
    <row r="40" spans="1:8" x14ac:dyDescent="0.35">
      <c r="A40" t="s">
        <v>275</v>
      </c>
      <c r="B40" s="10">
        <v>1E-3</v>
      </c>
      <c r="C40" s="10">
        <v>1E-3</v>
      </c>
      <c r="D40" s="10">
        <v>7.024038</v>
      </c>
      <c r="E40" s="10">
        <v>1646.827</v>
      </c>
      <c r="F40" s="10">
        <v>1812.354</v>
      </c>
      <c r="G40" s="10">
        <v>2372.65</v>
      </c>
      <c r="H40" s="10">
        <v>24.971060000000001</v>
      </c>
    </row>
    <row r="41" spans="1:8" x14ac:dyDescent="0.35">
      <c r="A41" t="s">
        <v>276</v>
      </c>
      <c r="B41" s="10">
        <v>1E-3</v>
      </c>
      <c r="C41" s="10">
        <v>1E-3</v>
      </c>
      <c r="D41" s="10">
        <v>7.9128790000000002</v>
      </c>
      <c r="E41" s="10">
        <v>1680.9010000000001</v>
      </c>
      <c r="F41" s="10">
        <v>1834.8019999999999</v>
      </c>
      <c r="G41" s="10">
        <v>2386.5500000000002</v>
      </c>
      <c r="H41" s="10">
        <v>26.512989999999999</v>
      </c>
    </row>
    <row r="42" spans="1:8" x14ac:dyDescent="0.35">
      <c r="A42" t="s">
        <v>277</v>
      </c>
      <c r="B42" s="10">
        <v>1E-3</v>
      </c>
      <c r="C42" s="10">
        <v>1E-3</v>
      </c>
      <c r="D42" s="10">
        <v>8.3028849999999998</v>
      </c>
      <c r="E42" s="10">
        <v>1714.903</v>
      </c>
      <c r="F42" s="10">
        <v>1851.771</v>
      </c>
      <c r="G42" s="10">
        <v>2418.35</v>
      </c>
      <c r="H42" s="10">
        <v>28.44218</v>
      </c>
    </row>
    <row r="43" spans="1:8" x14ac:dyDescent="0.35">
      <c r="A43" t="s">
        <v>278</v>
      </c>
      <c r="B43" s="10">
        <v>1E-3</v>
      </c>
      <c r="C43" s="10">
        <v>1E-3</v>
      </c>
      <c r="D43" s="10">
        <v>9.3298070000000006</v>
      </c>
      <c r="E43" s="10">
        <v>1675.21</v>
      </c>
      <c r="F43" s="10">
        <v>1873.5219999999999</v>
      </c>
      <c r="G43" s="10">
        <v>2442.9250000000002</v>
      </c>
      <c r="H43" s="10">
        <v>30.178270000000001</v>
      </c>
    </row>
    <row r="44" spans="1:8" x14ac:dyDescent="0.35">
      <c r="A44" t="s">
        <v>279</v>
      </c>
      <c r="B44" s="10">
        <v>1E-3</v>
      </c>
      <c r="C44" s="10">
        <v>1E-3</v>
      </c>
      <c r="D44" s="10">
        <v>9.708653</v>
      </c>
      <c r="E44" s="10">
        <v>1716.7539999999999</v>
      </c>
      <c r="F44" s="10">
        <v>1891.3330000000001</v>
      </c>
      <c r="G44" s="10">
        <v>2461.5749999999998</v>
      </c>
      <c r="H44" s="10">
        <v>31.141940000000002</v>
      </c>
    </row>
    <row r="45" spans="1:8" x14ac:dyDescent="0.35">
      <c r="A45" t="s">
        <v>280</v>
      </c>
      <c r="B45" s="10">
        <v>1E-3</v>
      </c>
      <c r="C45" s="10">
        <v>1E-3</v>
      </c>
      <c r="D45" s="10">
        <v>9.1432699999999993</v>
      </c>
      <c r="E45" s="10">
        <v>1750.557</v>
      </c>
      <c r="F45" s="10">
        <v>1902.6420000000001</v>
      </c>
      <c r="G45" s="10">
        <v>2479.8000000000002</v>
      </c>
      <c r="H45" s="10">
        <v>30.568190000000001</v>
      </c>
    </row>
    <row r="46" spans="1:8" x14ac:dyDescent="0.35">
      <c r="A46" t="s">
        <v>281</v>
      </c>
      <c r="B46" s="10">
        <v>1E-3</v>
      </c>
      <c r="C46" s="10">
        <v>1E-3</v>
      </c>
      <c r="D46" s="10">
        <v>8.6240389999999998</v>
      </c>
      <c r="E46" s="10">
        <v>1788.0060000000001</v>
      </c>
      <c r="F46" s="10">
        <v>1922.4690000000001</v>
      </c>
      <c r="G46" s="10">
        <v>2484.6999999999998</v>
      </c>
      <c r="H46" s="10">
        <v>30.58344</v>
      </c>
    </row>
    <row r="47" spans="1:8" x14ac:dyDescent="0.35">
      <c r="A47" t="s">
        <v>282</v>
      </c>
      <c r="B47" s="10">
        <v>1E-3</v>
      </c>
      <c r="C47" s="10">
        <v>10.76</v>
      </c>
      <c r="D47" s="10">
        <v>8.25</v>
      </c>
      <c r="E47" s="10">
        <v>1738.646</v>
      </c>
      <c r="F47" s="10">
        <v>1948.5329999999999</v>
      </c>
      <c r="G47" s="10">
        <v>2511.85</v>
      </c>
      <c r="H47" s="10">
        <v>31.39414</v>
      </c>
    </row>
    <row r="48" spans="1:8" x14ac:dyDescent="0.35">
      <c r="A48" t="s">
        <v>283</v>
      </c>
      <c r="B48" s="10">
        <v>1E-3</v>
      </c>
      <c r="C48" s="10">
        <v>10.15333</v>
      </c>
      <c r="D48" s="10">
        <v>8.25</v>
      </c>
      <c r="E48" s="10">
        <v>1782.2909999999999</v>
      </c>
      <c r="F48" s="10">
        <v>1957.43</v>
      </c>
      <c r="G48" s="10">
        <v>2520.9749999999999</v>
      </c>
      <c r="H48" s="10">
        <v>31.868369999999999</v>
      </c>
    </row>
    <row r="49" spans="1:8" x14ac:dyDescent="0.35">
      <c r="A49" t="s">
        <v>284</v>
      </c>
      <c r="B49" s="10">
        <v>1E-3</v>
      </c>
      <c r="C49" s="10">
        <v>10.07333</v>
      </c>
      <c r="D49" s="10">
        <v>8.0346159999999998</v>
      </c>
      <c r="E49" s="10">
        <v>1819.7850000000001</v>
      </c>
      <c r="F49" s="10">
        <v>1975.585</v>
      </c>
      <c r="G49" s="10">
        <v>2522.65</v>
      </c>
      <c r="H49" s="10">
        <v>31.23123</v>
      </c>
    </row>
    <row r="50" spans="1:8" x14ac:dyDescent="0.35">
      <c r="A50" t="s">
        <v>285</v>
      </c>
      <c r="B50" s="10">
        <v>1E-3</v>
      </c>
      <c r="C50" s="10">
        <v>10.51667</v>
      </c>
      <c r="D50" s="10">
        <v>7.5909089999999999</v>
      </c>
      <c r="E50" s="10">
        <v>1863.5650000000001</v>
      </c>
      <c r="F50" s="10">
        <v>1986.7639999999999</v>
      </c>
      <c r="G50" s="10">
        <v>2499.6750000000002</v>
      </c>
      <c r="H50" s="10">
        <v>31.714759999999998</v>
      </c>
    </row>
    <row r="51" spans="1:8" x14ac:dyDescent="0.35">
      <c r="A51" t="s">
        <v>286</v>
      </c>
      <c r="B51" s="10">
        <v>1E-3</v>
      </c>
      <c r="C51" s="10">
        <v>10.65667</v>
      </c>
      <c r="D51" s="10">
        <v>6.390625</v>
      </c>
      <c r="E51" s="10">
        <v>1893.595</v>
      </c>
      <c r="F51" s="10">
        <v>2000.4929999999999</v>
      </c>
      <c r="G51" s="10">
        <v>2487.9749999999999</v>
      </c>
      <c r="H51" s="10">
        <v>31.97974</v>
      </c>
    </row>
    <row r="52" spans="1:8" x14ac:dyDescent="0.35">
      <c r="A52" t="s">
        <v>287</v>
      </c>
      <c r="B52" s="10">
        <v>1E-3</v>
      </c>
      <c r="C52" s="10">
        <v>10.09333</v>
      </c>
      <c r="D52" s="10">
        <v>5.8307690000000001</v>
      </c>
      <c r="E52" s="10">
        <v>1946.5920000000001</v>
      </c>
      <c r="F52" s="10">
        <v>2006.4359999999999</v>
      </c>
      <c r="G52" s="10">
        <v>2507.375</v>
      </c>
      <c r="H52" s="10">
        <v>32.853839999999998</v>
      </c>
    </row>
    <row r="53" spans="1:8" x14ac:dyDescent="0.35">
      <c r="A53" t="s">
        <v>288</v>
      </c>
      <c r="B53" s="10">
        <v>1E-3</v>
      </c>
      <c r="C53" s="10">
        <v>10.18333</v>
      </c>
      <c r="D53" s="10">
        <v>5.5530299999999997</v>
      </c>
      <c r="E53" s="10">
        <v>1994.182</v>
      </c>
      <c r="F53" s="10">
        <v>2005.8820000000001</v>
      </c>
      <c r="G53" s="10">
        <v>2520.0500000000002</v>
      </c>
      <c r="H53" s="10">
        <v>32.698709999999998</v>
      </c>
    </row>
    <row r="54" spans="1:8" x14ac:dyDescent="0.35">
      <c r="A54" t="s">
        <v>289</v>
      </c>
      <c r="B54" s="10">
        <v>1E-3</v>
      </c>
      <c r="C54" s="10">
        <v>10.383330000000001</v>
      </c>
      <c r="D54" s="10">
        <v>4.8030299999999997</v>
      </c>
      <c r="E54" s="10">
        <v>2048.3679999999999</v>
      </c>
      <c r="F54" s="10">
        <v>2024.9570000000001</v>
      </c>
      <c r="G54" s="10">
        <v>2528.8249999999998</v>
      </c>
      <c r="H54" s="10">
        <v>33.16292</v>
      </c>
    </row>
    <row r="55" spans="1:8" x14ac:dyDescent="0.35">
      <c r="A55" t="s">
        <v>290</v>
      </c>
      <c r="B55" s="10">
        <v>1E-3</v>
      </c>
      <c r="C55" s="10">
        <v>10.543329999999999</v>
      </c>
      <c r="D55" s="10">
        <v>4</v>
      </c>
      <c r="E55" s="10">
        <v>2135.1120000000001</v>
      </c>
      <c r="F55" s="10">
        <v>2055.5250000000001</v>
      </c>
      <c r="G55" s="10">
        <v>2559.1</v>
      </c>
      <c r="H55" s="10">
        <v>33.695929999999997</v>
      </c>
    </row>
    <row r="56" spans="1:8" x14ac:dyDescent="0.35">
      <c r="A56" t="s">
        <v>291</v>
      </c>
      <c r="B56" s="10">
        <v>1E-3</v>
      </c>
      <c r="C56" s="10">
        <v>10.68333</v>
      </c>
      <c r="D56" s="10">
        <v>3.7730769999999998</v>
      </c>
      <c r="E56" s="10">
        <v>2219.2600000000002</v>
      </c>
      <c r="F56" s="10">
        <v>2039.835</v>
      </c>
      <c r="G56" s="10">
        <v>2586.85</v>
      </c>
      <c r="H56" s="10">
        <v>34.668750000000003</v>
      </c>
    </row>
    <row r="57" spans="1:8" x14ac:dyDescent="0.35">
      <c r="A57" t="s">
        <v>292</v>
      </c>
      <c r="B57" s="10">
        <v>1E-3</v>
      </c>
      <c r="C57" s="10">
        <v>11.48333</v>
      </c>
      <c r="D57" s="10">
        <v>3.1856059999999999</v>
      </c>
      <c r="E57" s="10">
        <v>2291.915</v>
      </c>
      <c r="F57" s="10">
        <v>2034.123</v>
      </c>
      <c r="G57" s="10">
        <v>2612.4250000000002</v>
      </c>
      <c r="H57" s="10">
        <v>34.718559999999997</v>
      </c>
    </row>
    <row r="58" spans="1:8" x14ac:dyDescent="0.35">
      <c r="A58" t="s">
        <v>293</v>
      </c>
      <c r="B58" s="10">
        <v>1E-3</v>
      </c>
      <c r="C58" s="10">
        <v>10.96</v>
      </c>
      <c r="D58" s="10">
        <v>3</v>
      </c>
      <c r="E58" s="10">
        <v>2354.6309999999999</v>
      </c>
      <c r="F58" s="10">
        <v>2030.056</v>
      </c>
      <c r="G58" s="10">
        <v>2639.65</v>
      </c>
      <c r="H58" s="10">
        <v>35.915669999999999</v>
      </c>
    </row>
    <row r="59" spans="1:8" x14ac:dyDescent="0.35">
      <c r="A59" t="s">
        <v>294</v>
      </c>
      <c r="B59" s="10">
        <v>1E-3</v>
      </c>
      <c r="C59" s="10">
        <v>10.32667</v>
      </c>
      <c r="D59" s="10">
        <v>3</v>
      </c>
      <c r="E59" s="10">
        <v>2444.5549999999998</v>
      </c>
      <c r="F59" s="10">
        <v>2016.2239999999999</v>
      </c>
      <c r="G59" s="10">
        <v>2644.0749999999998</v>
      </c>
      <c r="H59" s="10">
        <v>37.436990000000002</v>
      </c>
    </row>
    <row r="60" spans="1:8" x14ac:dyDescent="0.35">
      <c r="A60" t="s">
        <v>295</v>
      </c>
      <c r="B60" s="10">
        <v>1E-3</v>
      </c>
      <c r="C60" s="10">
        <v>8.7333339999999993</v>
      </c>
      <c r="D60" s="10">
        <v>3</v>
      </c>
      <c r="E60" s="10">
        <v>2519.4549999999999</v>
      </c>
      <c r="F60" s="10">
        <v>2017.7190000000001</v>
      </c>
      <c r="G60" s="10">
        <v>2659.45</v>
      </c>
      <c r="H60" s="10">
        <v>39.486440000000002</v>
      </c>
    </row>
    <row r="61" spans="1:8" x14ac:dyDescent="0.35">
      <c r="A61" t="s">
        <v>296</v>
      </c>
      <c r="B61" s="10">
        <v>1E-3</v>
      </c>
      <c r="C61" s="10">
        <v>7.8833330000000004</v>
      </c>
      <c r="D61" s="10">
        <v>3</v>
      </c>
      <c r="E61" s="10">
        <v>2598.355</v>
      </c>
      <c r="F61" s="10">
        <v>2026.0840000000001</v>
      </c>
      <c r="G61" s="10">
        <v>2672.15</v>
      </c>
      <c r="H61" s="10">
        <v>40.306609999999999</v>
      </c>
    </row>
    <row r="62" spans="1:8" x14ac:dyDescent="0.35">
      <c r="A62" t="s">
        <v>297</v>
      </c>
      <c r="B62" s="10">
        <v>1E-3</v>
      </c>
      <c r="C62" s="10">
        <v>7.19</v>
      </c>
      <c r="D62" s="10">
        <v>3</v>
      </c>
      <c r="E62" s="10">
        <v>2692.1610000000001</v>
      </c>
      <c r="F62" s="10">
        <v>2031.39</v>
      </c>
      <c r="G62" s="10">
        <v>2708.5</v>
      </c>
      <c r="H62" s="10">
        <v>42.071530000000003</v>
      </c>
    </row>
    <row r="63" spans="1:8" x14ac:dyDescent="0.35">
      <c r="A63" t="s">
        <v>298</v>
      </c>
      <c r="B63" s="10">
        <v>1E-3</v>
      </c>
      <c r="C63" s="10">
        <v>6.84</v>
      </c>
      <c r="D63" s="10">
        <v>3.1875</v>
      </c>
      <c r="E63" s="10">
        <v>2774.703</v>
      </c>
      <c r="F63" s="10">
        <v>2050.2130000000002</v>
      </c>
      <c r="G63" s="10">
        <v>2734.7750000000001</v>
      </c>
      <c r="H63" s="10">
        <v>45.761339999999997</v>
      </c>
    </row>
    <row r="64" spans="1:8" x14ac:dyDescent="0.35">
      <c r="A64" t="s">
        <v>299</v>
      </c>
      <c r="B64" s="10">
        <v>1E-3</v>
      </c>
      <c r="C64" s="10">
        <v>6.37</v>
      </c>
      <c r="D64" s="10">
        <v>3.9615390000000001</v>
      </c>
      <c r="E64" s="10">
        <v>2861.518</v>
      </c>
      <c r="F64" s="10">
        <v>2062.9830000000002</v>
      </c>
      <c r="G64" s="10">
        <v>2771.85</v>
      </c>
      <c r="H64" s="10">
        <v>48.121180000000003</v>
      </c>
    </row>
    <row r="65" spans="1:8" x14ac:dyDescent="0.35">
      <c r="A65" t="s">
        <v>300</v>
      </c>
      <c r="B65" s="10">
        <v>1E-3</v>
      </c>
      <c r="C65" s="10">
        <v>6.3833330000000004</v>
      </c>
      <c r="D65" s="10">
        <v>4.5075760000000002</v>
      </c>
      <c r="E65" s="10">
        <v>2947.4859999999999</v>
      </c>
      <c r="F65" s="10">
        <v>2076.8760000000002</v>
      </c>
      <c r="G65" s="10">
        <v>2788.05</v>
      </c>
      <c r="H65" s="10">
        <v>50.675190000000001</v>
      </c>
    </row>
    <row r="66" spans="1:8" x14ac:dyDescent="0.35">
      <c r="A66" t="s">
        <v>301</v>
      </c>
      <c r="B66" s="10">
        <v>1E-3</v>
      </c>
      <c r="C66" s="10">
        <v>6.5066670000000002</v>
      </c>
      <c r="D66" s="10">
        <v>5.1423079999999999</v>
      </c>
      <c r="E66" s="10">
        <v>3017.0059999999999</v>
      </c>
      <c r="F66" s="10">
        <v>2093.3539999999998</v>
      </c>
      <c r="G66" s="10">
        <v>2819.9749999999999</v>
      </c>
      <c r="H66" s="10">
        <v>53.382339999999999</v>
      </c>
    </row>
    <row r="67" spans="1:8" x14ac:dyDescent="0.35">
      <c r="A67" t="s">
        <v>302</v>
      </c>
      <c r="B67" s="10">
        <v>1E-3</v>
      </c>
      <c r="C67" s="10">
        <v>6.943333</v>
      </c>
      <c r="D67" s="10">
        <v>5.8307690000000001</v>
      </c>
      <c r="E67" s="10">
        <v>3093.444</v>
      </c>
      <c r="F67" s="10">
        <v>2104.7249999999999</v>
      </c>
      <c r="G67" s="10">
        <v>2830</v>
      </c>
      <c r="H67" s="10">
        <v>56.096069999999997</v>
      </c>
    </row>
    <row r="68" spans="1:8" x14ac:dyDescent="0.35">
      <c r="A68" t="s">
        <v>303</v>
      </c>
      <c r="B68" s="10">
        <v>1E-3</v>
      </c>
      <c r="C68" s="10">
        <v>7.1366670000000001</v>
      </c>
      <c r="D68" s="10">
        <v>6</v>
      </c>
      <c r="E68" s="10">
        <v>3181.4169999999999</v>
      </c>
      <c r="F68" s="10">
        <v>2121.4</v>
      </c>
      <c r="G68" s="10">
        <v>2838.4250000000002</v>
      </c>
      <c r="H68" s="10">
        <v>57.612870000000001</v>
      </c>
    </row>
    <row r="69" spans="1:8" x14ac:dyDescent="0.35">
      <c r="A69" t="s">
        <v>304</v>
      </c>
      <c r="B69" s="10">
        <v>1E-3</v>
      </c>
      <c r="C69" s="10">
        <v>6.693333</v>
      </c>
      <c r="D69" s="10">
        <v>5.761539</v>
      </c>
      <c r="E69" s="10">
        <v>3266.7579999999998</v>
      </c>
      <c r="F69" s="10">
        <v>2126.8139999999999</v>
      </c>
      <c r="G69" s="10">
        <v>2862.5749999999998</v>
      </c>
      <c r="H69" s="10">
        <v>58.154359999999997</v>
      </c>
    </row>
    <row r="70" spans="1:8" x14ac:dyDescent="0.35">
      <c r="A70" t="s">
        <v>305</v>
      </c>
      <c r="B70" s="10">
        <v>1E-3</v>
      </c>
      <c r="C70" s="10">
        <v>6.5066670000000002</v>
      </c>
      <c r="D70" s="10">
        <v>5.7153840000000002</v>
      </c>
      <c r="E70" s="10">
        <v>3339.2919999999999</v>
      </c>
      <c r="F70" s="10">
        <v>2131.5250000000001</v>
      </c>
      <c r="G70" s="10">
        <v>2882.0250000000001</v>
      </c>
      <c r="H70" s="10">
        <v>59.322009999999999</v>
      </c>
    </row>
    <row r="71" spans="1:8" x14ac:dyDescent="0.35">
      <c r="A71" t="s">
        <v>306</v>
      </c>
      <c r="B71" s="10">
        <v>1E-3</v>
      </c>
      <c r="C71" s="10">
        <v>5.63</v>
      </c>
      <c r="D71" s="10">
        <v>5.3346150000000003</v>
      </c>
      <c r="E71" s="10">
        <v>3421.3420000000001</v>
      </c>
      <c r="F71" s="10">
        <v>2134.924</v>
      </c>
      <c r="G71" s="10">
        <v>2903.6</v>
      </c>
      <c r="H71" s="10">
        <v>61.351219999999998</v>
      </c>
    </row>
    <row r="72" spans="1:8" x14ac:dyDescent="0.35">
      <c r="A72" t="s">
        <v>307</v>
      </c>
      <c r="B72" s="10">
        <v>1E-3</v>
      </c>
      <c r="C72" s="10">
        <v>5.1366670000000001</v>
      </c>
      <c r="D72" s="10">
        <v>5.25</v>
      </c>
      <c r="E72" s="10">
        <v>3485.92</v>
      </c>
      <c r="F72" s="10">
        <v>2151.8470000000002</v>
      </c>
      <c r="G72" s="10">
        <v>2952.0250000000001</v>
      </c>
      <c r="H72" s="10">
        <v>62.836329999999997</v>
      </c>
    </row>
    <row r="73" spans="1:8" x14ac:dyDescent="0.35">
      <c r="A73" t="s">
        <v>308</v>
      </c>
      <c r="B73" s="10">
        <v>1E-3</v>
      </c>
      <c r="C73" s="10">
        <v>5</v>
      </c>
      <c r="D73" s="10">
        <v>5.25</v>
      </c>
      <c r="E73" s="10">
        <v>3579.9070000000002</v>
      </c>
      <c r="F73" s="10">
        <v>2162.1149999999998</v>
      </c>
      <c r="G73" s="10">
        <v>2978.5250000000001</v>
      </c>
      <c r="H73" s="10">
        <v>62.764270000000003</v>
      </c>
    </row>
    <row r="74" spans="1:8" x14ac:dyDescent="0.35">
      <c r="A74" t="s">
        <v>309</v>
      </c>
      <c r="B74" s="10">
        <v>1E-3</v>
      </c>
      <c r="C74" s="10">
        <v>4.5866670000000003</v>
      </c>
      <c r="D74" s="10">
        <v>5.25</v>
      </c>
      <c r="E74" s="10">
        <v>3679.08</v>
      </c>
      <c r="F74" s="10">
        <v>2174.1280000000002</v>
      </c>
      <c r="G74" s="10">
        <v>3009.45</v>
      </c>
      <c r="H74" s="10">
        <v>63.454770000000003</v>
      </c>
    </row>
    <row r="75" spans="1:8" x14ac:dyDescent="0.35">
      <c r="A75" t="s">
        <v>310</v>
      </c>
      <c r="B75" s="10">
        <v>1E-3</v>
      </c>
      <c r="C75" s="10">
        <v>4.4400000000000004</v>
      </c>
      <c r="D75" s="10">
        <v>5.2695309999999997</v>
      </c>
      <c r="E75" s="10">
        <v>3760.0059999999999</v>
      </c>
      <c r="F75" s="10">
        <v>2180.5369999999998</v>
      </c>
      <c r="G75" s="10">
        <v>3028.875</v>
      </c>
      <c r="H75" s="10">
        <v>64.517449999999997</v>
      </c>
    </row>
    <row r="76" spans="1:8" x14ac:dyDescent="0.35">
      <c r="A76" t="s">
        <v>311</v>
      </c>
      <c r="B76" s="10">
        <v>1E-3</v>
      </c>
      <c r="C76" s="10">
        <v>4.3266669999999996</v>
      </c>
      <c r="D76" s="10">
        <v>5.5</v>
      </c>
      <c r="E76" s="10">
        <v>3841.6680000000001</v>
      </c>
      <c r="F76" s="10">
        <v>2206.6590000000001</v>
      </c>
      <c r="G76" s="10">
        <v>3079.3</v>
      </c>
      <c r="H76" s="10">
        <v>64.679900000000004</v>
      </c>
    </row>
    <row r="77" spans="1:8" x14ac:dyDescent="0.35">
      <c r="A77" t="s">
        <v>312</v>
      </c>
      <c r="B77" s="10">
        <v>1E-3</v>
      </c>
      <c r="C77" s="10">
        <v>4.3233329999999999</v>
      </c>
      <c r="D77" s="10">
        <v>5.5</v>
      </c>
      <c r="E77" s="10">
        <v>3900.1039999999998</v>
      </c>
      <c r="F77" s="10">
        <v>2224.0770000000002</v>
      </c>
      <c r="G77" s="10">
        <v>3117.75</v>
      </c>
      <c r="H77" s="10">
        <v>64.100390000000004</v>
      </c>
    </row>
    <row r="78" spans="1:8" x14ac:dyDescent="0.35">
      <c r="A78" t="s">
        <v>313</v>
      </c>
      <c r="B78" s="10">
        <v>1E-3</v>
      </c>
      <c r="C78" s="10">
        <v>4.4333330000000002</v>
      </c>
      <c r="D78" s="10">
        <v>5.5</v>
      </c>
      <c r="E78" s="10">
        <v>3993.3440000000001</v>
      </c>
      <c r="F78" s="10">
        <v>2247.453</v>
      </c>
      <c r="G78" s="10">
        <v>3144.375</v>
      </c>
      <c r="H78" s="10">
        <v>64.089079999999996</v>
      </c>
    </row>
    <row r="79" spans="1:8" x14ac:dyDescent="0.35">
      <c r="A79" t="s">
        <v>314</v>
      </c>
      <c r="B79" s="10">
        <v>1E-3</v>
      </c>
      <c r="C79" s="10">
        <v>4.2033329999999998</v>
      </c>
      <c r="D79" s="10">
        <v>5.5</v>
      </c>
      <c r="E79" s="10">
        <v>4024.0169999999998</v>
      </c>
      <c r="F79" s="10">
        <v>2263.232</v>
      </c>
      <c r="G79" s="10">
        <v>3175.9250000000002</v>
      </c>
      <c r="H79" s="10">
        <v>64.710470000000001</v>
      </c>
    </row>
    <row r="80" spans="1:8" x14ac:dyDescent="0.35">
      <c r="A80" t="s">
        <v>315</v>
      </c>
      <c r="B80" s="10">
        <v>1E-3</v>
      </c>
      <c r="C80" s="10">
        <v>4.056667</v>
      </c>
      <c r="D80" s="10">
        <v>5.5</v>
      </c>
      <c r="E80" s="10">
        <v>4113.2439999999997</v>
      </c>
      <c r="F80" s="10">
        <v>2272.3490000000002</v>
      </c>
      <c r="G80" s="10">
        <v>3205.3249999999998</v>
      </c>
      <c r="H80" s="10">
        <v>64.120890000000003</v>
      </c>
    </row>
    <row r="81" spans="1:8" x14ac:dyDescent="0.35">
      <c r="A81" t="s">
        <v>316</v>
      </c>
      <c r="B81" s="10">
        <v>1E-3</v>
      </c>
      <c r="C81" s="10">
        <v>3.9366669999999999</v>
      </c>
      <c r="D81" s="10">
        <v>5.4924239999999998</v>
      </c>
      <c r="E81" s="10">
        <v>4213.5839999999998</v>
      </c>
      <c r="F81" s="10">
        <v>2284.3510000000001</v>
      </c>
      <c r="G81" s="10">
        <v>3245.7</v>
      </c>
      <c r="H81" s="10">
        <v>63.181319999999999</v>
      </c>
    </row>
    <row r="82" spans="1:8" x14ac:dyDescent="0.35">
      <c r="A82" t="s">
        <v>317</v>
      </c>
      <c r="B82" s="10">
        <v>1E-3</v>
      </c>
      <c r="C82" s="10">
        <v>3.6233330000000001</v>
      </c>
      <c r="D82" s="10">
        <v>4.9128790000000002</v>
      </c>
      <c r="E82" s="10">
        <v>4365.6170000000002</v>
      </c>
      <c r="F82" s="10">
        <v>2291.2869999999998</v>
      </c>
      <c r="G82" s="10">
        <v>3297.9250000000002</v>
      </c>
      <c r="H82" s="10">
        <v>63.383989999999997</v>
      </c>
    </row>
    <row r="83" spans="1:8" x14ac:dyDescent="0.35">
      <c r="A83" t="s">
        <v>318</v>
      </c>
      <c r="B83" s="10">
        <v>1E-3</v>
      </c>
      <c r="C83" s="10">
        <v>3</v>
      </c>
      <c r="D83" s="10">
        <v>4.75</v>
      </c>
      <c r="E83" s="10">
        <v>4371.7979999999998</v>
      </c>
      <c r="F83" s="10">
        <v>2314.2289999999998</v>
      </c>
      <c r="G83" s="10">
        <v>3328.9</v>
      </c>
      <c r="H83" s="10">
        <v>63.782690000000002</v>
      </c>
    </row>
    <row r="84" spans="1:8" x14ac:dyDescent="0.35">
      <c r="A84" t="s">
        <v>319</v>
      </c>
      <c r="B84" s="10">
        <v>1E-3</v>
      </c>
      <c r="C84" s="10">
        <v>2.546154</v>
      </c>
      <c r="D84" s="10">
        <v>4.7538460000000002</v>
      </c>
      <c r="E84" s="10">
        <v>4437.9129999999996</v>
      </c>
      <c r="F84" s="10">
        <v>2325.3780000000002</v>
      </c>
      <c r="G84" s="10">
        <v>3356.6750000000002</v>
      </c>
      <c r="H84" s="10">
        <v>62.731349999999999</v>
      </c>
    </row>
    <row r="85" spans="1:8" x14ac:dyDescent="0.35">
      <c r="A85" t="s">
        <v>320</v>
      </c>
      <c r="B85" s="10">
        <v>1E-3</v>
      </c>
      <c r="C85" s="10">
        <v>2.5</v>
      </c>
      <c r="D85" s="10">
        <v>5.1060610000000004</v>
      </c>
      <c r="E85" s="10">
        <v>4541.5619999999999</v>
      </c>
      <c r="F85" s="10">
        <v>2355.8330000000001</v>
      </c>
      <c r="G85" s="10">
        <v>3401.2</v>
      </c>
      <c r="H85" s="10">
        <v>62.44576</v>
      </c>
    </row>
    <row r="86" spans="1:8" x14ac:dyDescent="0.35">
      <c r="A86" t="s">
        <v>321</v>
      </c>
      <c r="B86" s="10">
        <v>1E-3</v>
      </c>
      <c r="C86" s="10">
        <v>2.8106059999999999</v>
      </c>
      <c r="D86" s="10">
        <v>5.3787880000000001</v>
      </c>
      <c r="E86" s="10">
        <v>4676.12</v>
      </c>
      <c r="F86" s="10">
        <v>2380.6489999999999</v>
      </c>
      <c r="G86" s="10">
        <v>3457</v>
      </c>
      <c r="H86" s="10">
        <v>62.85613</v>
      </c>
    </row>
    <row r="87" spans="1:8" x14ac:dyDescent="0.35">
      <c r="A87" t="s">
        <v>322</v>
      </c>
      <c r="B87" s="10">
        <v>1E-3</v>
      </c>
      <c r="C87" s="10">
        <v>3.2</v>
      </c>
      <c r="D87" s="10">
        <v>5.7</v>
      </c>
      <c r="E87" s="10">
        <v>4736.0730000000003</v>
      </c>
      <c r="F87" s="10">
        <v>2411.0309999999999</v>
      </c>
      <c r="G87" s="10">
        <v>3469.5250000000001</v>
      </c>
      <c r="H87" s="10">
        <v>63.846760000000003</v>
      </c>
    </row>
    <row r="88" spans="1:8" x14ac:dyDescent="0.35">
      <c r="A88" t="s">
        <v>323</v>
      </c>
      <c r="B88" s="10">
        <v>1E-3</v>
      </c>
      <c r="C88" s="10">
        <v>3.8</v>
      </c>
      <c r="D88" s="10">
        <v>6.261539</v>
      </c>
      <c r="E88" s="10">
        <v>4843.1639999999998</v>
      </c>
      <c r="F88" s="10">
        <v>2432.9960000000001</v>
      </c>
      <c r="G88" s="10">
        <v>3532.7249999999999</v>
      </c>
      <c r="H88" s="10">
        <v>62.792090000000002</v>
      </c>
    </row>
    <row r="89" spans="1:8" x14ac:dyDescent="0.35">
      <c r="A89" t="s">
        <v>324</v>
      </c>
      <c r="B89" s="10">
        <v>1E-3</v>
      </c>
      <c r="C89" s="10">
        <v>4.3307690000000001</v>
      </c>
      <c r="D89" s="10">
        <v>6.5</v>
      </c>
      <c r="E89" s="10">
        <v>4947.2240000000002</v>
      </c>
      <c r="F89" s="10">
        <v>2449.3020000000001</v>
      </c>
      <c r="G89" s="10">
        <v>3536.3249999999998</v>
      </c>
      <c r="H89" s="10">
        <v>62.610759999999999</v>
      </c>
    </row>
    <row r="90" spans="1:8" x14ac:dyDescent="0.35">
      <c r="A90" t="s">
        <v>325</v>
      </c>
      <c r="B90" s="10">
        <v>1E-3</v>
      </c>
      <c r="C90" s="10">
        <v>4.7346149999999998</v>
      </c>
      <c r="D90" s="10">
        <v>6.5</v>
      </c>
      <c r="E90" s="10">
        <v>5054.9219999999996</v>
      </c>
      <c r="F90" s="10">
        <v>2461.0720000000001</v>
      </c>
      <c r="G90" s="10">
        <v>3557.45</v>
      </c>
      <c r="H90" s="10">
        <v>63.440779999999997</v>
      </c>
    </row>
    <row r="91" spans="1:8" x14ac:dyDescent="0.35">
      <c r="A91" t="s">
        <v>326</v>
      </c>
      <c r="B91" s="10">
        <v>1E-3</v>
      </c>
      <c r="C91" s="10">
        <v>4.75</v>
      </c>
      <c r="D91" s="10">
        <v>5.6153849999999998</v>
      </c>
      <c r="E91" s="10">
        <v>5157.76</v>
      </c>
      <c r="F91" s="10">
        <v>2488.0309999999999</v>
      </c>
      <c r="G91" s="10">
        <v>3545.7750000000001</v>
      </c>
      <c r="H91" s="10">
        <v>64.270880000000005</v>
      </c>
    </row>
    <row r="92" spans="1:8" x14ac:dyDescent="0.35">
      <c r="A92" t="s">
        <v>327</v>
      </c>
      <c r="B92" s="10">
        <v>1E-3</v>
      </c>
      <c r="C92" s="10">
        <v>4.6115380000000004</v>
      </c>
      <c r="D92" s="10">
        <v>4.3192310000000003</v>
      </c>
      <c r="E92" s="10">
        <v>5254.71</v>
      </c>
      <c r="F92" s="10">
        <v>2489.1970000000001</v>
      </c>
      <c r="G92" s="10">
        <v>3567.9250000000002</v>
      </c>
      <c r="H92" s="10">
        <v>63.776119999999999</v>
      </c>
    </row>
    <row r="93" spans="1:8" x14ac:dyDescent="0.35">
      <c r="A93" t="s">
        <v>328</v>
      </c>
      <c r="B93" s="10">
        <v>1E-3</v>
      </c>
      <c r="C93" s="10">
        <v>4.3499999999999996</v>
      </c>
      <c r="D93" s="10">
        <v>3.5615380000000001</v>
      </c>
      <c r="E93" s="10">
        <v>5344.4759999999997</v>
      </c>
      <c r="F93" s="10">
        <v>2494.511</v>
      </c>
      <c r="G93" s="10">
        <v>3553.625</v>
      </c>
      <c r="H93" s="10">
        <v>63.107509999999998</v>
      </c>
    </row>
    <row r="94" spans="1:8" x14ac:dyDescent="0.35">
      <c r="A94" t="s">
        <v>329</v>
      </c>
      <c r="B94" s="10">
        <v>1E-3</v>
      </c>
      <c r="C94" s="10">
        <v>3.469697</v>
      </c>
      <c r="D94" s="10">
        <v>2.1477270000000002</v>
      </c>
      <c r="E94" s="10">
        <v>5463.0820000000003</v>
      </c>
      <c r="F94" s="10">
        <v>2493.2719999999999</v>
      </c>
      <c r="G94" s="10">
        <v>3563.4</v>
      </c>
      <c r="H94" s="10">
        <v>63.355899999999998</v>
      </c>
    </row>
    <row r="95" spans="1:8" x14ac:dyDescent="0.35">
      <c r="A95" t="s">
        <v>330</v>
      </c>
      <c r="B95" s="10">
        <v>1E-3</v>
      </c>
      <c r="C95" s="10">
        <v>3.25</v>
      </c>
      <c r="D95" s="10">
        <v>1.75</v>
      </c>
      <c r="E95" s="10">
        <v>5589.2879999999996</v>
      </c>
      <c r="F95" s="10">
        <v>2498.7910000000002</v>
      </c>
      <c r="G95" s="10">
        <v>3593.2</v>
      </c>
      <c r="H95" s="10">
        <v>63.885300000000001</v>
      </c>
    </row>
    <row r="96" spans="1:8" x14ac:dyDescent="0.35">
      <c r="A96" t="s">
        <v>331</v>
      </c>
      <c r="B96" s="10">
        <v>1E-3</v>
      </c>
      <c r="C96" s="10">
        <v>3.25</v>
      </c>
      <c r="D96" s="10">
        <v>1.75</v>
      </c>
      <c r="E96" s="10">
        <v>5716.3469999999998</v>
      </c>
      <c r="F96" s="10">
        <v>2510.1309999999999</v>
      </c>
      <c r="G96" s="10">
        <v>3615.2</v>
      </c>
      <c r="H96" s="10">
        <v>63.094900000000003</v>
      </c>
    </row>
    <row r="97" spans="1:8" x14ac:dyDescent="0.35">
      <c r="A97" t="s">
        <v>332</v>
      </c>
      <c r="B97" s="10">
        <v>1E-3</v>
      </c>
      <c r="C97" s="10">
        <v>3.25</v>
      </c>
      <c r="D97" s="10">
        <v>1.75</v>
      </c>
      <c r="E97" s="10">
        <v>5863.5219999999999</v>
      </c>
      <c r="F97" s="10">
        <v>2521.962</v>
      </c>
      <c r="G97" s="10">
        <v>3629.9</v>
      </c>
      <c r="H97" s="10">
        <v>62.62377</v>
      </c>
    </row>
    <row r="98" spans="1:8" x14ac:dyDescent="0.35">
      <c r="A98" t="s">
        <v>333</v>
      </c>
      <c r="B98" s="10">
        <v>1E-3</v>
      </c>
      <c r="C98" s="10">
        <v>3.1136360000000001</v>
      </c>
      <c r="D98" s="10">
        <v>1.4469700000000001</v>
      </c>
      <c r="E98" s="10">
        <v>5999.9629999999997</v>
      </c>
      <c r="F98" s="10">
        <v>2526.61</v>
      </c>
      <c r="G98" s="10">
        <v>3634.4</v>
      </c>
      <c r="H98" s="10">
        <v>62.954540000000001</v>
      </c>
    </row>
    <row r="99" spans="1:8" x14ac:dyDescent="0.35">
      <c r="A99" t="s">
        <v>334</v>
      </c>
      <c r="B99" s="10">
        <v>1E-3</v>
      </c>
      <c r="C99" s="10">
        <v>2.6835939999999998</v>
      </c>
      <c r="D99" s="10">
        <v>1.25</v>
      </c>
      <c r="E99" s="10">
        <v>6179.3270000000002</v>
      </c>
      <c r="F99" s="10">
        <v>2519.6309999999999</v>
      </c>
      <c r="G99" s="10">
        <v>3653.5250000000001</v>
      </c>
      <c r="H99" s="10">
        <v>64.203869999999995</v>
      </c>
    </row>
    <row r="100" spans="1:8" x14ac:dyDescent="0.35">
      <c r="A100" t="s">
        <v>335</v>
      </c>
      <c r="B100" s="10">
        <v>1E-3</v>
      </c>
      <c r="C100" s="10">
        <v>2.3692310000000001</v>
      </c>
      <c r="D100" s="10">
        <v>1.234615</v>
      </c>
      <c r="E100" s="10">
        <v>6231.6970000000001</v>
      </c>
      <c r="F100" s="10">
        <v>2521.123</v>
      </c>
      <c r="G100" s="10">
        <v>3685.9</v>
      </c>
      <c r="H100" s="10">
        <v>63.516460000000002</v>
      </c>
    </row>
    <row r="101" spans="1:8" x14ac:dyDescent="0.35">
      <c r="A101" t="s">
        <v>336</v>
      </c>
      <c r="B101" s="10">
        <v>1E-3</v>
      </c>
      <c r="C101" s="10">
        <v>2</v>
      </c>
      <c r="D101" s="10">
        <v>1</v>
      </c>
      <c r="E101" s="10">
        <v>6462.0929999999998</v>
      </c>
      <c r="F101" s="10">
        <v>2537.527</v>
      </c>
      <c r="G101" s="10">
        <v>3747.2</v>
      </c>
      <c r="H101" s="10">
        <v>63.146160000000002</v>
      </c>
    </row>
    <row r="102" spans="1:8" x14ac:dyDescent="0.35">
      <c r="A102" t="s">
        <v>337</v>
      </c>
      <c r="B102" s="10">
        <v>1E-3</v>
      </c>
      <c r="C102" s="10">
        <v>2</v>
      </c>
      <c r="D102" s="10">
        <v>1</v>
      </c>
      <c r="E102" s="10">
        <v>6639.5110000000004</v>
      </c>
      <c r="F102" s="10">
        <v>2553.4789999999998</v>
      </c>
      <c r="G102" s="10">
        <v>3790.7</v>
      </c>
      <c r="H102" s="10">
        <v>64.63364</v>
      </c>
    </row>
    <row r="103" spans="1:8" x14ac:dyDescent="0.35">
      <c r="A103" t="s">
        <v>338</v>
      </c>
      <c r="B103" s="10">
        <v>1E-3</v>
      </c>
      <c r="C103" s="10">
        <v>2</v>
      </c>
      <c r="D103" s="10">
        <v>1</v>
      </c>
      <c r="E103" s="10">
        <v>6801.1729999999998</v>
      </c>
      <c r="F103" s="10">
        <v>2567.17</v>
      </c>
      <c r="G103" s="10">
        <v>3812.1750000000002</v>
      </c>
      <c r="H103" s="10">
        <v>65.979309999999998</v>
      </c>
    </row>
    <row r="104" spans="1:8" x14ac:dyDescent="0.35">
      <c r="A104" t="s">
        <v>339</v>
      </c>
      <c r="B104" s="10">
        <v>1E-3</v>
      </c>
      <c r="C104" s="10">
        <v>2</v>
      </c>
      <c r="D104" s="10">
        <v>1.003846</v>
      </c>
      <c r="E104" s="10">
        <v>6934.576</v>
      </c>
      <c r="F104" s="10">
        <v>2582.9499999999998</v>
      </c>
      <c r="G104" s="10">
        <v>3841.7249999999999</v>
      </c>
      <c r="H104" s="10">
        <v>66.308700000000002</v>
      </c>
    </row>
    <row r="105" spans="1:8" x14ac:dyDescent="0.35">
      <c r="A105" t="s">
        <v>340</v>
      </c>
      <c r="B105" s="10">
        <v>1E-3</v>
      </c>
      <c r="C105" s="10">
        <v>2</v>
      </c>
      <c r="D105" s="10">
        <v>1.424242</v>
      </c>
      <c r="E105" s="10">
        <v>7109.1779999999999</v>
      </c>
      <c r="F105" s="10">
        <v>2588.6109999999999</v>
      </c>
      <c r="G105" s="10">
        <v>3878.15</v>
      </c>
      <c r="H105" s="10">
        <v>66.471689999999995</v>
      </c>
    </row>
    <row r="106" spans="1:8" x14ac:dyDescent="0.35">
      <c r="A106" t="s">
        <v>341</v>
      </c>
      <c r="B106" s="10">
        <v>1E-3</v>
      </c>
      <c r="C106" s="10">
        <v>2</v>
      </c>
      <c r="D106" s="10">
        <v>1.9469700000000001</v>
      </c>
      <c r="E106" s="10">
        <v>7255.4979999999996</v>
      </c>
      <c r="F106" s="10">
        <v>2600.2739999999999</v>
      </c>
      <c r="G106" s="10">
        <v>3917.7249999999999</v>
      </c>
      <c r="H106" s="10">
        <v>66.676770000000005</v>
      </c>
    </row>
    <row r="107" spans="1:8" x14ac:dyDescent="0.35">
      <c r="A107" t="s">
        <v>342</v>
      </c>
      <c r="B107" s="10">
        <v>1E-3</v>
      </c>
      <c r="C107" s="10">
        <v>2</v>
      </c>
      <c r="D107" s="10">
        <v>2.4453130000000001</v>
      </c>
      <c r="E107" s="10">
        <v>7535.7240000000002</v>
      </c>
      <c r="F107" s="10">
        <v>2607.16</v>
      </c>
      <c r="G107" s="10">
        <v>3961.1750000000002</v>
      </c>
      <c r="H107" s="10">
        <v>67.847759999999994</v>
      </c>
    </row>
    <row r="108" spans="1:8" x14ac:dyDescent="0.35">
      <c r="A108" t="s">
        <v>343</v>
      </c>
      <c r="B108" s="10">
        <v>1E-3</v>
      </c>
      <c r="C108" s="10">
        <v>2</v>
      </c>
      <c r="D108" s="10">
        <v>2.9192309999999999</v>
      </c>
      <c r="E108" s="10">
        <v>7672.11</v>
      </c>
      <c r="F108" s="10">
        <v>2623.442</v>
      </c>
      <c r="G108" s="10">
        <v>3980.7</v>
      </c>
      <c r="H108" s="10">
        <v>67.458240000000004</v>
      </c>
    </row>
    <row r="109" spans="1:8" x14ac:dyDescent="0.35">
      <c r="A109" t="s">
        <v>344</v>
      </c>
      <c r="B109" s="10">
        <v>1E-3</v>
      </c>
      <c r="C109" s="10">
        <v>2</v>
      </c>
      <c r="D109" s="10">
        <v>3.4318179999999998</v>
      </c>
      <c r="E109" s="10">
        <v>7909.3630000000003</v>
      </c>
      <c r="F109" s="10">
        <v>2643.0120000000002</v>
      </c>
      <c r="G109" s="10">
        <v>4011.9</v>
      </c>
      <c r="H109" s="10">
        <v>67.356579999999994</v>
      </c>
    </row>
    <row r="110" spans="1:8" x14ac:dyDescent="0.35">
      <c r="A110" t="s">
        <v>345</v>
      </c>
      <c r="B110" s="10">
        <v>1E-3</v>
      </c>
      <c r="C110" s="10">
        <v>2.0730770000000001</v>
      </c>
      <c r="D110" s="10">
        <v>3.973077</v>
      </c>
      <c r="E110" s="10">
        <v>8176.5739999999996</v>
      </c>
      <c r="F110" s="10">
        <v>2661.2739999999999</v>
      </c>
      <c r="G110" s="10">
        <v>4034.1750000000002</v>
      </c>
      <c r="H110" s="10">
        <v>67.587900000000005</v>
      </c>
    </row>
    <row r="111" spans="1:8" x14ac:dyDescent="0.35">
      <c r="A111" t="s">
        <v>346</v>
      </c>
      <c r="B111" s="10">
        <v>1E-3</v>
      </c>
      <c r="C111" s="10">
        <v>2.3192309999999998</v>
      </c>
      <c r="D111" s="10">
        <v>4.4346160000000001</v>
      </c>
      <c r="E111" s="10">
        <v>8457.8919999999998</v>
      </c>
      <c r="F111" s="10">
        <v>2686.1289999999999</v>
      </c>
      <c r="G111" s="10">
        <v>4088.45</v>
      </c>
      <c r="H111" s="10">
        <v>68.660259999999994</v>
      </c>
    </row>
    <row r="112" spans="1:8" x14ac:dyDescent="0.35">
      <c r="A112" t="s">
        <v>347</v>
      </c>
      <c r="B112" s="10">
        <v>1E-3</v>
      </c>
      <c r="C112" s="10">
        <v>2.546154</v>
      </c>
      <c r="D112" s="10">
        <v>4.9038459999999997</v>
      </c>
      <c r="E112" s="10">
        <v>8676.5290000000005</v>
      </c>
      <c r="F112" s="10">
        <v>2715.9229999999998</v>
      </c>
      <c r="G112" s="10">
        <v>4099.05</v>
      </c>
      <c r="H112" s="10">
        <v>68.379840000000002</v>
      </c>
    </row>
    <row r="113" spans="1:8" x14ac:dyDescent="0.35">
      <c r="A113" t="s">
        <v>348</v>
      </c>
      <c r="B113" s="10">
        <v>1E-3</v>
      </c>
      <c r="C113" s="10">
        <v>2.8961540000000001</v>
      </c>
      <c r="D113" s="10">
        <v>5.25</v>
      </c>
      <c r="E113" s="10">
        <v>8897.5840000000007</v>
      </c>
      <c r="F113" s="10">
        <v>2730.7370000000001</v>
      </c>
      <c r="G113" s="10">
        <v>4105.1750000000002</v>
      </c>
      <c r="H113" s="10">
        <v>68.210040000000006</v>
      </c>
    </row>
    <row r="114" spans="1:8" x14ac:dyDescent="0.35">
      <c r="A114" t="s">
        <v>349</v>
      </c>
      <c r="B114" s="10">
        <v>1E-3</v>
      </c>
      <c r="C114" s="10">
        <v>3.2730769999999998</v>
      </c>
      <c r="D114" s="10">
        <v>5.25</v>
      </c>
      <c r="E114" s="10">
        <v>9212.3310000000001</v>
      </c>
      <c r="F114" s="10">
        <v>2762.7469999999998</v>
      </c>
      <c r="G114" s="10">
        <v>4140.4750000000004</v>
      </c>
      <c r="H114" s="10">
        <v>68.962389999999999</v>
      </c>
    </row>
    <row r="115" spans="1:8" x14ac:dyDescent="0.35">
      <c r="A115" t="s">
        <v>350</v>
      </c>
      <c r="B115" s="10">
        <v>1E-3</v>
      </c>
      <c r="C115" s="10">
        <v>3.55</v>
      </c>
      <c r="D115" s="10">
        <v>5.25</v>
      </c>
      <c r="E115" s="10">
        <v>9614.8140000000003</v>
      </c>
      <c r="F115" s="10">
        <v>2781.7849999999999</v>
      </c>
      <c r="G115" s="10">
        <v>4152.9250000000002</v>
      </c>
      <c r="H115" s="10">
        <v>70.536450000000002</v>
      </c>
    </row>
    <row r="116" spans="1:8" x14ac:dyDescent="0.35">
      <c r="A116" t="s">
        <v>351</v>
      </c>
      <c r="B116" s="10">
        <v>1E-3</v>
      </c>
      <c r="C116" s="10">
        <v>3.8</v>
      </c>
      <c r="D116" s="10">
        <v>5.25</v>
      </c>
      <c r="E116" s="10">
        <v>9931.9150000000009</v>
      </c>
      <c r="F116" s="10">
        <v>2800.692</v>
      </c>
      <c r="G116" s="10">
        <v>4178.3249999999998</v>
      </c>
      <c r="H116" s="10">
        <v>70.840289999999996</v>
      </c>
    </row>
    <row r="117" spans="1:8" x14ac:dyDescent="0.35">
      <c r="A117" t="s">
        <v>352</v>
      </c>
      <c r="B117" s="10">
        <v>1E-3</v>
      </c>
      <c r="C117" s="10">
        <v>4</v>
      </c>
      <c r="D117" s="10">
        <v>5.1807689999999997</v>
      </c>
      <c r="E117" s="10">
        <v>10173.129999999999</v>
      </c>
      <c r="F117" s="10">
        <v>2811.6750000000002</v>
      </c>
      <c r="G117" s="10">
        <v>4202.3999999999996</v>
      </c>
      <c r="H117" s="10">
        <v>72.371409999999997</v>
      </c>
    </row>
    <row r="118" spans="1:8" x14ac:dyDescent="0.35">
      <c r="A118" t="s">
        <v>353</v>
      </c>
      <c r="B118" s="10">
        <v>1E-3</v>
      </c>
      <c r="C118" s="10">
        <v>4</v>
      </c>
      <c r="D118" s="10">
        <v>4.5265149999999998</v>
      </c>
      <c r="E118" s="10">
        <v>10496.82</v>
      </c>
      <c r="F118" s="10">
        <v>2825.9929999999999</v>
      </c>
      <c r="G118" s="10">
        <v>4228.8</v>
      </c>
      <c r="H118" s="10">
        <v>73.536720000000003</v>
      </c>
    </row>
    <row r="119" spans="1:8" x14ac:dyDescent="0.35">
      <c r="A119" t="s">
        <v>354</v>
      </c>
      <c r="B119" s="10">
        <v>1E-3</v>
      </c>
      <c r="C119" s="10">
        <v>4</v>
      </c>
      <c r="D119" s="10">
        <v>3.2192310000000002</v>
      </c>
      <c r="E119" s="10">
        <v>10753.29</v>
      </c>
      <c r="F119" s="10">
        <v>2843.78</v>
      </c>
      <c r="G119" s="10">
        <v>4210.75</v>
      </c>
      <c r="H119" s="10">
        <v>76.204909999999998</v>
      </c>
    </row>
    <row r="120" spans="1:8" x14ac:dyDescent="0.35">
      <c r="A120" t="s">
        <v>355</v>
      </c>
      <c r="B120" s="10">
        <v>1E-3</v>
      </c>
      <c r="C120" s="10">
        <v>4</v>
      </c>
      <c r="D120" s="10">
        <v>2.0807690000000001</v>
      </c>
      <c r="E120" s="10">
        <v>11000.9</v>
      </c>
      <c r="F120" s="10">
        <v>2829.8209999999999</v>
      </c>
      <c r="G120" s="10">
        <v>4235.8249999999998</v>
      </c>
      <c r="H120" s="10">
        <v>76.341170000000005</v>
      </c>
    </row>
    <row r="121" spans="1:8" x14ac:dyDescent="0.35">
      <c r="A121" t="s">
        <v>356</v>
      </c>
      <c r="B121" s="10">
        <v>1E-3</v>
      </c>
      <c r="C121" s="10">
        <v>4.2272730000000003</v>
      </c>
      <c r="D121" s="10">
        <v>2</v>
      </c>
      <c r="E121" s="10">
        <v>11131.16</v>
      </c>
      <c r="F121" s="10">
        <v>2814.4969999999998</v>
      </c>
      <c r="G121" s="10">
        <v>4213.5749999999998</v>
      </c>
      <c r="H121" s="10">
        <v>76.179370000000006</v>
      </c>
    </row>
    <row r="122" spans="1:8" x14ac:dyDescent="0.35">
      <c r="A122" t="s">
        <v>357</v>
      </c>
      <c r="B122" s="10">
        <v>1E-3</v>
      </c>
      <c r="C122" s="10">
        <v>3.3712119999999999</v>
      </c>
      <c r="D122" s="10">
        <v>1.030303</v>
      </c>
      <c r="E122" s="10">
        <v>11247.14</v>
      </c>
      <c r="F122" s="10">
        <v>2766.482</v>
      </c>
      <c r="G122" s="10">
        <v>4121.3500000000004</v>
      </c>
      <c r="H122" s="10">
        <v>75.39452</v>
      </c>
    </row>
    <row r="123" spans="1:8" x14ac:dyDescent="0.35">
      <c r="A123" t="s">
        <v>358</v>
      </c>
      <c r="B123" s="10">
        <v>1E-3</v>
      </c>
      <c r="C123" s="10">
        <v>1.9921880000000001</v>
      </c>
      <c r="D123" s="10">
        <v>0.125</v>
      </c>
      <c r="E123" s="10">
        <v>11462.63</v>
      </c>
      <c r="F123" s="10">
        <v>2681.4110000000001</v>
      </c>
      <c r="G123" s="10">
        <v>4074.5749999999998</v>
      </c>
      <c r="H123" s="10">
        <v>75.738579999999999</v>
      </c>
    </row>
    <row r="124" spans="1:8" x14ac:dyDescent="0.35">
      <c r="A124" t="s">
        <v>359</v>
      </c>
      <c r="B124" s="10">
        <v>1E-3</v>
      </c>
      <c r="C124" s="10">
        <v>1.1346149999999999</v>
      </c>
      <c r="D124" s="10">
        <v>0.125</v>
      </c>
      <c r="E124" s="10">
        <v>11895.7</v>
      </c>
      <c r="F124" s="10">
        <v>2681.4050000000002</v>
      </c>
      <c r="G124" s="10">
        <v>4067.2750000000001</v>
      </c>
      <c r="H124" s="10">
        <v>75.170720000000003</v>
      </c>
    </row>
    <row r="125" spans="1:8" x14ac:dyDescent="0.35">
      <c r="A125" t="s">
        <v>360</v>
      </c>
      <c r="B125" s="10">
        <v>1E-3</v>
      </c>
      <c r="C125" s="10">
        <v>1</v>
      </c>
      <c r="D125" s="10">
        <v>0.125</v>
      </c>
      <c r="E125" s="10">
        <v>12297.24</v>
      </c>
      <c r="F125" s="10">
        <v>2691.12</v>
      </c>
      <c r="G125" s="10">
        <v>4081.5749999999998</v>
      </c>
      <c r="H125" s="10">
        <v>75.214370000000002</v>
      </c>
    </row>
    <row r="126" spans="1:8" x14ac:dyDescent="0.35">
      <c r="A126" t="s">
        <v>361</v>
      </c>
      <c r="B126" s="10">
        <v>1E-3</v>
      </c>
      <c r="C126" s="10">
        <v>1</v>
      </c>
      <c r="D126" s="10">
        <v>0.125</v>
      </c>
      <c r="E126" s="10">
        <v>12587.16</v>
      </c>
      <c r="F126" s="10">
        <v>2702.7440000000001</v>
      </c>
      <c r="G126" s="10">
        <v>4125.7</v>
      </c>
      <c r="H126" s="10">
        <v>75.893420000000006</v>
      </c>
    </row>
    <row r="127" spans="1:8" x14ac:dyDescent="0.35">
      <c r="A127" t="s">
        <v>362</v>
      </c>
      <c r="B127" s="10">
        <v>1E-3</v>
      </c>
      <c r="C127" s="10">
        <v>1</v>
      </c>
      <c r="D127" s="10">
        <v>0.125</v>
      </c>
      <c r="E127" s="10">
        <v>12870.19</v>
      </c>
      <c r="F127" s="10">
        <v>2713.5920000000001</v>
      </c>
      <c r="G127" s="10">
        <v>4145.6750000000002</v>
      </c>
      <c r="H127" s="10">
        <v>77.404499999999999</v>
      </c>
    </row>
    <row r="128" spans="1:8" x14ac:dyDescent="0.35">
      <c r="A128" t="s">
        <v>363</v>
      </c>
      <c r="B128" s="10">
        <v>1E-3</v>
      </c>
      <c r="C128" s="10">
        <v>1</v>
      </c>
      <c r="D128" s="10">
        <v>0.125</v>
      </c>
      <c r="E128" s="10">
        <v>13172.88</v>
      </c>
      <c r="F128" s="10">
        <v>2738.848</v>
      </c>
      <c r="G128" s="10">
        <v>4185.8</v>
      </c>
      <c r="H128" s="10">
        <v>77.375630000000001</v>
      </c>
    </row>
    <row r="129" spans="1:8" x14ac:dyDescent="0.35">
      <c r="A129" t="s">
        <v>364</v>
      </c>
      <c r="B129" s="10">
        <v>1E-3</v>
      </c>
      <c r="C129" s="10">
        <v>1</v>
      </c>
      <c r="D129" s="10">
        <v>0.125</v>
      </c>
      <c r="E129" s="10">
        <v>13509.23</v>
      </c>
      <c r="F129" s="10">
        <v>2750.9879999999998</v>
      </c>
      <c r="G129" s="10">
        <v>4218.0749999999998</v>
      </c>
      <c r="H129" s="10">
        <v>77.82217</v>
      </c>
    </row>
    <row r="130" spans="1:8" x14ac:dyDescent="0.35">
      <c r="A130" t="s">
        <v>365</v>
      </c>
      <c r="B130" s="10">
        <v>1E-3</v>
      </c>
      <c r="C130" s="10">
        <v>1</v>
      </c>
      <c r="D130" s="10">
        <v>0.125</v>
      </c>
      <c r="E130" s="10">
        <v>13830.01</v>
      </c>
      <c r="F130" s="10">
        <v>2767.223</v>
      </c>
      <c r="G130" s="10">
        <v>4240.2250000000004</v>
      </c>
      <c r="H130" s="10">
        <v>79.460499999999996</v>
      </c>
    </row>
    <row r="131" spans="1:8" x14ac:dyDescent="0.35">
      <c r="A131" t="s">
        <v>366</v>
      </c>
      <c r="B131" s="10">
        <v>1E-3</v>
      </c>
      <c r="C131" s="10">
        <v>1</v>
      </c>
      <c r="D131" s="10">
        <v>0.125</v>
      </c>
      <c r="E131" s="10">
        <v>14167.14</v>
      </c>
      <c r="F131" s="10">
        <v>2793.319</v>
      </c>
      <c r="G131" s="10">
        <v>4230.1499999999996</v>
      </c>
      <c r="H131" s="10">
        <v>81.32629</v>
      </c>
    </row>
    <row r="132" spans="1:8" x14ac:dyDescent="0.35">
      <c r="A132" t="s">
        <v>367</v>
      </c>
      <c r="B132" s="10">
        <v>1E-3</v>
      </c>
      <c r="C132" s="10">
        <v>1.219231</v>
      </c>
      <c r="D132" s="10">
        <v>0.125</v>
      </c>
      <c r="E132" s="10">
        <v>14485.18</v>
      </c>
      <c r="F132" s="10">
        <v>2793.444</v>
      </c>
      <c r="G132" s="10">
        <v>4258.7749999999996</v>
      </c>
      <c r="H132" s="10">
        <v>81.810590000000005</v>
      </c>
    </row>
    <row r="133" spans="1:8" x14ac:dyDescent="0.35">
      <c r="A133" t="s">
        <v>368</v>
      </c>
      <c r="B133" s="10">
        <v>1E-3</v>
      </c>
      <c r="C133" s="10">
        <v>1.469697</v>
      </c>
      <c r="D133" s="10">
        <v>0.125</v>
      </c>
      <c r="E133" s="10">
        <v>14772.61</v>
      </c>
      <c r="F133" s="10">
        <v>2794.1350000000002</v>
      </c>
      <c r="G133" s="10">
        <v>4257.8249999999998</v>
      </c>
      <c r="H133" s="10">
        <v>82.698359999999994</v>
      </c>
    </row>
    <row r="134" spans="1:8" x14ac:dyDescent="0.35">
      <c r="A134" t="s">
        <v>369</v>
      </c>
      <c r="B134" s="10">
        <v>1E-3</v>
      </c>
      <c r="C134" s="10">
        <v>1.3038460000000001</v>
      </c>
      <c r="D134" s="10">
        <v>0.125</v>
      </c>
      <c r="E134" s="10">
        <v>15021.93</v>
      </c>
      <c r="F134" s="10">
        <v>2785.4760000000001</v>
      </c>
      <c r="G134" s="10">
        <v>4305.6499999999996</v>
      </c>
      <c r="H134" s="10">
        <v>83.112819999999999</v>
      </c>
    </row>
    <row r="135" spans="1:8" x14ac:dyDescent="0.35">
      <c r="A135" t="s">
        <v>370</v>
      </c>
      <c r="B135" s="10">
        <v>1E-3</v>
      </c>
      <c r="C135" s="10">
        <v>1</v>
      </c>
      <c r="D135" s="10">
        <v>0.125</v>
      </c>
      <c r="E135" s="10">
        <v>15309.02</v>
      </c>
      <c r="F135" s="10">
        <v>2778.1289999999999</v>
      </c>
      <c r="G135" s="10">
        <v>4341.75</v>
      </c>
      <c r="H135" s="10">
        <v>84.387500000000003</v>
      </c>
    </row>
    <row r="136" spans="1:8" x14ac:dyDescent="0.35">
      <c r="A136" t="s">
        <v>371</v>
      </c>
      <c r="B136" s="10">
        <v>3.3273809999999999</v>
      </c>
      <c r="C136" s="10">
        <v>1</v>
      </c>
      <c r="D136" s="10">
        <v>0.125</v>
      </c>
      <c r="E136" s="10">
        <v>15608.06</v>
      </c>
      <c r="F136" s="10">
        <v>2768.7049999999999</v>
      </c>
      <c r="G136" s="10">
        <v>4361.125</v>
      </c>
      <c r="H136" s="10">
        <v>84.155349999999999</v>
      </c>
    </row>
    <row r="137" spans="1:8" x14ac:dyDescent="0.35">
      <c r="A137" t="s">
        <v>372</v>
      </c>
      <c r="B137" s="10">
        <v>3.3923079999999999</v>
      </c>
      <c r="C137" s="10">
        <v>0.77692309999999998</v>
      </c>
      <c r="D137" s="10">
        <v>0.125</v>
      </c>
      <c r="E137" s="10">
        <v>15893.73</v>
      </c>
      <c r="F137" s="10">
        <v>2764.8180000000002</v>
      </c>
      <c r="G137" s="10">
        <v>4367.4250000000002</v>
      </c>
      <c r="H137" s="10">
        <v>84.269739999999999</v>
      </c>
    </row>
    <row r="138" spans="1:8" x14ac:dyDescent="0.35">
      <c r="A138" t="s">
        <v>373</v>
      </c>
      <c r="B138" s="10">
        <v>3.35</v>
      </c>
      <c r="C138" s="10">
        <v>0.75</v>
      </c>
      <c r="D138" s="10">
        <v>0.125</v>
      </c>
      <c r="E138" s="10">
        <v>16222.59</v>
      </c>
      <c r="F138" s="10">
        <v>2753.3560000000002</v>
      </c>
      <c r="G138" s="10">
        <v>4372.4750000000004</v>
      </c>
      <c r="H138" s="10">
        <v>84.830520000000007</v>
      </c>
    </row>
    <row r="139" spans="1:8" x14ac:dyDescent="0.35">
      <c r="A139" t="s">
        <v>374</v>
      </c>
      <c r="B139" s="10">
        <v>3.35</v>
      </c>
      <c r="C139" s="10">
        <v>0.75</v>
      </c>
      <c r="D139" s="10">
        <v>0.125</v>
      </c>
      <c r="E139" s="10">
        <v>16517.509999999998</v>
      </c>
      <c r="F139" s="10">
        <v>2743.9250000000002</v>
      </c>
      <c r="G139" s="10">
        <v>4415.6000000000004</v>
      </c>
      <c r="H139" s="10">
        <v>86.440439999999995</v>
      </c>
    </row>
    <row r="140" spans="1:8" x14ac:dyDescent="0.35">
      <c r="A140" t="s">
        <v>375</v>
      </c>
      <c r="B140" s="10">
        <v>3.35</v>
      </c>
      <c r="C140" s="10">
        <v>0.60384610000000005</v>
      </c>
      <c r="D140" s="10">
        <v>0.125</v>
      </c>
      <c r="E140" s="10">
        <v>16800.38</v>
      </c>
      <c r="F140" s="10">
        <v>2761.8139999999999</v>
      </c>
      <c r="G140" s="10">
        <v>4427.4250000000002</v>
      </c>
      <c r="H140" s="10">
        <v>86.174580000000006</v>
      </c>
    </row>
    <row r="141" spans="1:8" x14ac:dyDescent="0.35">
      <c r="A141" t="s">
        <v>376</v>
      </c>
      <c r="B141" s="10">
        <v>3.7704550000000001</v>
      </c>
      <c r="C141" s="10">
        <v>0.5</v>
      </c>
      <c r="D141" s="10">
        <v>0.125</v>
      </c>
      <c r="E141" s="10">
        <v>17158.36</v>
      </c>
      <c r="F141" s="10">
        <v>2769.8960000000002</v>
      </c>
      <c r="G141" s="10">
        <v>4465.125</v>
      </c>
      <c r="H141" s="10">
        <v>86.629800000000003</v>
      </c>
    </row>
    <row r="142" spans="1:8" x14ac:dyDescent="0.35">
      <c r="A142" t="s">
        <v>377</v>
      </c>
      <c r="B142" s="10">
        <v>4.0393939999999997</v>
      </c>
      <c r="C142" s="10">
        <v>0.36742419999999998</v>
      </c>
      <c r="D142" s="10">
        <v>0.125</v>
      </c>
      <c r="E142" s="10">
        <v>17458.39</v>
      </c>
      <c r="F142" s="10">
        <v>2776.0369999999998</v>
      </c>
      <c r="G142" s="10">
        <v>4504.0249999999996</v>
      </c>
      <c r="H142" s="10">
        <v>87.289749999999998</v>
      </c>
    </row>
    <row r="143" spans="1:8" x14ac:dyDescent="0.35">
      <c r="A143" t="s">
        <v>378</v>
      </c>
      <c r="B143" s="10">
        <v>4.0999999999999996</v>
      </c>
      <c r="C143" s="10">
        <v>0.25</v>
      </c>
      <c r="D143" s="10">
        <v>0.125</v>
      </c>
      <c r="E143" s="10">
        <v>17774.77</v>
      </c>
      <c r="F143" s="10">
        <v>2788.64</v>
      </c>
      <c r="G143" s="10">
        <v>4488.5</v>
      </c>
      <c r="H143" s="10">
        <v>88.427779999999998</v>
      </c>
    </row>
    <row r="144" spans="1:8" x14ac:dyDescent="0.35">
      <c r="A144" t="s">
        <v>379</v>
      </c>
      <c r="B144" s="10">
        <v>4.0999999999999996</v>
      </c>
      <c r="C144" s="10">
        <v>0.22846150000000001</v>
      </c>
      <c r="D144" s="10">
        <v>0.125</v>
      </c>
      <c r="E144" s="10">
        <v>18097.27</v>
      </c>
      <c r="F144" s="10">
        <v>2795.3780000000002</v>
      </c>
      <c r="G144" s="10">
        <v>4546.4750000000004</v>
      </c>
      <c r="H144" s="10">
        <v>88.069739999999996</v>
      </c>
    </row>
    <row r="145" spans="1:8" x14ac:dyDescent="0.35">
      <c r="A145" t="s">
        <v>380</v>
      </c>
      <c r="B145" s="10">
        <v>4.0999999999999996</v>
      </c>
      <c r="C145" s="10">
        <v>0.12727269999999999</v>
      </c>
      <c r="D145" s="10">
        <v>0.125</v>
      </c>
      <c r="E145" s="10">
        <v>18418.3</v>
      </c>
      <c r="F145" s="10">
        <v>2808.9650000000001</v>
      </c>
      <c r="G145" s="10">
        <v>4601.7250000000004</v>
      </c>
      <c r="H145" s="10">
        <v>88.332099999999997</v>
      </c>
    </row>
    <row r="146" spans="1:8" x14ac:dyDescent="0.35">
      <c r="A146" t="s">
        <v>381</v>
      </c>
      <c r="B146" s="10">
        <v>4.0999999999999996</v>
      </c>
      <c r="C146" s="10">
        <v>0.05</v>
      </c>
      <c r="D146" s="10">
        <v>0.125</v>
      </c>
      <c r="E146" s="10">
        <v>18739.79</v>
      </c>
      <c r="F146" s="10">
        <v>2819.884</v>
      </c>
      <c r="G146" s="10">
        <v>4625</v>
      </c>
      <c r="H146" s="10">
        <v>88.599119999999999</v>
      </c>
    </row>
    <row r="147" spans="1:8" x14ac:dyDescent="0.35">
      <c r="A147" t="s">
        <v>382</v>
      </c>
      <c r="B147" s="10">
        <v>3.8492190000000002</v>
      </c>
      <c r="C147" s="10">
        <v>0.05</v>
      </c>
      <c r="D147" s="10">
        <v>0.125</v>
      </c>
      <c r="E147" s="10">
        <v>19039.87</v>
      </c>
      <c r="F147" s="10">
        <v>2840.6979999999999</v>
      </c>
      <c r="G147" s="10">
        <v>4666.6499999999996</v>
      </c>
      <c r="H147" s="10">
        <v>89.489270000000005</v>
      </c>
    </row>
    <row r="148" spans="1:8" x14ac:dyDescent="0.35">
      <c r="A148" t="s">
        <v>383</v>
      </c>
      <c r="B148" s="10">
        <v>3.3269229999999999</v>
      </c>
      <c r="C148" s="10">
        <v>0.05</v>
      </c>
      <c r="D148" s="10">
        <v>0.125</v>
      </c>
      <c r="E148" s="10">
        <v>19382.57</v>
      </c>
      <c r="F148" s="10">
        <v>2852.7289999999998</v>
      </c>
      <c r="G148" s="10">
        <v>4695.55</v>
      </c>
      <c r="H148" s="10">
        <v>89.273300000000006</v>
      </c>
    </row>
    <row r="149" spans="1:8" x14ac:dyDescent="0.35">
      <c r="A149" t="s">
        <v>384</v>
      </c>
      <c r="B149" s="10">
        <v>2.4431820000000002</v>
      </c>
      <c r="C149" s="10">
        <v>0.05</v>
      </c>
      <c r="D149" s="10">
        <v>0.125</v>
      </c>
      <c r="E149" s="10">
        <v>19711.5</v>
      </c>
      <c r="F149" s="10">
        <v>2864.9560000000001</v>
      </c>
      <c r="G149" s="10">
        <v>4714.3500000000004</v>
      </c>
      <c r="H149" s="10">
        <v>89.863079999999997</v>
      </c>
    </row>
    <row r="150" spans="1:8" x14ac:dyDescent="0.35">
      <c r="A150" t="s">
        <v>385</v>
      </c>
      <c r="B150" s="10">
        <v>2.2772730000000001</v>
      </c>
      <c r="C150" s="10">
        <v>0.05</v>
      </c>
      <c r="D150" s="10">
        <v>0.1666667</v>
      </c>
      <c r="E150" s="10">
        <v>20029.97</v>
      </c>
      <c r="F150" s="10">
        <v>2879.53</v>
      </c>
      <c r="G150" s="10">
        <v>4723.05</v>
      </c>
      <c r="H150" s="10">
        <v>89.89855</v>
      </c>
    </row>
    <row r="151" spans="1:8" x14ac:dyDescent="0.35">
      <c r="A151" t="s">
        <v>386</v>
      </c>
      <c r="B151" s="10">
        <v>2.25</v>
      </c>
      <c r="C151" s="10">
        <v>4.0769229999999997E-2</v>
      </c>
      <c r="D151" s="10">
        <v>0.375</v>
      </c>
      <c r="E151" s="10">
        <v>20346.41</v>
      </c>
      <c r="F151" s="10">
        <v>2892.9650000000001</v>
      </c>
      <c r="G151" s="10">
        <v>4750.4250000000002</v>
      </c>
      <c r="H151" s="10">
        <v>91.399259999999998</v>
      </c>
    </row>
    <row r="152" spans="1:8" x14ac:dyDescent="0.35">
      <c r="A152" t="s">
        <v>387</v>
      </c>
      <c r="B152" s="10">
        <v>2.25</v>
      </c>
      <c r="C152" s="10">
        <v>0</v>
      </c>
      <c r="D152" s="10">
        <v>0.375</v>
      </c>
      <c r="E152" s="10">
        <v>20686.23</v>
      </c>
      <c r="F152" s="10">
        <v>2898.4789999999998</v>
      </c>
      <c r="G152" s="10">
        <v>4765.6750000000002</v>
      </c>
      <c r="H152" s="10">
        <v>91.118430000000004</v>
      </c>
    </row>
    <row r="153" spans="1:8" x14ac:dyDescent="0.35">
      <c r="A153" t="s">
        <v>388</v>
      </c>
      <c r="B153" s="10">
        <v>2.25</v>
      </c>
      <c r="C153" s="10">
        <v>0</v>
      </c>
      <c r="D153" s="10">
        <v>0.375</v>
      </c>
      <c r="E153" s="10">
        <v>21007.45</v>
      </c>
      <c r="F153" s="10">
        <v>2912.643</v>
      </c>
      <c r="G153" s="10">
        <v>4799.4750000000004</v>
      </c>
      <c r="H153" s="10">
        <v>91.36063</v>
      </c>
    </row>
    <row r="154" spans="1:8" x14ac:dyDescent="0.35">
      <c r="A154" t="s">
        <v>389</v>
      </c>
      <c r="B154" s="10">
        <v>2.25</v>
      </c>
      <c r="C154" s="10">
        <v>0</v>
      </c>
      <c r="D154" s="10">
        <v>0.42115380000000002</v>
      </c>
      <c r="E154" s="10">
        <v>21387.97</v>
      </c>
      <c r="F154" s="10">
        <v>2934.81</v>
      </c>
      <c r="G154" s="10">
        <v>4826.1000000000004</v>
      </c>
      <c r="H154" s="10">
        <v>91.846249999999998</v>
      </c>
    </row>
    <row r="155" spans="1:8" x14ac:dyDescent="0.35">
      <c r="A155" t="s">
        <v>390</v>
      </c>
      <c r="B155" s="10">
        <v>2.3315380000000001</v>
      </c>
      <c r="C155" s="10">
        <v>0</v>
      </c>
      <c r="D155" s="10">
        <v>0.67115380000000002</v>
      </c>
      <c r="E155" s="10">
        <v>21791.24</v>
      </c>
      <c r="F155" s="10">
        <v>2958.3910000000001</v>
      </c>
      <c r="G155" s="10">
        <v>4849.5749999999998</v>
      </c>
      <c r="H155" s="10">
        <v>92.674160000000001</v>
      </c>
    </row>
    <row r="156" spans="1:8" x14ac:dyDescent="0.35">
      <c r="A156" t="s">
        <v>391</v>
      </c>
      <c r="B156" s="10">
        <v>2.4500000000000002</v>
      </c>
      <c r="C156" s="10">
        <v>0</v>
      </c>
      <c r="D156" s="10">
        <v>0.92115380000000002</v>
      </c>
      <c r="E156" s="10">
        <v>22151.27</v>
      </c>
      <c r="F156" s="10">
        <v>2977.9180000000001</v>
      </c>
      <c r="G156" s="10">
        <v>4876.7250000000004</v>
      </c>
      <c r="H156" s="10">
        <v>92.393749999999997</v>
      </c>
    </row>
    <row r="157" spans="1:8" x14ac:dyDescent="0.35">
      <c r="A157" t="s">
        <v>392</v>
      </c>
      <c r="B157" s="10">
        <v>2.4500000000000002</v>
      </c>
      <c r="C157" s="10">
        <v>0</v>
      </c>
      <c r="D157" s="10">
        <v>1.125</v>
      </c>
      <c r="E157" s="10">
        <v>22427.07</v>
      </c>
      <c r="F157" s="10">
        <v>3000.1039999999998</v>
      </c>
      <c r="G157" s="10">
        <v>4915.2</v>
      </c>
      <c r="H157" s="10">
        <v>92.822460000000007</v>
      </c>
    </row>
    <row r="158" spans="1:8" x14ac:dyDescent="0.35">
      <c r="A158" t="s">
        <v>393</v>
      </c>
      <c r="B158" s="10">
        <v>2.4592309999999999</v>
      </c>
      <c r="C158" s="10">
        <v>0</v>
      </c>
      <c r="D158" s="10">
        <v>1.171154</v>
      </c>
      <c r="E158" s="10">
        <v>22826.65</v>
      </c>
      <c r="F158" s="10">
        <v>3024.5309999999999</v>
      </c>
      <c r="G158" s="10">
        <v>4970.6000000000004</v>
      </c>
      <c r="H158" s="10">
        <v>93.499459999999999</v>
      </c>
    </row>
    <row r="159" spans="1:8" x14ac:dyDescent="0.35">
      <c r="A159" t="s">
        <v>394</v>
      </c>
      <c r="B159" s="10">
        <v>2.505385</v>
      </c>
      <c r="C159" s="10">
        <v>0</v>
      </c>
      <c r="D159" s="10">
        <v>1.401923</v>
      </c>
      <c r="E159" s="10">
        <v>23330.73</v>
      </c>
      <c r="F159" s="10">
        <v>3025.58</v>
      </c>
      <c r="G159" s="10">
        <v>5011.0249999999996</v>
      </c>
      <c r="H159" s="10">
        <v>94.681979999999996</v>
      </c>
    </row>
    <row r="160" spans="1:8" x14ac:dyDescent="0.35">
      <c r="A160" t="s">
        <v>395</v>
      </c>
      <c r="B160" s="10">
        <v>2.5499999999999998</v>
      </c>
      <c r="C160" s="10">
        <v>0</v>
      </c>
      <c r="D160" s="10">
        <v>1.671154</v>
      </c>
      <c r="E160" s="10">
        <v>23698.22</v>
      </c>
      <c r="F160" s="10">
        <v>3040.9780000000001</v>
      </c>
      <c r="G160" s="10">
        <v>5037.625</v>
      </c>
      <c r="H160" s="10">
        <v>94.087599999999995</v>
      </c>
    </row>
    <row r="161" spans="1:8" x14ac:dyDescent="0.35">
      <c r="A161" t="s">
        <v>396</v>
      </c>
      <c r="B161" s="10">
        <v>2.5499999999999998</v>
      </c>
      <c r="C161" s="10">
        <v>0</v>
      </c>
      <c r="D161" s="10">
        <v>1.882692</v>
      </c>
      <c r="E161" s="10">
        <v>23905.45</v>
      </c>
      <c r="F161" s="10">
        <v>3043.7449999999999</v>
      </c>
      <c r="G161" s="10">
        <v>5069.05</v>
      </c>
      <c r="H161" s="10">
        <v>94.957989999999995</v>
      </c>
    </row>
    <row r="162" spans="1:8" x14ac:dyDescent="0.35">
      <c r="A162" t="s">
        <v>397</v>
      </c>
      <c r="B162" s="10">
        <v>2.5499999999999998</v>
      </c>
      <c r="C162" s="10">
        <v>0</v>
      </c>
      <c r="D162" s="10">
        <v>2.155303</v>
      </c>
      <c r="E162" s="10">
        <v>24283.19</v>
      </c>
      <c r="F162" s="10">
        <v>3060.2130000000002</v>
      </c>
      <c r="G162" s="10">
        <v>5076.2250000000004</v>
      </c>
      <c r="H162" s="10">
        <v>95.556259999999995</v>
      </c>
    </row>
    <row r="163" spans="1:8" x14ac:dyDescent="0.35">
      <c r="A163" t="s">
        <v>398</v>
      </c>
      <c r="B163" s="10">
        <v>2.5499999999999998</v>
      </c>
      <c r="C163" s="10">
        <v>0</v>
      </c>
      <c r="D163" s="10">
        <v>2.375</v>
      </c>
      <c r="E163" s="10">
        <v>24847.13</v>
      </c>
      <c r="F163" s="10">
        <v>3081.74</v>
      </c>
      <c r="G163" s="10">
        <v>5107.8999999999996</v>
      </c>
      <c r="H163" s="10">
        <v>96.416759999999996</v>
      </c>
    </row>
    <row r="164" spans="1:8" x14ac:dyDescent="0.35">
      <c r="A164" t="s">
        <v>399</v>
      </c>
      <c r="B164" s="10">
        <v>2.5499999999999998</v>
      </c>
      <c r="C164" s="10">
        <v>0</v>
      </c>
      <c r="D164" s="10">
        <v>2.375</v>
      </c>
      <c r="E164" s="10">
        <v>25185.68</v>
      </c>
      <c r="F164" s="10">
        <v>3092.8389999999999</v>
      </c>
      <c r="G164" s="10">
        <v>5150.5749999999998</v>
      </c>
      <c r="H164" s="10">
        <v>96.565150000000003</v>
      </c>
    </row>
    <row r="165" spans="1:8" x14ac:dyDescent="0.35">
      <c r="A165" t="s">
        <v>400</v>
      </c>
      <c r="B165" s="10">
        <v>2.5499999999999998</v>
      </c>
      <c r="C165" s="10">
        <v>0</v>
      </c>
      <c r="D165" s="10">
        <v>2.1818179999999998</v>
      </c>
      <c r="E165" s="10">
        <v>25318.42</v>
      </c>
      <c r="F165" s="10">
        <v>3099.5709999999999</v>
      </c>
      <c r="G165" s="10">
        <v>5210.8249999999998</v>
      </c>
      <c r="H165" s="10">
        <v>97.68056</v>
      </c>
    </row>
    <row r="166" spans="1:8" x14ac:dyDescent="0.35">
      <c r="A166" t="s">
        <v>401</v>
      </c>
      <c r="B166" s="10">
        <v>2.5257580000000002</v>
      </c>
      <c r="C166" s="10">
        <v>0</v>
      </c>
      <c r="D166" s="10">
        <v>1.7083330000000001</v>
      </c>
      <c r="E166" s="10">
        <v>25687.48</v>
      </c>
      <c r="F166" s="10">
        <v>3096.0219999999999</v>
      </c>
      <c r="G166" s="10">
        <v>5246.35</v>
      </c>
      <c r="H166" s="10">
        <v>99.632739999999998</v>
      </c>
    </row>
    <row r="167" spans="1:8" x14ac:dyDescent="0.35">
      <c r="A167" t="s">
        <v>402</v>
      </c>
      <c r="B167" s="10">
        <v>2.4292310000000001</v>
      </c>
      <c r="C167" s="10">
        <v>0</v>
      </c>
      <c r="D167" s="10">
        <v>1.286538</v>
      </c>
      <c r="E167" s="10">
        <v>23154.3</v>
      </c>
      <c r="F167" s="10">
        <v>2993.6469999999999</v>
      </c>
      <c r="G167" s="10">
        <v>5173.3</v>
      </c>
      <c r="H167" s="10">
        <v>101.2046</v>
      </c>
    </row>
    <row r="168" spans="1:8" x14ac:dyDescent="0.35">
      <c r="A168" t="s">
        <v>403</v>
      </c>
      <c r="B168" s="10">
        <v>2.2000000000000002</v>
      </c>
      <c r="C168" s="10">
        <v>0</v>
      </c>
      <c r="D168" s="10">
        <v>0.125</v>
      </c>
      <c r="E168" s="10">
        <v>26040.560000000001</v>
      </c>
      <c r="F168" s="10">
        <v>2662.4520000000002</v>
      </c>
      <c r="G168" s="10">
        <v>4764.1499999999996</v>
      </c>
      <c r="H168" s="10">
        <v>99.204620000000006</v>
      </c>
    </row>
    <row r="169" spans="1:8" x14ac:dyDescent="0.35">
      <c r="A169" t="s">
        <v>404</v>
      </c>
      <c r="B169" s="10">
        <v>2.2000000000000002</v>
      </c>
      <c r="C169" s="10">
        <v>0</v>
      </c>
      <c r="D169" s="10">
        <v>0.125</v>
      </c>
      <c r="E169" s="10">
        <v>26555.53</v>
      </c>
      <c r="F169" s="10">
        <v>2970.837</v>
      </c>
      <c r="G169" s="10">
        <v>5137.2</v>
      </c>
      <c r="H169" s="10">
        <v>99.892039999999994</v>
      </c>
    </row>
    <row r="170" spans="1:8" x14ac:dyDescent="0.35">
      <c r="A170" t="s">
        <v>405</v>
      </c>
      <c r="B170" s="10">
        <v>2.2000000000000002</v>
      </c>
      <c r="C170" s="10">
        <v>0</v>
      </c>
      <c r="D170" s="10">
        <v>0.125</v>
      </c>
      <c r="E170" s="10">
        <v>27335.919999999998</v>
      </c>
      <c r="F170" s="10">
        <v>2980.308</v>
      </c>
      <c r="G170" s="10">
        <v>5192.9250000000002</v>
      </c>
      <c r="H170" s="10">
        <v>99.698759999999993</v>
      </c>
    </row>
    <row r="171" spans="1:8" x14ac:dyDescent="0.35">
      <c r="A171" t="s">
        <v>406</v>
      </c>
      <c r="B171" s="10">
        <v>2.2000000000000002</v>
      </c>
      <c r="C171" s="10">
        <v>0</v>
      </c>
      <c r="D171" s="10">
        <v>0.125</v>
      </c>
      <c r="E171" s="10">
        <v>27484.27</v>
      </c>
      <c r="F171" s="10">
        <v>3003.7649999999999</v>
      </c>
      <c r="G171" s="10">
        <v>5264.6</v>
      </c>
      <c r="H171" s="10">
        <v>101.17</v>
      </c>
    </row>
    <row r="172" spans="1:8" x14ac:dyDescent="0.35">
      <c r="A172" t="s">
        <v>407</v>
      </c>
      <c r="B172" s="10">
        <v>2.2000000000000002</v>
      </c>
      <c r="C172" s="10">
        <v>0</v>
      </c>
      <c r="D172" s="10">
        <v>0.125</v>
      </c>
      <c r="E172" s="10">
        <v>28214.42</v>
      </c>
      <c r="F172" s="10">
        <v>3068.6379999999999</v>
      </c>
      <c r="G172" s="10">
        <v>5347.25</v>
      </c>
      <c r="H172" s="10">
        <v>100.2953</v>
      </c>
    </row>
    <row r="173" spans="1:8" x14ac:dyDescent="0.35">
      <c r="A173" t="s">
        <v>408</v>
      </c>
      <c r="B173" s="10">
        <v>2.2000000000000002</v>
      </c>
      <c r="C173" s="10">
        <v>0</v>
      </c>
      <c r="D173" s="10">
        <v>0.125</v>
      </c>
      <c r="E173" s="10">
        <v>28027.63</v>
      </c>
      <c r="F173" s="10">
        <v>3123.6010000000001</v>
      </c>
      <c r="G173" s="10">
        <v>5392.85</v>
      </c>
      <c r="H173" s="10">
        <v>100.7242</v>
      </c>
    </row>
    <row r="174" spans="1:8" x14ac:dyDescent="0.35">
      <c r="A174" t="s">
        <v>409</v>
      </c>
      <c r="B174" s="10">
        <v>2.2000000000000002</v>
      </c>
      <c r="C174" s="10">
        <v>0</v>
      </c>
      <c r="D174" s="10">
        <v>0.125</v>
      </c>
      <c r="E174" s="10">
        <v>28555.13</v>
      </c>
      <c r="F174" s="10">
        <v>3148.192</v>
      </c>
      <c r="G174" s="10">
        <v>5490.1</v>
      </c>
      <c r="H174" s="10">
        <v>101.4588</v>
      </c>
    </row>
    <row r="175" spans="1:8" x14ac:dyDescent="0.35">
      <c r="A175" t="s">
        <v>410</v>
      </c>
      <c r="B175" s="10">
        <v>2.1156250000000001</v>
      </c>
      <c r="C175" s="10">
        <v>0</v>
      </c>
      <c r="D175" s="10">
        <v>0.1679688</v>
      </c>
      <c r="E175" s="10">
        <v>28745.59</v>
      </c>
      <c r="F175" s="10">
        <v>3170.8440000000001</v>
      </c>
      <c r="G175" s="10">
        <v>5475.9750000000004</v>
      </c>
      <c r="H175" s="10">
        <v>102.28279999999999</v>
      </c>
    </row>
    <row r="176" spans="1:8" x14ac:dyDescent="0.35">
      <c r="A176" t="s">
        <v>411</v>
      </c>
      <c r="B176" s="10">
        <v>2.1</v>
      </c>
      <c r="C176" s="10">
        <v>0</v>
      </c>
      <c r="D176" s="10">
        <v>0.81730769999999997</v>
      </c>
      <c r="E176" s="10">
        <v>28481.51</v>
      </c>
      <c r="F176" s="10">
        <v>3200.4380000000001</v>
      </c>
      <c r="G176" s="10">
        <v>5479.8</v>
      </c>
      <c r="H176" s="10">
        <v>102.53489999999999</v>
      </c>
    </row>
    <row r="177" spans="1:8" x14ac:dyDescent="0.35">
      <c r="A177" t="s">
        <v>412</v>
      </c>
      <c r="B177" s="10">
        <v>2.04697</v>
      </c>
      <c r="C177" s="10">
        <v>0.51136360000000003</v>
      </c>
      <c r="D177" s="10">
        <v>2.2386360000000001</v>
      </c>
      <c r="E177" s="10">
        <v>29176.51</v>
      </c>
      <c r="F177" s="10">
        <v>3215.2689999999998</v>
      </c>
      <c r="G177" s="10">
        <v>5516.7</v>
      </c>
      <c r="H177" s="10">
        <v>103.4102</v>
      </c>
    </row>
    <row r="178" spans="1:8" x14ac:dyDescent="0.35">
      <c r="A178" t="s">
        <v>413</v>
      </c>
      <c r="B178" s="10">
        <v>2</v>
      </c>
      <c r="C178" s="10">
        <v>1.8076920000000001</v>
      </c>
      <c r="D178" s="10">
        <v>3.7019229999999999</v>
      </c>
      <c r="E178" s="10">
        <v>29424.32</v>
      </c>
      <c r="F178" s="10">
        <v>3213.848</v>
      </c>
      <c r="G178" s="10">
        <v>5562.375</v>
      </c>
      <c r="H178" s="10">
        <v>103.3189</v>
      </c>
    </row>
    <row r="179" spans="1:8" x14ac:dyDescent="0.35">
      <c r="A179" t="s">
        <v>414</v>
      </c>
      <c r="B179" s="10">
        <v>2</v>
      </c>
      <c r="C179" s="10">
        <v>2.8538459999999999</v>
      </c>
      <c r="D179" s="10">
        <v>4.5634610000000002</v>
      </c>
      <c r="E179" s="10">
        <v>30015.22</v>
      </c>
      <c r="F179" s="10">
        <v>3211.973</v>
      </c>
      <c r="G179" s="10">
        <v>5600.85</v>
      </c>
      <c r="H179" s="10">
        <v>103.5754</v>
      </c>
    </row>
    <row r="180" spans="1:8" x14ac:dyDescent="0.35">
      <c r="A180" t="s">
        <v>415</v>
      </c>
      <c r="B180" s="10">
        <v>1.9784619999999999</v>
      </c>
      <c r="C180" s="10">
        <v>3.6769229999999999</v>
      </c>
      <c r="D180" s="10">
        <v>5.0365390000000003</v>
      </c>
      <c r="E180" s="10">
        <v>30391.22</v>
      </c>
      <c r="F180" s="10">
        <v>3218.451</v>
      </c>
      <c r="G180" s="10">
        <v>5634.85</v>
      </c>
      <c r="H180" s="10">
        <v>102.6373</v>
      </c>
    </row>
    <row r="181" spans="1:8" x14ac:dyDescent="0.35">
      <c r="A181" t="s">
        <v>416</v>
      </c>
      <c r="B181" s="10">
        <v>1.8476919999999999</v>
      </c>
      <c r="C181" s="10">
        <v>4.1961539999999999</v>
      </c>
      <c r="D181" s="10">
        <v>5.3057689999999997</v>
      </c>
      <c r="E181" s="10">
        <v>30678.34</v>
      </c>
      <c r="F181" s="10">
        <v>3217.107</v>
      </c>
      <c r="G181" s="10">
        <v>5695.2250000000004</v>
      </c>
      <c r="H181" s="10">
        <v>103.3413</v>
      </c>
    </row>
    <row r="182" spans="1:8" x14ac:dyDescent="0.35">
      <c r="A182" t="s">
        <v>417</v>
      </c>
      <c r="B182" s="10">
        <v>1.8</v>
      </c>
      <c r="C182" s="10">
        <v>4.5</v>
      </c>
      <c r="D182" s="10">
        <v>5.375</v>
      </c>
      <c r="E182" s="10">
        <v>31008.28</v>
      </c>
      <c r="F182" s="10">
        <v>3218.7</v>
      </c>
      <c r="G182" s="10">
        <v>5740.15</v>
      </c>
      <c r="H182" s="10">
        <v>102.9747</v>
      </c>
    </row>
    <row r="183" spans="1:8" x14ac:dyDescent="0.35">
      <c r="A183" t="s">
        <v>418</v>
      </c>
      <c r="B183" s="10">
        <v>1.8</v>
      </c>
      <c r="C183" s="10">
        <v>4.5</v>
      </c>
      <c r="D183" s="10">
        <v>5.375</v>
      </c>
      <c r="E183" s="10">
        <v>31519.25</v>
      </c>
      <c r="F183" s="10">
        <v>3227.665</v>
      </c>
      <c r="G183" s="10">
        <v>5763.375</v>
      </c>
      <c r="H183" s="10">
        <v>103.57510000000001</v>
      </c>
    </row>
    <row r="184" spans="1:8" x14ac:dyDescent="0.35">
      <c r="A184" t="s">
        <v>419</v>
      </c>
      <c r="B184" s="10">
        <v>1.8</v>
      </c>
      <c r="C184" s="10">
        <v>4.45</v>
      </c>
      <c r="D184" s="10">
        <v>5.375</v>
      </c>
      <c r="E184" s="10">
        <v>31838.89</v>
      </c>
      <c r="F184" s="10">
        <v>3234.1489999999999</v>
      </c>
      <c r="G184" s="10">
        <v>5805.9750000000004</v>
      </c>
      <c r="H184" s="10">
        <v>102.9111</v>
      </c>
    </row>
    <row r="185" spans="1:8" x14ac:dyDescent="0.35">
      <c r="A185" t="s">
        <v>420</v>
      </c>
      <c r="B185" s="10">
        <v>1.7166669999999999</v>
      </c>
      <c r="C185" s="10">
        <v>4.1681819999999998</v>
      </c>
      <c r="D185" s="10">
        <v>5.3143940000000001</v>
      </c>
      <c r="E185" s="10">
        <v>32096.48</v>
      </c>
      <c r="F185" s="10">
        <v>3247.2930000000001</v>
      </c>
      <c r="G185" s="10">
        <v>5850.0749999999998</v>
      </c>
      <c r="H185" s="10">
        <v>103.8579</v>
      </c>
    </row>
    <row r="186" spans="1:8" x14ac:dyDescent="0.35">
      <c r="A186" t="s">
        <v>421</v>
      </c>
      <c r="B186" s="10">
        <v>1.5</v>
      </c>
      <c r="C186" s="10">
        <v>3.4227270000000001</v>
      </c>
      <c r="D186" s="10">
        <v>4.6969700000000003</v>
      </c>
      <c r="E186" s="10">
        <v>32688.47</v>
      </c>
      <c r="F186" s="10">
        <v>3260.2849999999999</v>
      </c>
      <c r="G186" s="10">
        <v>5885.5749999999998</v>
      </c>
      <c r="H186" s="10">
        <v>103.1808</v>
      </c>
    </row>
    <row r="187" spans="1:8" x14ac:dyDescent="0.35">
      <c r="A187" t="s">
        <v>422</v>
      </c>
      <c r="B187" s="10">
        <v>1.5</v>
      </c>
      <c r="C187" s="10">
        <v>2.9429690000000002</v>
      </c>
      <c r="D187" s="10">
        <v>4.375</v>
      </c>
      <c r="E187" s="10">
        <v>33185.279999999999</v>
      </c>
      <c r="F187" s="10">
        <v>3278.5659999999998</v>
      </c>
      <c r="G187" s="10">
        <v>5878.1750000000002</v>
      </c>
      <c r="H187" s="10">
        <v>103.4686</v>
      </c>
    </row>
    <row r="188" spans="1:8" x14ac:dyDescent="0.35">
      <c r="A188" t="s">
        <v>423</v>
      </c>
      <c r="B188" s="10">
        <v>1.441538</v>
      </c>
      <c r="C188" s="10">
        <v>2.4076919999999999</v>
      </c>
      <c r="D188" s="10">
        <v>4.375</v>
      </c>
      <c r="E188" s="10">
        <v>33517.129999999997</v>
      </c>
      <c r="F188" s="10">
        <v>3282.4749999999999</v>
      </c>
      <c r="G188" s="10">
        <v>5925.95</v>
      </c>
      <c r="H188" s="10">
        <v>102.8767</v>
      </c>
    </row>
    <row r="189" spans="1:8" x14ac:dyDescent="0.35">
      <c r="A189" t="s">
        <v>424</v>
      </c>
      <c r="B189" s="11">
        <v>1.4000109999999999</v>
      </c>
      <c r="C189" s="11">
        <v>2.15</v>
      </c>
      <c r="D189" s="11">
        <v>4.3371209999999998</v>
      </c>
      <c r="E189" s="11">
        <v>33698.69</v>
      </c>
      <c r="F189" s="11">
        <v>3282.6410000000001</v>
      </c>
      <c r="G189" s="11">
        <v>5960.8990000000003</v>
      </c>
      <c r="H189" s="11">
        <v>103.8326</v>
      </c>
    </row>
    <row r="190" spans="1:8" x14ac:dyDescent="0.35">
      <c r="A190" t="s">
        <v>425</v>
      </c>
      <c r="B190" s="11">
        <v>1.3500030000000001</v>
      </c>
      <c r="C190" s="11">
        <v>2.095043</v>
      </c>
      <c r="D190" s="11">
        <v>4.0719279999999998</v>
      </c>
      <c r="E190" s="11">
        <v>33917.730000000003</v>
      </c>
      <c r="F190" s="11">
        <v>3287.4949999999999</v>
      </c>
      <c r="G190" s="11">
        <v>5980.8959999999997</v>
      </c>
      <c r="H190" s="11">
        <v>103.3156</v>
      </c>
    </row>
    <row r="191" spans="1:8" x14ac:dyDescent="0.35">
      <c r="A191" t="s">
        <v>426</v>
      </c>
      <c r="B191" s="11">
        <v>1.249989</v>
      </c>
      <c r="C191" s="11">
        <v>1.8999950000000001</v>
      </c>
      <c r="D191" s="11">
        <v>3.8403079999999998</v>
      </c>
      <c r="E191" s="11">
        <v>34291.43</v>
      </c>
      <c r="F191" s="11">
        <v>3292.2739999999999</v>
      </c>
      <c r="G191" s="11">
        <v>6006.47</v>
      </c>
      <c r="H191" s="11">
        <v>103.75660000000001</v>
      </c>
    </row>
    <row r="192" spans="1:8" x14ac:dyDescent="0.35">
      <c r="A192" t="s">
        <v>427</v>
      </c>
      <c r="B192" s="11">
        <v>1.199975</v>
      </c>
      <c r="C192" s="11">
        <v>1.899956</v>
      </c>
      <c r="D192" s="11">
        <v>3.3403529999999999</v>
      </c>
      <c r="E192" s="11">
        <v>34701.839999999997</v>
      </c>
      <c r="F192" s="11">
        <v>3300.846</v>
      </c>
      <c r="G192" s="11">
        <v>6037.9070000000002</v>
      </c>
      <c r="H192" s="11">
        <v>103.3188</v>
      </c>
    </row>
    <row r="193" spans="1:8" x14ac:dyDescent="0.35">
      <c r="A193" t="s">
        <v>428</v>
      </c>
      <c r="B193" s="11">
        <v>1.199948</v>
      </c>
      <c r="C193" s="11">
        <v>1.8999820000000001</v>
      </c>
      <c r="D193" s="11">
        <v>3.1250179999999999</v>
      </c>
      <c r="E193" s="11">
        <v>35113.71</v>
      </c>
      <c r="F193" s="11">
        <v>3311.9290000000001</v>
      </c>
      <c r="G193" s="11">
        <v>6072.8119999999999</v>
      </c>
      <c r="H193" s="11">
        <v>104.4528</v>
      </c>
    </row>
    <row r="194" spans="1:8" x14ac:dyDescent="0.35">
      <c r="A194" t="s">
        <v>429</v>
      </c>
      <c r="B194" s="11">
        <v>1.1999200000000001</v>
      </c>
      <c r="C194" s="11">
        <v>1.9576849999999999</v>
      </c>
      <c r="D194" s="11">
        <v>3.1251229999999999</v>
      </c>
      <c r="E194" s="11">
        <v>35510.47</v>
      </c>
      <c r="F194" s="11">
        <v>3324.7489999999998</v>
      </c>
      <c r="G194" s="11">
        <v>6110.2280000000001</v>
      </c>
      <c r="H194" s="11">
        <v>104.0676</v>
      </c>
    </row>
    <row r="195" spans="1:8" x14ac:dyDescent="0.35">
      <c r="A195" t="s">
        <v>430</v>
      </c>
      <c r="B195" s="11">
        <v>1.1998979999999999</v>
      </c>
      <c r="C195" s="11">
        <v>2.1500279999999998</v>
      </c>
      <c r="D195" s="11">
        <v>3.1251769999999999</v>
      </c>
      <c r="E195" s="11">
        <v>35850.089999999997</v>
      </c>
      <c r="F195" s="11">
        <v>3338.4119999999998</v>
      </c>
      <c r="G195" s="11">
        <v>6148.1040000000003</v>
      </c>
      <c r="H195" s="11">
        <v>104.6472</v>
      </c>
    </row>
    <row r="196" spans="1:8" x14ac:dyDescent="0.35">
      <c r="A196" t="s">
        <v>431</v>
      </c>
      <c r="B196" s="11">
        <v>1.1998800000000001</v>
      </c>
      <c r="C196" s="11">
        <v>2.150026</v>
      </c>
      <c r="D196" s="11">
        <v>3.1251500000000001</v>
      </c>
      <c r="E196" s="11">
        <v>36152.699999999997</v>
      </c>
      <c r="F196" s="11">
        <v>3352.78</v>
      </c>
      <c r="G196" s="11">
        <v>6185.6450000000004</v>
      </c>
      <c r="H196" s="11">
        <v>104.3049</v>
      </c>
    </row>
    <row r="197" spans="1:8" x14ac:dyDescent="0.35">
      <c r="A197" t="s">
        <v>432</v>
      </c>
      <c r="B197" s="11">
        <v>1.199865</v>
      </c>
      <c r="C197" s="11">
        <v>2.150007</v>
      </c>
      <c r="D197" s="11">
        <v>3.125051</v>
      </c>
      <c r="E197" s="11">
        <v>36450.120000000003</v>
      </c>
      <c r="F197" s="11">
        <v>3367.6689999999999</v>
      </c>
      <c r="G197" s="11">
        <v>6222.7209999999995</v>
      </c>
      <c r="H197" s="11">
        <v>105.5501</v>
      </c>
    </row>
    <row r="198" spans="1:8" x14ac:dyDescent="0.35">
      <c r="A198" t="s">
        <v>433</v>
      </c>
      <c r="B198" s="11">
        <v>1.1998770000000001</v>
      </c>
      <c r="C198" s="11">
        <v>2.1500059999999999</v>
      </c>
      <c r="D198" s="11">
        <v>3.1249750000000001</v>
      </c>
      <c r="E198" s="11">
        <v>36752.11</v>
      </c>
      <c r="F198" s="11">
        <v>3382.2530000000002</v>
      </c>
      <c r="G198" s="11">
        <v>6259.2190000000001</v>
      </c>
      <c r="H198" s="11">
        <v>105.26090000000001</v>
      </c>
    </row>
    <row r="199" spans="1:8" x14ac:dyDescent="0.35">
      <c r="A199" t="s">
        <v>434</v>
      </c>
      <c r="B199" s="11">
        <v>1.1998960000000001</v>
      </c>
      <c r="C199" s="11">
        <v>2.1500330000000001</v>
      </c>
      <c r="D199" s="11">
        <v>3.1249959999999999</v>
      </c>
      <c r="E199" s="11">
        <v>37058.71</v>
      </c>
      <c r="F199" s="11">
        <v>3397.0920000000001</v>
      </c>
      <c r="G199" s="11">
        <v>6295.3130000000001</v>
      </c>
      <c r="H199" s="11">
        <v>105.96080000000001</v>
      </c>
    </row>
    <row r="200" spans="1:8" x14ac:dyDescent="0.35">
      <c r="A200" t="s">
        <v>435</v>
      </c>
      <c r="B200" s="11">
        <v>1.199919</v>
      </c>
      <c r="C200" s="11">
        <v>2.1500119999999998</v>
      </c>
      <c r="D200" s="11">
        <v>3.1250599999999999</v>
      </c>
      <c r="E200" s="11">
        <v>37367.599999999999</v>
      </c>
      <c r="F200" s="11">
        <v>3411.7370000000001</v>
      </c>
      <c r="G200" s="11">
        <v>6331.0020000000004</v>
      </c>
      <c r="H200" s="11">
        <v>105.676</v>
      </c>
    </row>
    <row r="201" spans="1:8" x14ac:dyDescent="0.35">
      <c r="A201" t="s">
        <v>436</v>
      </c>
      <c r="B201" s="11">
        <v>1.1999610000000001</v>
      </c>
      <c r="C201" s="11">
        <v>2.150039</v>
      </c>
      <c r="D201" s="11">
        <v>3.1250170000000002</v>
      </c>
      <c r="E201" s="11">
        <v>37678.75</v>
      </c>
      <c r="F201" s="11">
        <v>3426.125</v>
      </c>
      <c r="G201" s="11">
        <v>6366.2830000000004</v>
      </c>
      <c r="H201" s="11">
        <v>106.9594</v>
      </c>
    </row>
    <row r="202" spans="1:8" x14ac:dyDescent="0.35">
      <c r="A202" t="s">
        <v>437</v>
      </c>
      <c r="B202" s="11">
        <v>1.200002</v>
      </c>
      <c r="C202" s="11">
        <v>2.1500539999999999</v>
      </c>
      <c r="D202" s="11">
        <v>3.1250270000000002</v>
      </c>
      <c r="E202" s="11">
        <v>37992.18</v>
      </c>
      <c r="F202" s="11">
        <v>3439.9850000000001</v>
      </c>
      <c r="G202" s="11">
        <v>6401.1809999999996</v>
      </c>
      <c r="H202" s="11">
        <v>106.65940000000001</v>
      </c>
    </row>
    <row r="203" spans="1:8" x14ac:dyDescent="0.35">
      <c r="A203" t="s">
        <v>438</v>
      </c>
      <c r="B203" s="11">
        <v>1.2000299999999999</v>
      </c>
      <c r="C203" s="11">
        <v>2.150067</v>
      </c>
      <c r="D203" s="11">
        <v>3.1250599999999999</v>
      </c>
      <c r="E203" s="11">
        <v>38307.97</v>
      </c>
      <c r="F203" s="11">
        <v>3453.5010000000002</v>
      </c>
      <c r="G203" s="11">
        <v>6435.652</v>
      </c>
      <c r="H203" s="11">
        <v>107.3498</v>
      </c>
    </row>
    <row r="204" spans="1:8" x14ac:dyDescent="0.35">
      <c r="A204" t="s">
        <v>439</v>
      </c>
      <c r="B204" s="11">
        <v>1.2000660000000001</v>
      </c>
      <c r="C204" s="11">
        <v>2.1500560000000002</v>
      </c>
      <c r="D204" s="11">
        <v>3.1250819999999999</v>
      </c>
      <c r="E204" s="11">
        <v>38626.07</v>
      </c>
      <c r="F204" s="11">
        <v>3466.6779999999999</v>
      </c>
      <c r="G204" s="11">
        <v>6469.7209999999995</v>
      </c>
      <c r="H204" s="11">
        <v>107.01300000000001</v>
      </c>
    </row>
    <row r="205" spans="1:8" x14ac:dyDescent="0.35">
      <c r="A205" t="s">
        <v>440</v>
      </c>
      <c r="B205" s="11">
        <v>1.200081</v>
      </c>
      <c r="C205" s="11">
        <v>2.150064</v>
      </c>
      <c r="D205" s="11">
        <v>3.1250810000000002</v>
      </c>
      <c r="E205" s="11">
        <v>38946.5</v>
      </c>
      <c r="F205" s="11">
        <v>3479.76</v>
      </c>
      <c r="G205" s="11">
        <v>6503.3249999999998</v>
      </c>
      <c r="H205" s="11">
        <v>108.2753</v>
      </c>
    </row>
    <row r="206" spans="1:8" x14ac:dyDescent="0.35">
      <c r="A206" t="s">
        <v>441</v>
      </c>
      <c r="B206" s="11">
        <v>1.2000729999999999</v>
      </c>
      <c r="C206" s="11">
        <v>2.150013</v>
      </c>
      <c r="D206" s="11">
        <v>3.125092</v>
      </c>
      <c r="E206" s="11">
        <v>39269.300000000003</v>
      </c>
      <c r="F206" s="11">
        <v>3492.2910000000002</v>
      </c>
      <c r="G206" s="11">
        <v>6536.4520000000002</v>
      </c>
      <c r="H206" s="11">
        <v>107.9486</v>
      </c>
    </row>
    <row r="207" spans="1:8" x14ac:dyDescent="0.35">
      <c r="A207" t="s">
        <v>442</v>
      </c>
      <c r="B207" s="11">
        <v>1.2000470000000001</v>
      </c>
      <c r="C207" s="11">
        <v>2.1500439999999998</v>
      </c>
      <c r="D207" s="11">
        <v>3.1251159999999998</v>
      </c>
      <c r="E207" s="11">
        <v>39594.46</v>
      </c>
      <c r="F207" s="11">
        <v>3504.4459999999999</v>
      </c>
      <c r="G207" s="11">
        <v>6569.0829999999996</v>
      </c>
      <c r="H207" s="11">
        <v>108.63800000000001</v>
      </c>
    </row>
    <row r="208" spans="1:8" x14ac:dyDescent="0.35">
      <c r="A208" t="s">
        <v>443</v>
      </c>
      <c r="B208" s="11">
        <v>1.200035</v>
      </c>
      <c r="C208" s="11">
        <v>2.1500300000000001</v>
      </c>
      <c r="D208" s="11">
        <v>3.1250939999999998</v>
      </c>
      <c r="E208" s="11">
        <v>39922.050000000003</v>
      </c>
      <c r="F208" s="11">
        <v>3515.9580000000001</v>
      </c>
      <c r="G208" s="11">
        <v>6601.3180000000002</v>
      </c>
      <c r="H208" s="11">
        <v>108.297</v>
      </c>
    </row>
    <row r="209" spans="1:8" x14ac:dyDescent="0.35">
      <c r="A209" t="s">
        <v>444</v>
      </c>
      <c r="B209" s="11">
        <v>1.200043</v>
      </c>
      <c r="C209" s="11">
        <v>2.1500270000000001</v>
      </c>
      <c r="D209" s="11">
        <v>3.1250279999999999</v>
      </c>
      <c r="E209" s="11">
        <v>40251.96</v>
      </c>
      <c r="F209" s="11">
        <v>3526.9789999999998</v>
      </c>
      <c r="G209" s="11">
        <v>6633.14</v>
      </c>
      <c r="H209" s="11">
        <v>109.5746</v>
      </c>
    </row>
    <row r="210" spans="1:8" x14ac:dyDescent="0.35">
      <c r="A210" t="s">
        <v>445</v>
      </c>
      <c r="B210" s="11">
        <v>1.2000500000000001</v>
      </c>
      <c r="C210" s="11">
        <v>2.15001</v>
      </c>
      <c r="D210" s="11">
        <v>3.1249220000000002</v>
      </c>
      <c r="E210" s="11">
        <v>40584.35</v>
      </c>
      <c r="F210" s="11">
        <v>3537.4110000000001</v>
      </c>
      <c r="G210" s="11">
        <v>6664.5249999999996</v>
      </c>
      <c r="H210" s="11">
        <v>109.244</v>
      </c>
    </row>
    <row r="211" spans="1:8" x14ac:dyDescent="0.35">
      <c r="A211" t="s">
        <v>446</v>
      </c>
      <c r="B211" s="11">
        <v>1.200053</v>
      </c>
      <c r="C211" s="11">
        <v>2.149985</v>
      </c>
      <c r="D211" s="11">
        <v>3.1249220000000002</v>
      </c>
      <c r="E211" s="11">
        <v>40919.120000000003</v>
      </c>
      <c r="F211" s="11">
        <v>3547.3690000000001</v>
      </c>
      <c r="G211" s="11">
        <v>6695.6710000000003</v>
      </c>
      <c r="H211" s="11">
        <v>109.94159999999999</v>
      </c>
    </row>
    <row r="212" spans="1:8" x14ac:dyDescent="0.35">
      <c r="A212" t="s">
        <v>447</v>
      </c>
      <c r="B212" s="11">
        <v>1.2000360000000001</v>
      </c>
      <c r="C212" s="11">
        <v>2.149985</v>
      </c>
      <c r="D212" s="11">
        <v>3.1249229999999999</v>
      </c>
      <c r="E212" s="11">
        <v>41256.26</v>
      </c>
      <c r="F212" s="11">
        <v>3556.8380000000002</v>
      </c>
      <c r="G212" s="11">
        <v>6726.79</v>
      </c>
      <c r="H212" s="11">
        <v>109.5966</v>
      </c>
    </row>
    <row r="213" spans="1:8" x14ac:dyDescent="0.35">
      <c r="A213" t="s">
        <v>448</v>
      </c>
      <c r="B213" s="11">
        <v>1.199989</v>
      </c>
      <c r="C213" s="11">
        <v>2.1499790000000001</v>
      </c>
      <c r="D213" s="11">
        <v>3.124927</v>
      </c>
      <c r="E213" s="11">
        <v>41595.93</v>
      </c>
      <c r="F213" s="11">
        <v>3565.8209999999999</v>
      </c>
      <c r="G213" s="11">
        <v>6757.8190000000004</v>
      </c>
      <c r="H213" s="11">
        <v>110.88939999999999</v>
      </c>
    </row>
    <row r="214" spans="1:8" x14ac:dyDescent="0.35">
      <c r="A214" t="s">
        <v>449</v>
      </c>
      <c r="B214" s="11">
        <v>1.1999740000000001</v>
      </c>
      <c r="C214" s="11">
        <v>2.1499519999999999</v>
      </c>
      <c r="D214" s="11">
        <v>3.12486</v>
      </c>
      <c r="E214" s="11">
        <v>41938.01</v>
      </c>
      <c r="F214" s="11">
        <v>3573.864</v>
      </c>
      <c r="G214" s="11">
        <v>6788.7920000000004</v>
      </c>
      <c r="H214" s="11">
        <v>110.5548</v>
      </c>
    </row>
    <row r="215" spans="1:8" x14ac:dyDescent="0.35">
      <c r="A215" t="s">
        <v>450</v>
      </c>
      <c r="B215" s="11">
        <v>1.1999679999999999</v>
      </c>
      <c r="C215" s="11">
        <v>2.149985</v>
      </c>
      <c r="D215" s="11">
        <v>3.1247560000000001</v>
      </c>
      <c r="E215" s="11">
        <v>42283.16</v>
      </c>
      <c r="F215" s="11">
        <v>3581.971</v>
      </c>
      <c r="G215" s="11">
        <v>6819.7640000000001</v>
      </c>
      <c r="H215" s="11">
        <v>111.2607</v>
      </c>
    </row>
    <row r="216" spans="1:8" x14ac:dyDescent="0.35">
      <c r="A216" t="s">
        <v>451</v>
      </c>
      <c r="B216" s="11">
        <v>1.199964</v>
      </c>
      <c r="C216" s="11">
        <v>2.149988</v>
      </c>
      <c r="D216" s="11">
        <v>3.1249169999999999</v>
      </c>
      <c r="E216" s="11">
        <v>42628.63</v>
      </c>
      <c r="F216" s="11">
        <v>3589.779</v>
      </c>
      <c r="G216" s="11">
        <v>6850.7610000000004</v>
      </c>
      <c r="H216" s="11">
        <v>110.9117</v>
      </c>
    </row>
    <row r="217" spans="1:8" x14ac:dyDescent="0.35">
      <c r="A217" t="s">
        <v>452</v>
      </c>
      <c r="B217" s="11">
        <v>1.1999569999999999</v>
      </c>
      <c r="C217" s="11">
        <v>2.1499709999999999</v>
      </c>
      <c r="D217" s="11">
        <v>3.1250619999999998</v>
      </c>
      <c r="E217" s="11">
        <v>42976.4</v>
      </c>
      <c r="F217" s="11">
        <v>3597.4270000000001</v>
      </c>
      <c r="G217" s="11">
        <v>6881.7309999999998</v>
      </c>
      <c r="H217" s="11">
        <v>112.2201</v>
      </c>
    </row>
    <row r="218" spans="1:8" x14ac:dyDescent="0.35">
      <c r="A218" t="s">
        <v>453</v>
      </c>
      <c r="B218" s="11">
        <v>1.1999610000000001</v>
      </c>
      <c r="C218" s="11">
        <v>2.1499760000000001</v>
      </c>
      <c r="D218" s="11">
        <v>3.1250249999999999</v>
      </c>
      <c r="E218" s="11">
        <v>43325.7</v>
      </c>
      <c r="F218" s="11">
        <v>3605.1010000000001</v>
      </c>
      <c r="G218" s="11">
        <v>6912.75</v>
      </c>
      <c r="H218" s="11">
        <v>111.8815</v>
      </c>
    </row>
    <row r="219" spans="1:8" x14ac:dyDescent="0.35">
      <c r="A219" t="s">
        <v>454</v>
      </c>
      <c r="B219" s="11">
        <v>1.1999519999999999</v>
      </c>
      <c r="C219" s="11">
        <v>2.1499959999999998</v>
      </c>
      <c r="D219" s="11">
        <v>3.1249769999999999</v>
      </c>
      <c r="E219" s="11">
        <v>43676.54</v>
      </c>
      <c r="F219" s="11">
        <v>3612.366</v>
      </c>
      <c r="G219" s="11">
        <v>6943.8959999999997</v>
      </c>
      <c r="H219" s="11">
        <v>112.5959</v>
      </c>
    </row>
    <row r="220" spans="1:8" x14ac:dyDescent="0.35">
      <c r="A220" t="s">
        <v>455</v>
      </c>
      <c r="B220" s="11">
        <v>1.1999489999999999</v>
      </c>
      <c r="C220" s="11">
        <v>2.1499709999999999</v>
      </c>
      <c r="D220" s="11">
        <v>3.124946</v>
      </c>
      <c r="E220" s="11">
        <v>44030.15</v>
      </c>
      <c r="F220" s="11">
        <v>3619.846</v>
      </c>
      <c r="G220" s="11">
        <v>6975.1679999999997</v>
      </c>
      <c r="H220" s="11">
        <v>112.2426</v>
      </c>
    </row>
    <row r="221" spans="1:8" x14ac:dyDescent="0.35">
      <c r="A221" t="s">
        <v>456</v>
      </c>
      <c r="B221" s="11">
        <v>1.19994</v>
      </c>
      <c r="C221" s="11">
        <v>2.1499969999999999</v>
      </c>
      <c r="D221" s="11">
        <v>3.1249690000000001</v>
      </c>
      <c r="E221" s="11">
        <v>44382.96</v>
      </c>
      <c r="F221" s="11">
        <v>3627.22</v>
      </c>
      <c r="G221" s="11">
        <v>7006.5680000000002</v>
      </c>
      <c r="H221" s="11">
        <v>113.5668</v>
      </c>
    </row>
    <row r="222" spans="1:8" x14ac:dyDescent="0.35">
      <c r="A222" t="s">
        <v>457</v>
      </c>
      <c r="B222" s="11">
        <v>1.199951</v>
      </c>
      <c r="C222" s="11">
        <v>2.1500170000000001</v>
      </c>
      <c r="D222" s="11">
        <v>3.1249349999999998</v>
      </c>
      <c r="E222" s="11">
        <v>44737.36</v>
      </c>
      <c r="F222" s="11">
        <v>3634.6759999999999</v>
      </c>
      <c r="G222" s="11">
        <v>7038.0940000000001</v>
      </c>
      <c r="H222" s="11">
        <v>113.224</v>
      </c>
    </row>
    <row r="223" spans="1:8" x14ac:dyDescent="0.35">
      <c r="A223" t="s">
        <v>458</v>
      </c>
      <c r="B223" s="11">
        <v>1.199989</v>
      </c>
      <c r="C223" s="11">
        <v>2.1499510000000002</v>
      </c>
      <c r="D223" s="11">
        <v>3.1249720000000001</v>
      </c>
      <c r="E223" s="11">
        <v>45095.48</v>
      </c>
      <c r="F223" s="11">
        <v>3642.0909999999999</v>
      </c>
      <c r="G223" s="11">
        <v>7069.75</v>
      </c>
      <c r="H223" s="11">
        <v>113.94710000000001</v>
      </c>
    </row>
    <row r="224" spans="1:8" x14ac:dyDescent="0.35">
      <c r="A224" t="s">
        <v>459</v>
      </c>
      <c r="B224" s="11">
        <v>1.1999930000000001</v>
      </c>
      <c r="C224" s="11">
        <v>2.1500050000000002</v>
      </c>
      <c r="D224" s="11">
        <v>3.1250330000000002</v>
      </c>
      <c r="E224" s="11">
        <v>45454.75</v>
      </c>
      <c r="F224" s="11">
        <v>3649.57</v>
      </c>
      <c r="G224" s="11">
        <v>7101.5360000000001</v>
      </c>
      <c r="H224" s="11">
        <v>113.5895</v>
      </c>
    </row>
    <row r="225" spans="1:8" x14ac:dyDescent="0.35">
      <c r="A225" t="s">
        <v>460</v>
      </c>
      <c r="B225" s="11">
        <v>1.1999869999999999</v>
      </c>
      <c r="C225" s="11">
        <v>2.149956</v>
      </c>
      <c r="D225" s="11">
        <v>3.1250290000000001</v>
      </c>
      <c r="E225" s="11">
        <v>45812.800000000003</v>
      </c>
      <c r="F225" s="11">
        <v>3657.011</v>
      </c>
      <c r="G225" s="11">
        <v>7133.4409999999998</v>
      </c>
      <c r="H225" s="11">
        <v>114.92959999999999</v>
      </c>
    </row>
    <row r="226" spans="1:8" x14ac:dyDescent="0.35">
      <c r="A226" t="s">
        <v>461</v>
      </c>
      <c r="B226" s="11">
        <v>1.19998</v>
      </c>
      <c r="C226" s="11">
        <v>2.1499160000000002</v>
      </c>
      <c r="D226" s="11">
        <v>3.1249729999999998</v>
      </c>
      <c r="E226" s="11">
        <v>46171.87</v>
      </c>
      <c r="F226" s="11">
        <v>3664.2269999999999</v>
      </c>
      <c r="G226" s="11">
        <v>7165.4790000000003</v>
      </c>
      <c r="H226" s="11">
        <v>114.58280000000001</v>
      </c>
    </row>
    <row r="227" spans="1:8" x14ac:dyDescent="0.35">
      <c r="A227" t="s">
        <v>462</v>
      </c>
      <c r="B227" s="11">
        <v>1.199951</v>
      </c>
      <c r="C227" s="11">
        <v>2.1499250000000001</v>
      </c>
      <c r="D227" s="11">
        <v>3.1249769999999999</v>
      </c>
      <c r="E227" s="11">
        <v>46531.26</v>
      </c>
      <c r="F227" s="11">
        <v>3671.75</v>
      </c>
      <c r="G227" s="11">
        <v>7197.6490000000003</v>
      </c>
      <c r="H227" s="11">
        <v>115.31440000000001</v>
      </c>
    </row>
    <row r="228" spans="1:8" x14ac:dyDescent="0.35">
      <c r="A228" t="s">
        <v>463</v>
      </c>
      <c r="B228" s="11">
        <v>1.199929</v>
      </c>
      <c r="C228" s="11">
        <v>2.1499320000000002</v>
      </c>
      <c r="D228" s="11">
        <v>3.1249090000000002</v>
      </c>
      <c r="E228" s="11">
        <v>46892.39</v>
      </c>
      <c r="F228" s="11">
        <v>3679.4119999999998</v>
      </c>
      <c r="G228" s="11">
        <v>7229.9579999999996</v>
      </c>
      <c r="H228" s="11">
        <v>114.9525</v>
      </c>
    </row>
    <row r="229" spans="1:8" x14ac:dyDescent="0.35">
      <c r="A229" t="s">
        <v>464</v>
      </c>
      <c r="B229" s="11">
        <v>1.199927</v>
      </c>
      <c r="C229" s="11">
        <v>2.1499160000000002</v>
      </c>
      <c r="D229" s="11">
        <v>3.1248930000000001</v>
      </c>
      <c r="E229" s="11">
        <v>47251.54</v>
      </c>
      <c r="F229" s="11">
        <v>3687.1309999999999</v>
      </c>
      <c r="G229" s="11">
        <v>7262.3980000000001</v>
      </c>
      <c r="H229" s="11">
        <v>116.3086</v>
      </c>
    </row>
    <row r="230" spans="1:8" x14ac:dyDescent="0.35">
      <c r="A230" t="s">
        <v>465</v>
      </c>
      <c r="B230" s="11">
        <v>1.1999329999999999</v>
      </c>
      <c r="C230" s="11">
        <v>2.1499250000000001</v>
      </c>
      <c r="D230" s="11">
        <v>3.124914</v>
      </c>
      <c r="E230" s="11">
        <v>47612.21</v>
      </c>
      <c r="F230" s="11">
        <v>3694.99</v>
      </c>
      <c r="G230" s="11">
        <v>7294.9750000000004</v>
      </c>
      <c r="H230" s="11">
        <v>115.9576</v>
      </c>
    </row>
    <row r="231" spans="1:8" x14ac:dyDescent="0.35">
      <c r="A231" t="s">
        <v>466</v>
      </c>
      <c r="B231" t="s">
        <v>467</v>
      </c>
      <c r="C231" t="s">
        <v>468</v>
      </c>
      <c r="D231" t="s">
        <v>469</v>
      </c>
      <c r="E231" t="s">
        <v>504</v>
      </c>
      <c r="F231" t="s">
        <v>505</v>
      </c>
      <c r="G231" t="s">
        <v>506</v>
      </c>
      <c r="H231" t="s">
        <v>504</v>
      </c>
    </row>
    <row r="232" spans="1:8" x14ac:dyDescent="0.35">
      <c r="A232" t="s">
        <v>470</v>
      </c>
      <c r="B232" t="b">
        <v>0</v>
      </c>
      <c r="C232" t="b">
        <v>0</v>
      </c>
      <c r="D232" t="b">
        <v>0</v>
      </c>
      <c r="E232" t="b">
        <v>1</v>
      </c>
      <c r="F232" t="b">
        <v>1</v>
      </c>
      <c r="G232" t="b">
        <v>1</v>
      </c>
      <c r="H232" t="b">
        <v>0</v>
      </c>
    </row>
    <row r="233" spans="1:8" x14ac:dyDescent="0.35">
      <c r="A233" t="s">
        <v>471</v>
      </c>
      <c r="B233" t="s">
        <v>239</v>
      </c>
      <c r="C233" t="s">
        <v>239</v>
      </c>
      <c r="D233" t="s">
        <v>239</v>
      </c>
      <c r="E233">
        <v>2020</v>
      </c>
      <c r="F233" t="s">
        <v>507</v>
      </c>
      <c r="G233" t="s">
        <v>508</v>
      </c>
      <c r="H233" t="s">
        <v>239</v>
      </c>
    </row>
    <row r="234" spans="1:8" x14ac:dyDescent="0.35">
      <c r="A234" t="s">
        <v>472</v>
      </c>
      <c r="B234" t="s">
        <v>239</v>
      </c>
      <c r="C234" t="s">
        <v>239</v>
      </c>
      <c r="D234" t="s">
        <v>239</v>
      </c>
      <c r="E234" t="s">
        <v>239</v>
      </c>
      <c r="F234" t="s">
        <v>239</v>
      </c>
      <c r="G234" t="s">
        <v>239</v>
      </c>
      <c r="H234">
        <v>2020</v>
      </c>
    </row>
    <row r="235" spans="1:8" x14ac:dyDescent="0.35">
      <c r="A235" t="s">
        <v>473</v>
      </c>
      <c r="B235">
        <v>2025</v>
      </c>
      <c r="C235">
        <v>2025</v>
      </c>
      <c r="D235">
        <v>2025</v>
      </c>
      <c r="E235">
        <v>2025</v>
      </c>
      <c r="F235">
        <v>2025</v>
      </c>
      <c r="G235">
        <v>2025</v>
      </c>
      <c r="H235">
        <v>2025</v>
      </c>
    </row>
    <row r="236" spans="1:8" x14ac:dyDescent="0.35">
      <c r="A236" t="s">
        <v>474</v>
      </c>
      <c r="B236">
        <v>2</v>
      </c>
      <c r="C236">
        <v>2</v>
      </c>
      <c r="D236">
        <v>2</v>
      </c>
      <c r="E236">
        <v>2</v>
      </c>
      <c r="F236">
        <v>2</v>
      </c>
      <c r="G236">
        <v>2</v>
      </c>
      <c r="H236">
        <v>2</v>
      </c>
    </row>
    <row r="237" spans="1:8" x14ac:dyDescent="0.35">
      <c r="A237" t="s">
        <v>475</v>
      </c>
      <c r="B237" t="s">
        <v>239</v>
      </c>
      <c r="C237" t="s">
        <v>239</v>
      </c>
      <c r="D237" t="s">
        <v>239</v>
      </c>
      <c r="E237" t="s">
        <v>239</v>
      </c>
      <c r="F237" t="s">
        <v>239</v>
      </c>
      <c r="G237" t="s">
        <v>239</v>
      </c>
      <c r="H237" t="s">
        <v>239</v>
      </c>
    </row>
    <row r="238" spans="1:8" x14ac:dyDescent="0.35">
      <c r="A238" t="s">
        <v>476</v>
      </c>
      <c r="B238" t="s">
        <v>477</v>
      </c>
      <c r="C238" t="s">
        <v>478</v>
      </c>
      <c r="D238" t="s">
        <v>479</v>
      </c>
      <c r="E238" t="s">
        <v>513</v>
      </c>
      <c r="F238" t="s">
        <v>509</v>
      </c>
      <c r="G238" t="s">
        <v>510</v>
      </c>
      <c r="H238" t="s">
        <v>557</v>
      </c>
    </row>
    <row r="239" spans="1:8" x14ac:dyDescent="0.35">
      <c r="A239" t="s">
        <v>480</v>
      </c>
      <c r="B239" t="s">
        <v>481</v>
      </c>
      <c r="C239" t="s">
        <v>482</v>
      </c>
      <c r="D239" t="s">
        <v>483</v>
      </c>
      <c r="E239" t="s">
        <v>239</v>
      </c>
      <c r="F239" t="s">
        <v>515</v>
      </c>
      <c r="G239" t="s">
        <v>511</v>
      </c>
      <c r="H239" t="s">
        <v>558</v>
      </c>
    </row>
    <row r="240" spans="1:8" x14ac:dyDescent="0.35">
      <c r="A240" t="s">
        <v>484</v>
      </c>
      <c r="B240" t="s">
        <v>485</v>
      </c>
      <c r="C240" t="s">
        <v>486</v>
      </c>
      <c r="D240" t="s">
        <v>487</v>
      </c>
      <c r="E240" t="s">
        <v>485</v>
      </c>
      <c r="F240" t="s">
        <v>486</v>
      </c>
      <c r="G240" t="s">
        <v>487</v>
      </c>
      <c r="H240" t="s">
        <v>485</v>
      </c>
    </row>
    <row r="241" spans="1:8" x14ac:dyDescent="0.35">
      <c r="A241" t="s">
        <v>488</v>
      </c>
      <c r="B241" t="s">
        <v>489</v>
      </c>
      <c r="C241" t="s">
        <v>489</v>
      </c>
      <c r="D241" t="s">
        <v>489</v>
      </c>
      <c r="E241" t="s">
        <v>514</v>
      </c>
      <c r="F241" t="s">
        <v>514</v>
      </c>
      <c r="G241" t="s">
        <v>514</v>
      </c>
      <c r="H241" t="s">
        <v>559</v>
      </c>
    </row>
    <row r="242" spans="1:8" x14ac:dyDescent="0.35">
      <c r="A242" t="s">
        <v>234</v>
      </c>
      <c r="B242" t="s">
        <v>237</v>
      </c>
      <c r="C242" t="s">
        <v>237</v>
      </c>
      <c r="D242" t="s">
        <v>237</v>
      </c>
      <c r="E242" t="s">
        <v>237</v>
      </c>
      <c r="F242" t="s">
        <v>237</v>
      </c>
      <c r="G242" t="s">
        <v>237</v>
      </c>
      <c r="H242" t="s">
        <v>237</v>
      </c>
    </row>
  </sheetData>
  <pageMargins left="0.7" right="0.7" top="0.75" bottom="0.75" header="0.3" footer="0.3"/>
  <customProperties>
    <customPr name="Commands" r:id="rId1"/>
    <customPr name="PostPullCommands" r:id="rId2"/>
    <customPr name="WorksheetId" r:id="rId3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42"/>
  <sheetViews>
    <sheetView showGridLines="0" zoomScale="115" zoomScaleNormal="115" workbookViewId="0">
      <pane xSplit="1" ySplit="6" topLeftCell="B129" activePane="bottomRight" state="frozen"/>
      <selection pane="topRight" activeCell="B1" sqref="B1"/>
      <selection pane="bottomLeft" activeCell="A7" sqref="A7"/>
      <selection pane="bottomRight" activeCell="I177" sqref="I177"/>
    </sheetView>
  </sheetViews>
  <sheetFormatPr baseColWidth="10" defaultRowHeight="14.5" x14ac:dyDescent="0.35"/>
  <cols>
    <col min="1" max="1" width="15.6328125" customWidth="1"/>
  </cols>
  <sheetData>
    <row r="1" spans="1:3" x14ac:dyDescent="0.35">
      <c r="A1" s="16" t="s">
        <v>490</v>
      </c>
      <c r="B1" s="16" t="s">
        <v>493</v>
      </c>
      <c r="C1" s="16" t="s">
        <v>493</v>
      </c>
    </row>
    <row r="2" spans="1:3" x14ac:dyDescent="0.35">
      <c r="A2" t="s">
        <v>491</v>
      </c>
      <c r="B2" t="s">
        <v>494</v>
      </c>
      <c r="C2" t="s">
        <v>539</v>
      </c>
    </row>
    <row r="3" spans="1:3" x14ac:dyDescent="0.35">
      <c r="A3" t="s">
        <v>492</v>
      </c>
      <c r="B3" t="s">
        <v>516</v>
      </c>
      <c r="C3" t="s">
        <v>516</v>
      </c>
    </row>
    <row r="4" spans="1:3" x14ac:dyDescent="0.35">
      <c r="A4" t="s">
        <v>235</v>
      </c>
      <c r="B4" t="s">
        <v>236</v>
      </c>
      <c r="C4" t="s">
        <v>540</v>
      </c>
    </row>
    <row r="5" spans="1:3" x14ac:dyDescent="0.35">
      <c r="A5" t="s">
        <v>238</v>
      </c>
      <c r="B5" t="s">
        <v>239</v>
      </c>
      <c r="C5" t="s">
        <v>239</v>
      </c>
    </row>
    <row r="6" spans="1:3" x14ac:dyDescent="0.35">
      <c r="A6" t="s">
        <v>240</v>
      </c>
      <c r="B6" t="s">
        <v>241</v>
      </c>
      <c r="C6" t="s">
        <v>241</v>
      </c>
    </row>
    <row r="7" spans="1:3" x14ac:dyDescent="0.35">
      <c r="A7" t="s">
        <v>242</v>
      </c>
      <c r="B7" s="10">
        <v>3.4666670000000002</v>
      </c>
      <c r="C7" s="11">
        <v>2.1375389999999999</v>
      </c>
    </row>
    <row r="8" spans="1:3" x14ac:dyDescent="0.35">
      <c r="A8" t="s">
        <v>243</v>
      </c>
      <c r="B8" s="10">
        <v>3.4666670000000002</v>
      </c>
      <c r="C8" s="11">
        <v>2.0874860000000002</v>
      </c>
    </row>
    <row r="9" spans="1:3" x14ac:dyDescent="0.35">
      <c r="A9" t="s">
        <v>244</v>
      </c>
      <c r="B9" s="10">
        <v>3.4666670000000002</v>
      </c>
      <c r="C9" s="11">
        <v>2.0839470000000002</v>
      </c>
    </row>
    <row r="10" spans="1:3" x14ac:dyDescent="0.35">
      <c r="A10" t="s">
        <v>245</v>
      </c>
      <c r="B10" s="10">
        <v>3.4666670000000002</v>
      </c>
      <c r="C10" s="11">
        <v>2.0272640000000002</v>
      </c>
    </row>
    <row r="11" spans="1:3" x14ac:dyDescent="0.35">
      <c r="A11" t="s">
        <v>246</v>
      </c>
      <c r="B11" s="10">
        <v>3.4666670000000002</v>
      </c>
      <c r="C11" s="11">
        <v>1.967676</v>
      </c>
    </row>
    <row r="12" spans="1:3" x14ac:dyDescent="0.35">
      <c r="A12" t="s">
        <v>247</v>
      </c>
      <c r="B12" s="10">
        <v>3.4666670000000002</v>
      </c>
      <c r="C12" s="11">
        <v>1.9139170000000001</v>
      </c>
    </row>
    <row r="13" spans="1:3" x14ac:dyDescent="0.35">
      <c r="A13" t="s">
        <v>248</v>
      </c>
      <c r="B13" s="10">
        <v>3.4666670000000002</v>
      </c>
      <c r="C13" s="11">
        <v>1.8237859999999999</v>
      </c>
    </row>
    <row r="14" spans="1:3" x14ac:dyDescent="0.35">
      <c r="A14" t="s">
        <v>249</v>
      </c>
      <c r="B14" s="10">
        <v>3.4666670000000002</v>
      </c>
      <c r="C14" s="11">
        <v>1.896846</v>
      </c>
    </row>
    <row r="15" spans="1:3" x14ac:dyDescent="0.35">
      <c r="A15" t="s">
        <v>250</v>
      </c>
      <c r="B15" s="10">
        <v>5.6266670000000003</v>
      </c>
      <c r="C15" s="11">
        <v>1.8754489999999999</v>
      </c>
    </row>
    <row r="16" spans="1:3" x14ac:dyDescent="0.35">
      <c r="A16" t="s">
        <v>251</v>
      </c>
      <c r="B16" s="10">
        <v>5.6266670000000003</v>
      </c>
      <c r="C16" s="11">
        <v>1.8588800000000001</v>
      </c>
    </row>
    <row r="17" spans="1:3" x14ac:dyDescent="0.35">
      <c r="A17" t="s">
        <v>252</v>
      </c>
      <c r="B17" s="10">
        <v>5.6266670000000003</v>
      </c>
      <c r="C17" s="11">
        <v>1.842025</v>
      </c>
    </row>
    <row r="18" spans="1:3" x14ac:dyDescent="0.35">
      <c r="A18" t="s">
        <v>253</v>
      </c>
      <c r="B18" s="10">
        <v>5.6266670000000003</v>
      </c>
      <c r="C18" s="11">
        <v>1.8409519999999999</v>
      </c>
    </row>
    <row r="19" spans="1:3" x14ac:dyDescent="0.35">
      <c r="A19" t="s">
        <v>254</v>
      </c>
      <c r="B19" s="10">
        <v>5.6266670000000003</v>
      </c>
      <c r="C19" s="11">
        <v>1.8511839999999999</v>
      </c>
    </row>
    <row r="20" spans="1:3" x14ac:dyDescent="0.35">
      <c r="A20" t="s">
        <v>255</v>
      </c>
      <c r="B20" s="10">
        <v>5.6266670000000003</v>
      </c>
      <c r="C20" s="11">
        <v>1.812576</v>
      </c>
    </row>
    <row r="21" spans="1:3" x14ac:dyDescent="0.35">
      <c r="A21" t="s">
        <v>256</v>
      </c>
      <c r="B21" s="10">
        <v>5.6266670000000003</v>
      </c>
      <c r="C21" s="11">
        <v>1.707824</v>
      </c>
    </row>
    <row r="22" spans="1:3" x14ac:dyDescent="0.35">
      <c r="A22" t="s">
        <v>257</v>
      </c>
      <c r="B22" s="10">
        <v>5.6266670000000003</v>
      </c>
      <c r="C22" s="11">
        <v>1.6702969999999999</v>
      </c>
    </row>
    <row r="23" spans="1:3" x14ac:dyDescent="0.35">
      <c r="A23" t="s">
        <v>258</v>
      </c>
      <c r="B23" s="10">
        <v>5.6266670000000003</v>
      </c>
      <c r="C23" s="11">
        <v>1.707373</v>
      </c>
    </row>
    <row r="24" spans="1:3" x14ac:dyDescent="0.35">
      <c r="A24" t="s">
        <v>259</v>
      </c>
      <c r="B24" s="10">
        <v>5.6266670000000003</v>
      </c>
      <c r="C24" s="11">
        <v>1.7834479999999999</v>
      </c>
    </row>
    <row r="25" spans="1:3" x14ac:dyDescent="0.35">
      <c r="A25" t="s">
        <v>260</v>
      </c>
      <c r="B25" s="10">
        <v>5.6266670000000003</v>
      </c>
      <c r="C25" s="11">
        <v>1.8401700000000001</v>
      </c>
    </row>
    <row r="26" spans="1:3" x14ac:dyDescent="0.35">
      <c r="A26" t="s">
        <v>261</v>
      </c>
      <c r="B26" s="10">
        <v>5.6266670000000003</v>
      </c>
      <c r="C26" s="11">
        <v>1.952021</v>
      </c>
    </row>
    <row r="27" spans="1:3" x14ac:dyDescent="0.35">
      <c r="A27" t="s">
        <v>262</v>
      </c>
      <c r="B27" s="10">
        <v>5.6266670000000003</v>
      </c>
      <c r="C27" s="11">
        <v>1.9335929999999999</v>
      </c>
    </row>
    <row r="28" spans="1:3" x14ac:dyDescent="0.35">
      <c r="A28" t="s">
        <v>263</v>
      </c>
      <c r="B28" s="10">
        <v>6.3466670000000001</v>
      </c>
      <c r="C28" s="11">
        <v>2.069636</v>
      </c>
    </row>
    <row r="29" spans="1:3" x14ac:dyDescent="0.35">
      <c r="A29" t="s">
        <v>264</v>
      </c>
      <c r="B29" s="10">
        <v>6.3466670000000001</v>
      </c>
      <c r="C29" s="11">
        <v>2.2865000000000002</v>
      </c>
    </row>
    <row r="30" spans="1:3" x14ac:dyDescent="0.35">
      <c r="A30" t="s">
        <v>265</v>
      </c>
      <c r="B30" s="10">
        <v>6.3466670000000001</v>
      </c>
      <c r="C30" s="11">
        <v>2.695265</v>
      </c>
    </row>
    <row r="31" spans="1:3" x14ac:dyDescent="0.35">
      <c r="A31" t="s">
        <v>266</v>
      </c>
      <c r="B31" s="10">
        <v>6.3466670000000001</v>
      </c>
      <c r="C31" s="11">
        <v>2.9647519999999998</v>
      </c>
    </row>
    <row r="32" spans="1:3" x14ac:dyDescent="0.35">
      <c r="A32" t="s">
        <v>267</v>
      </c>
      <c r="B32" s="10">
        <v>6.3466670000000001</v>
      </c>
      <c r="C32" s="11">
        <v>3.0699450000000001</v>
      </c>
    </row>
    <row r="33" spans="1:3" x14ac:dyDescent="0.35">
      <c r="A33" t="s">
        <v>268</v>
      </c>
      <c r="B33" s="10">
        <v>6.3466670000000001</v>
      </c>
      <c r="C33" s="11">
        <v>3.7316410000000002</v>
      </c>
    </row>
    <row r="34" spans="1:3" x14ac:dyDescent="0.35">
      <c r="A34" t="s">
        <v>269</v>
      </c>
      <c r="B34" s="10">
        <v>6.3466670000000001</v>
      </c>
      <c r="C34" s="11">
        <v>3.8615569999999999</v>
      </c>
    </row>
    <row r="35" spans="1:3" x14ac:dyDescent="0.35">
      <c r="A35" t="s">
        <v>270</v>
      </c>
      <c r="B35" s="10">
        <v>6.3466670000000001</v>
      </c>
      <c r="C35" s="11">
        <v>4.1854889999999996</v>
      </c>
    </row>
    <row r="36" spans="1:3" x14ac:dyDescent="0.35">
      <c r="A36" t="s">
        <v>271</v>
      </c>
      <c r="B36" s="10">
        <v>6.3466670000000001</v>
      </c>
      <c r="C36" s="11">
        <v>4.2808320000000002</v>
      </c>
    </row>
    <row r="37" spans="1:3" x14ac:dyDescent="0.35">
      <c r="A37" t="s">
        <v>272</v>
      </c>
      <c r="B37" s="10">
        <v>6.3466670000000001</v>
      </c>
      <c r="C37" s="11">
        <v>4.1996549999999999</v>
      </c>
    </row>
    <row r="38" spans="1:3" x14ac:dyDescent="0.35">
      <c r="A38" t="s">
        <v>273</v>
      </c>
      <c r="B38" s="10">
        <v>6.3466670000000001</v>
      </c>
      <c r="C38" s="11">
        <v>4.5197099999999999</v>
      </c>
    </row>
    <row r="39" spans="1:3" x14ac:dyDescent="0.35">
      <c r="A39" t="s">
        <v>274</v>
      </c>
      <c r="B39" s="10">
        <v>6.3466670000000001</v>
      </c>
      <c r="C39" s="11">
        <v>4.592066</v>
      </c>
    </row>
    <row r="40" spans="1:3" x14ac:dyDescent="0.35">
      <c r="A40" t="s">
        <v>275</v>
      </c>
      <c r="B40" s="10">
        <v>6.3466670000000001</v>
      </c>
      <c r="C40" s="11">
        <v>4.5324540000000004</v>
      </c>
    </row>
    <row r="41" spans="1:3" x14ac:dyDescent="0.35">
      <c r="A41" t="s">
        <v>276</v>
      </c>
      <c r="B41" s="10">
        <v>6.7066660000000002</v>
      </c>
      <c r="C41" s="11">
        <v>4.1462070000000004</v>
      </c>
    </row>
    <row r="42" spans="1:3" x14ac:dyDescent="0.35">
      <c r="A42" t="s">
        <v>277</v>
      </c>
      <c r="B42" s="10">
        <v>7.4266670000000001</v>
      </c>
      <c r="C42" s="11">
        <v>4.3547770000000003</v>
      </c>
    </row>
    <row r="43" spans="1:3" x14ac:dyDescent="0.35">
      <c r="A43" t="s">
        <v>278</v>
      </c>
      <c r="B43" s="10">
        <v>8.9866670000000006</v>
      </c>
      <c r="C43" s="11">
        <v>4.1917160000000004</v>
      </c>
    </row>
    <row r="44" spans="1:3" x14ac:dyDescent="0.35">
      <c r="A44" t="s">
        <v>279</v>
      </c>
      <c r="B44" s="10">
        <v>9.7666660000000007</v>
      </c>
      <c r="C44" s="11">
        <v>4.0020689999999997</v>
      </c>
    </row>
    <row r="45" spans="1:3" x14ac:dyDescent="0.35">
      <c r="A45" t="s">
        <v>280</v>
      </c>
      <c r="B45" s="10">
        <v>9.7666660000000007</v>
      </c>
      <c r="C45" s="11">
        <v>4.0141660000000003</v>
      </c>
    </row>
    <row r="46" spans="1:3" x14ac:dyDescent="0.35">
      <c r="A46" t="s">
        <v>281</v>
      </c>
      <c r="B46" s="10">
        <v>9.7666660000000007</v>
      </c>
      <c r="C46" s="11">
        <v>4.3988459999999998</v>
      </c>
    </row>
    <row r="47" spans="1:3" x14ac:dyDescent="0.35">
      <c r="A47" t="s">
        <v>282</v>
      </c>
      <c r="B47" s="10">
        <v>9.3466660000000008</v>
      </c>
      <c r="C47" s="11">
        <v>5.6943869999999999</v>
      </c>
    </row>
    <row r="48" spans="1:3" x14ac:dyDescent="0.35">
      <c r="A48" t="s">
        <v>283</v>
      </c>
      <c r="B48" s="10">
        <v>8.5066670000000002</v>
      </c>
      <c r="C48" s="11">
        <v>5.7714169999999996</v>
      </c>
    </row>
    <row r="49" spans="1:3" x14ac:dyDescent="0.35">
      <c r="A49" t="s">
        <v>284</v>
      </c>
      <c r="B49" s="10">
        <v>8.0266669999999998</v>
      </c>
      <c r="C49" s="11">
        <v>6.1244480000000001</v>
      </c>
    </row>
    <row r="50" spans="1:3" x14ac:dyDescent="0.35">
      <c r="A50" t="s">
        <v>285</v>
      </c>
      <c r="B50" s="10">
        <v>7.7866669999999996</v>
      </c>
      <c r="C50" s="11">
        <v>6.7879829999999997</v>
      </c>
    </row>
    <row r="51" spans="1:3" x14ac:dyDescent="0.35">
      <c r="A51" t="s">
        <v>286</v>
      </c>
      <c r="B51" s="10">
        <v>7.7866669999999996</v>
      </c>
      <c r="C51" s="11">
        <v>7.0013439999999996</v>
      </c>
    </row>
    <row r="52" spans="1:3" x14ac:dyDescent="0.35">
      <c r="A52" t="s">
        <v>287</v>
      </c>
      <c r="B52" s="10">
        <v>7.0666669999999998</v>
      </c>
      <c r="C52" s="11">
        <v>6.3047120000000003</v>
      </c>
    </row>
    <row r="53" spans="1:3" x14ac:dyDescent="0.35">
      <c r="A53" t="s">
        <v>288</v>
      </c>
      <c r="B53" s="10">
        <v>7.0666669999999998</v>
      </c>
      <c r="C53" s="11">
        <v>6.3159140000000003</v>
      </c>
    </row>
    <row r="54" spans="1:3" x14ac:dyDescent="0.35">
      <c r="A54" t="s">
        <v>289</v>
      </c>
      <c r="B54" s="10">
        <v>7.0666669999999998</v>
      </c>
      <c r="C54" s="11">
        <v>6.7826149999999998</v>
      </c>
    </row>
    <row r="55" spans="1:3" x14ac:dyDescent="0.35">
      <c r="A55" t="s">
        <v>290</v>
      </c>
      <c r="B55" s="10">
        <v>7.0666669999999998</v>
      </c>
      <c r="C55" s="11">
        <v>6.896026</v>
      </c>
    </row>
    <row r="56" spans="1:3" x14ac:dyDescent="0.35">
      <c r="A56" t="s">
        <v>291</v>
      </c>
      <c r="B56" s="10">
        <v>7.0666669999999998</v>
      </c>
      <c r="C56" s="11">
        <v>6.9816120000000002</v>
      </c>
    </row>
    <row r="57" spans="1:3" x14ac:dyDescent="0.35">
      <c r="A57" t="s">
        <v>292</v>
      </c>
      <c r="B57" s="10">
        <v>7.0666669999999998</v>
      </c>
      <c r="C57" s="11">
        <v>7.5637749999999997</v>
      </c>
    </row>
    <row r="58" spans="1:3" x14ac:dyDescent="0.35">
      <c r="A58" t="s">
        <v>293</v>
      </c>
      <c r="B58" s="10">
        <v>7.0666669999999998</v>
      </c>
      <c r="C58" s="11">
        <v>7.1615859999999998</v>
      </c>
    </row>
    <row r="59" spans="1:3" x14ac:dyDescent="0.35">
      <c r="A59" t="s">
        <v>294</v>
      </c>
      <c r="B59" s="10">
        <v>7.0666669999999998</v>
      </c>
      <c r="C59" s="11">
        <v>6.8545680000000004</v>
      </c>
    </row>
    <row r="60" spans="1:3" x14ac:dyDescent="0.35">
      <c r="A60" t="s">
        <v>295</v>
      </c>
      <c r="B60" s="10">
        <v>7.4333330000000002</v>
      </c>
      <c r="C60" s="11">
        <v>6.9103260000000004</v>
      </c>
    </row>
    <row r="61" spans="1:3" x14ac:dyDescent="0.35">
      <c r="A61" t="s">
        <v>296</v>
      </c>
      <c r="B61" s="10">
        <v>9.2333339999999993</v>
      </c>
      <c r="C61" s="11">
        <v>6.6424089999999998</v>
      </c>
    </row>
    <row r="62" spans="1:3" x14ac:dyDescent="0.35">
      <c r="A62" t="s">
        <v>297</v>
      </c>
      <c r="B62" s="10">
        <v>9.4066670000000006</v>
      </c>
      <c r="C62" s="11">
        <v>6.610932</v>
      </c>
    </row>
    <row r="63" spans="1:3" x14ac:dyDescent="0.35">
      <c r="A63" t="s">
        <v>298</v>
      </c>
      <c r="B63" s="10">
        <v>9.4066670000000006</v>
      </c>
      <c r="C63" s="11">
        <v>9.7858079999999994</v>
      </c>
    </row>
    <row r="64" spans="1:3" x14ac:dyDescent="0.35">
      <c r="A64" t="s">
        <v>299</v>
      </c>
      <c r="B64" s="10">
        <v>9.4066670000000006</v>
      </c>
      <c r="C64" s="11">
        <v>10.080909999999999</v>
      </c>
    </row>
    <row r="65" spans="1:3" x14ac:dyDescent="0.35">
      <c r="A65" t="s">
        <v>300</v>
      </c>
      <c r="B65" s="10">
        <v>9.4066670000000006</v>
      </c>
      <c r="C65" s="11">
        <v>10.53572</v>
      </c>
    </row>
    <row r="66" spans="1:3" x14ac:dyDescent="0.35">
      <c r="A66" t="s">
        <v>301</v>
      </c>
      <c r="B66" s="10">
        <v>9.4066670000000006</v>
      </c>
      <c r="C66" s="11">
        <v>10.55129</v>
      </c>
    </row>
    <row r="67" spans="1:3" x14ac:dyDescent="0.35">
      <c r="A67" t="s">
        <v>302</v>
      </c>
      <c r="B67" s="10">
        <v>9.4066670000000006</v>
      </c>
      <c r="C67" s="11">
        <v>10.729939999999999</v>
      </c>
    </row>
    <row r="68" spans="1:3" x14ac:dyDescent="0.35">
      <c r="A68" t="s">
        <v>303</v>
      </c>
      <c r="B68" s="10">
        <v>9.4066670000000006</v>
      </c>
      <c r="C68" s="11">
        <v>11.10956</v>
      </c>
    </row>
    <row r="69" spans="1:3" x14ac:dyDescent="0.35">
      <c r="A69" t="s">
        <v>304</v>
      </c>
      <c r="B69" s="10">
        <v>10.48667</v>
      </c>
      <c r="C69" s="11">
        <v>10.907400000000001</v>
      </c>
    </row>
    <row r="70" spans="1:3" x14ac:dyDescent="0.35">
      <c r="A70" t="s">
        <v>305</v>
      </c>
      <c r="B70" s="10">
        <v>10.48667</v>
      </c>
      <c r="C70" s="11">
        <v>10.948600000000001</v>
      </c>
    </row>
    <row r="71" spans="1:3" x14ac:dyDescent="0.35">
      <c r="A71" t="s">
        <v>306</v>
      </c>
      <c r="B71" s="10">
        <v>10.48667</v>
      </c>
      <c r="C71" s="11">
        <v>10.71102</v>
      </c>
    </row>
    <row r="72" spans="1:3" x14ac:dyDescent="0.35">
      <c r="A72" t="s">
        <v>307</v>
      </c>
      <c r="B72" s="10">
        <v>9.7666660000000007</v>
      </c>
      <c r="C72" s="11">
        <v>10.44706</v>
      </c>
    </row>
    <row r="73" spans="1:3" x14ac:dyDescent="0.35">
      <c r="A73" t="s">
        <v>308</v>
      </c>
      <c r="B73" s="10">
        <v>9.0233340000000002</v>
      </c>
      <c r="C73" s="11">
        <v>10.58891</v>
      </c>
    </row>
    <row r="74" spans="1:3" x14ac:dyDescent="0.35">
      <c r="A74" t="s">
        <v>309</v>
      </c>
      <c r="B74" s="10">
        <v>8.5066670000000002</v>
      </c>
      <c r="C74" s="11">
        <v>10.472720000000001</v>
      </c>
    </row>
    <row r="75" spans="1:3" x14ac:dyDescent="0.35">
      <c r="A75" t="s">
        <v>310</v>
      </c>
      <c r="B75" s="10">
        <v>8.5066670000000002</v>
      </c>
      <c r="C75" s="11">
        <v>9.7654309999999995</v>
      </c>
    </row>
    <row r="76" spans="1:3" x14ac:dyDescent="0.35">
      <c r="A76" t="s">
        <v>311</v>
      </c>
      <c r="B76" s="10">
        <v>8.5066670000000002</v>
      </c>
      <c r="C76" s="11">
        <v>9.485004</v>
      </c>
    </row>
    <row r="77" spans="1:3" x14ac:dyDescent="0.35">
      <c r="A77" t="s">
        <v>312</v>
      </c>
      <c r="B77" s="10">
        <v>8.5066670000000002</v>
      </c>
      <c r="C77" s="11">
        <v>9.0561399999999992</v>
      </c>
    </row>
    <row r="78" spans="1:3" x14ac:dyDescent="0.35">
      <c r="A78" t="s">
        <v>313</v>
      </c>
      <c r="B78" s="10">
        <v>7.4</v>
      </c>
      <c r="C78" s="11">
        <v>9.3061199999999999</v>
      </c>
    </row>
    <row r="79" spans="1:3" x14ac:dyDescent="0.35">
      <c r="A79" t="s">
        <v>314</v>
      </c>
      <c r="B79" s="10">
        <v>7.0133330000000003</v>
      </c>
      <c r="C79" s="11">
        <v>8.9980069999999994</v>
      </c>
    </row>
    <row r="80" spans="1:3" x14ac:dyDescent="0.35">
      <c r="A80" t="s">
        <v>315</v>
      </c>
      <c r="B80" s="10">
        <v>6.3466670000000001</v>
      </c>
      <c r="C80" s="11">
        <v>9.1114090000000001</v>
      </c>
    </row>
    <row r="81" spans="1:3" x14ac:dyDescent="0.35">
      <c r="A81" t="s">
        <v>316</v>
      </c>
      <c r="B81" s="10">
        <v>5.3566669999999998</v>
      </c>
      <c r="C81" s="11">
        <v>9.2542980000000004</v>
      </c>
    </row>
    <row r="82" spans="1:3" x14ac:dyDescent="0.35">
      <c r="A82" t="s">
        <v>317</v>
      </c>
      <c r="B82" s="10">
        <v>5.2066660000000002</v>
      </c>
      <c r="C82" s="11">
        <v>9.7410460000000008</v>
      </c>
    </row>
    <row r="83" spans="1:3" x14ac:dyDescent="0.35">
      <c r="A83" t="s">
        <v>318</v>
      </c>
      <c r="B83" s="10">
        <v>4.8166669999999998</v>
      </c>
      <c r="C83" s="11">
        <v>9.2855500000000006</v>
      </c>
    </row>
    <row r="84" spans="1:3" x14ac:dyDescent="0.35">
      <c r="A84" t="s">
        <v>319</v>
      </c>
      <c r="B84" s="10">
        <v>4.693333</v>
      </c>
      <c r="C84" s="11">
        <v>8.7494569999999996</v>
      </c>
    </row>
    <row r="85" spans="1:3" x14ac:dyDescent="0.35">
      <c r="A85" t="s">
        <v>320</v>
      </c>
      <c r="B85" s="10">
        <v>4.2766669999999998</v>
      </c>
      <c r="C85" s="11">
        <v>8.6794399999999996</v>
      </c>
    </row>
    <row r="86" spans="1:3" x14ac:dyDescent="0.35">
      <c r="A86" t="s">
        <v>321</v>
      </c>
      <c r="B86" s="10">
        <v>4.2766669999999998</v>
      </c>
      <c r="C86" s="11">
        <v>8.5930140000000002</v>
      </c>
    </row>
    <row r="87" spans="1:3" x14ac:dyDescent="0.35">
      <c r="A87" t="s">
        <v>322</v>
      </c>
      <c r="B87" s="10">
        <v>4.2766669999999998</v>
      </c>
      <c r="C87" s="11">
        <v>8.1664659999999998</v>
      </c>
    </row>
    <row r="88" spans="1:3" x14ac:dyDescent="0.35">
      <c r="A88" t="s">
        <v>323</v>
      </c>
      <c r="B88" s="10">
        <v>4.2766669999999998</v>
      </c>
      <c r="C88" s="11">
        <v>7.7251469999999998</v>
      </c>
    </row>
    <row r="89" spans="1:3" x14ac:dyDescent="0.35">
      <c r="A89" t="s">
        <v>324</v>
      </c>
      <c r="B89" s="10">
        <v>4.2766669999999998</v>
      </c>
      <c r="C89" s="11">
        <v>7.4946279999999996</v>
      </c>
    </row>
    <row r="90" spans="1:3" x14ac:dyDescent="0.35">
      <c r="A90" t="s">
        <v>325</v>
      </c>
      <c r="B90" s="10">
        <v>4.2766669999999998</v>
      </c>
      <c r="C90" s="11">
        <v>7.1875249999999999</v>
      </c>
    </row>
    <row r="91" spans="1:3" x14ac:dyDescent="0.35">
      <c r="A91" t="s">
        <v>326</v>
      </c>
      <c r="B91" s="10">
        <v>4.2766669999999998</v>
      </c>
      <c r="C91" s="11">
        <v>7.6418150000000002</v>
      </c>
    </row>
    <row r="92" spans="1:3" x14ac:dyDescent="0.35">
      <c r="A92" t="s">
        <v>327</v>
      </c>
      <c r="B92" s="10">
        <v>4.2766669999999998</v>
      </c>
      <c r="C92" s="11">
        <v>7.2219410000000002</v>
      </c>
    </row>
    <row r="93" spans="1:3" x14ac:dyDescent="0.35">
      <c r="A93" t="s">
        <v>328</v>
      </c>
      <c r="B93" s="10">
        <v>4.2766669999999998</v>
      </c>
      <c r="C93" s="11">
        <v>7.3686800000000003</v>
      </c>
    </row>
    <row r="94" spans="1:3" x14ac:dyDescent="0.35">
      <c r="A94" t="s">
        <v>329</v>
      </c>
      <c r="B94" s="10">
        <v>4.2766669999999998</v>
      </c>
      <c r="C94" s="11">
        <v>7.4150499999999999</v>
      </c>
    </row>
    <row r="95" spans="1:3" x14ac:dyDescent="0.35">
      <c r="A95" t="s">
        <v>330</v>
      </c>
      <c r="B95" s="10">
        <v>4.0433339999999998</v>
      </c>
      <c r="C95" s="11">
        <v>7.2554220000000003</v>
      </c>
    </row>
    <row r="96" spans="1:3" x14ac:dyDescent="0.35">
      <c r="A96" t="s">
        <v>331</v>
      </c>
      <c r="B96" s="10">
        <v>3.7366670000000002</v>
      </c>
      <c r="C96" s="11">
        <v>7.6051260000000003</v>
      </c>
    </row>
    <row r="97" spans="1:3" x14ac:dyDescent="0.35">
      <c r="A97" t="s">
        <v>332</v>
      </c>
      <c r="B97" s="10">
        <v>3.7366670000000002</v>
      </c>
      <c r="C97" s="11">
        <v>8.1423439999999996</v>
      </c>
    </row>
    <row r="98" spans="1:3" x14ac:dyDescent="0.35">
      <c r="A98" t="s">
        <v>333</v>
      </c>
      <c r="B98" s="10">
        <v>3.7366670000000002</v>
      </c>
      <c r="C98" s="11">
        <v>8.2718399999999992</v>
      </c>
    </row>
    <row r="99" spans="1:3" x14ac:dyDescent="0.35">
      <c r="A99" t="s">
        <v>334</v>
      </c>
      <c r="B99" s="10">
        <v>3.7366670000000002</v>
      </c>
      <c r="C99" s="11">
        <v>8.8824939999999994</v>
      </c>
    </row>
    <row r="100" spans="1:3" x14ac:dyDescent="0.35">
      <c r="A100" t="s">
        <v>335</v>
      </c>
      <c r="B100" s="10">
        <v>3.7366670000000002</v>
      </c>
      <c r="C100" s="11">
        <v>9.4129889999999996</v>
      </c>
    </row>
    <row r="101" spans="1:3" x14ac:dyDescent="0.35">
      <c r="A101" t="s">
        <v>336</v>
      </c>
      <c r="B101" s="10">
        <v>3.7366670000000002</v>
      </c>
      <c r="C101" s="11">
        <v>9.3098019999999995</v>
      </c>
    </row>
    <row r="102" spans="1:3" x14ac:dyDescent="0.35">
      <c r="A102" t="s">
        <v>337</v>
      </c>
      <c r="B102" s="10">
        <v>3.7366670000000002</v>
      </c>
      <c r="C102" s="11">
        <v>9.8411100000000005</v>
      </c>
    </row>
    <row r="103" spans="1:3" x14ac:dyDescent="0.35">
      <c r="A103" t="s">
        <v>338</v>
      </c>
      <c r="B103" s="10">
        <v>3.7366670000000002</v>
      </c>
      <c r="C103" s="11">
        <v>10.34403</v>
      </c>
    </row>
    <row r="104" spans="1:3" x14ac:dyDescent="0.35">
      <c r="A104" t="s">
        <v>339</v>
      </c>
      <c r="B104" s="10">
        <v>3.7366670000000002</v>
      </c>
      <c r="C104" s="11">
        <v>9.9703909999999993</v>
      </c>
    </row>
    <row r="105" spans="1:3" x14ac:dyDescent="0.35">
      <c r="A105" t="s">
        <v>340</v>
      </c>
      <c r="B105" s="10">
        <v>3.7366670000000002</v>
      </c>
      <c r="C105" s="11">
        <v>10.11406</v>
      </c>
    </row>
    <row r="106" spans="1:3" x14ac:dyDescent="0.35">
      <c r="A106" t="s">
        <v>341</v>
      </c>
      <c r="B106" s="10">
        <v>3.92</v>
      </c>
      <c r="C106" s="11">
        <v>10.740259999999999</v>
      </c>
    </row>
    <row r="107" spans="1:3" x14ac:dyDescent="0.35">
      <c r="A107" t="s">
        <v>342</v>
      </c>
      <c r="B107" s="10">
        <v>4.0066670000000002</v>
      </c>
      <c r="C107" s="11">
        <v>10.85295</v>
      </c>
    </row>
    <row r="108" spans="1:3" x14ac:dyDescent="0.35">
      <c r="A108" t="s">
        <v>343</v>
      </c>
      <c r="B108" s="10">
        <v>4.0066670000000002</v>
      </c>
      <c r="C108" s="11">
        <v>10.42318</v>
      </c>
    </row>
    <row r="109" spans="1:3" x14ac:dyDescent="0.35">
      <c r="A109" t="s">
        <v>344</v>
      </c>
      <c r="B109" s="10">
        <v>4.0066670000000002</v>
      </c>
      <c r="C109" s="11">
        <v>9.919753</v>
      </c>
    </row>
    <row r="110" spans="1:3" x14ac:dyDescent="0.35">
      <c r="A110" t="s">
        <v>345</v>
      </c>
      <c r="B110" s="10">
        <v>4.0066670000000002</v>
      </c>
      <c r="C110" s="11">
        <v>9.5960730000000005</v>
      </c>
    </row>
    <row r="111" spans="1:3" x14ac:dyDescent="0.35">
      <c r="A111" t="s">
        <v>346</v>
      </c>
      <c r="B111" s="10">
        <v>4.0066670000000002</v>
      </c>
      <c r="C111" s="11">
        <v>9.6768640000000001</v>
      </c>
    </row>
    <row r="112" spans="1:3" x14ac:dyDescent="0.35">
      <c r="A112" t="s">
        <v>347</v>
      </c>
      <c r="B112" s="10">
        <v>4.1900000000000004</v>
      </c>
      <c r="C112" s="11">
        <v>10.078480000000001</v>
      </c>
    </row>
    <row r="113" spans="1:3" x14ac:dyDescent="0.35">
      <c r="A113" t="s">
        <v>348</v>
      </c>
      <c r="B113" s="10">
        <v>4.4033329999999999</v>
      </c>
      <c r="C113" s="11">
        <v>10.149039999999999</v>
      </c>
    </row>
    <row r="114" spans="1:3" x14ac:dyDescent="0.35">
      <c r="A114" t="s">
        <v>349</v>
      </c>
      <c r="B114" s="10">
        <v>4.5466670000000002</v>
      </c>
      <c r="C114" s="11">
        <v>10.1318</v>
      </c>
    </row>
    <row r="115" spans="1:3" x14ac:dyDescent="0.35">
      <c r="A115" t="s">
        <v>350</v>
      </c>
      <c r="B115" s="10">
        <v>4.5866670000000003</v>
      </c>
      <c r="C115" s="11">
        <v>10.170769999999999</v>
      </c>
    </row>
    <row r="116" spans="1:3" x14ac:dyDescent="0.35">
      <c r="A116" t="s">
        <v>351</v>
      </c>
      <c r="B116" s="10">
        <v>4.9000000000000004</v>
      </c>
      <c r="C116" s="11">
        <v>10.34784</v>
      </c>
    </row>
    <row r="117" spans="1:3" x14ac:dyDescent="0.35">
      <c r="A117" t="s">
        <v>352</v>
      </c>
      <c r="B117" s="10">
        <v>5.3333329999999997</v>
      </c>
      <c r="C117" s="11">
        <v>10.382379999999999</v>
      </c>
    </row>
    <row r="118" spans="1:3" x14ac:dyDescent="0.35">
      <c r="A118" t="s">
        <v>353</v>
      </c>
      <c r="B118" s="10">
        <v>5.7366669999999997</v>
      </c>
      <c r="C118" s="11">
        <v>10.768380000000001</v>
      </c>
    </row>
    <row r="119" spans="1:3" x14ac:dyDescent="0.35">
      <c r="A119" t="s">
        <v>354</v>
      </c>
      <c r="B119" s="10">
        <v>5.8966669999999999</v>
      </c>
      <c r="C119" s="11">
        <v>10.72359</v>
      </c>
    </row>
    <row r="120" spans="1:3" x14ac:dyDescent="0.35">
      <c r="A120" t="s">
        <v>355</v>
      </c>
      <c r="B120" s="10">
        <v>5.8966669999999999</v>
      </c>
      <c r="C120" s="11">
        <v>10.86805</v>
      </c>
    </row>
    <row r="121" spans="1:3" x14ac:dyDescent="0.35">
      <c r="A121" t="s">
        <v>356</v>
      </c>
      <c r="B121" s="10">
        <v>5.8533330000000001</v>
      </c>
      <c r="C121" s="11">
        <v>10.296340000000001</v>
      </c>
    </row>
    <row r="122" spans="1:3" x14ac:dyDescent="0.35">
      <c r="A122" t="s">
        <v>357</v>
      </c>
      <c r="B122" s="10">
        <v>4.7699999999999996</v>
      </c>
      <c r="C122" s="11">
        <v>9.0158909999999999</v>
      </c>
    </row>
    <row r="123" spans="1:3" x14ac:dyDescent="0.35">
      <c r="A123" t="s">
        <v>358</v>
      </c>
      <c r="B123" s="10">
        <v>3.7366670000000002</v>
      </c>
      <c r="C123" s="11">
        <v>8.9058379999999993</v>
      </c>
    </row>
    <row r="124" spans="1:3" x14ac:dyDescent="0.35">
      <c r="A124" t="s">
        <v>359</v>
      </c>
      <c r="B124" s="10">
        <v>3.7366670000000002</v>
      </c>
      <c r="C124" s="11">
        <v>9.3096519999999998</v>
      </c>
    </row>
    <row r="125" spans="1:3" x14ac:dyDescent="0.35">
      <c r="A125" t="s">
        <v>360</v>
      </c>
      <c r="B125" s="10">
        <v>3.7366670000000002</v>
      </c>
      <c r="C125" s="11">
        <v>9.7697339999999997</v>
      </c>
    </row>
    <row r="126" spans="1:3" x14ac:dyDescent="0.35">
      <c r="A126" t="s">
        <v>361</v>
      </c>
      <c r="B126" s="10">
        <v>3.7366670000000002</v>
      </c>
      <c r="C126" s="11">
        <v>10.091290000000001</v>
      </c>
    </row>
    <row r="127" spans="1:3" x14ac:dyDescent="0.35">
      <c r="A127" t="s">
        <v>362</v>
      </c>
      <c r="B127" s="10">
        <v>3.7366670000000002</v>
      </c>
      <c r="C127" s="11">
        <v>9.4413359999999997</v>
      </c>
    </row>
    <row r="128" spans="1:3" x14ac:dyDescent="0.35">
      <c r="A128" t="s">
        <v>363</v>
      </c>
      <c r="B128" s="10">
        <v>3.7366670000000002</v>
      </c>
      <c r="C128" s="11">
        <v>8.6713009999999997</v>
      </c>
    </row>
    <row r="129" spans="1:3" x14ac:dyDescent="0.35">
      <c r="A129" t="s">
        <v>364</v>
      </c>
      <c r="B129" s="10">
        <v>3.7366670000000002</v>
      </c>
      <c r="C129" s="11">
        <v>8.7382729999999995</v>
      </c>
    </row>
    <row r="130" spans="1:3" x14ac:dyDescent="0.35">
      <c r="A130" t="s">
        <v>365</v>
      </c>
      <c r="B130" s="10">
        <v>3.9533330000000002</v>
      </c>
      <c r="C130" s="11">
        <v>9.044333</v>
      </c>
    </row>
    <row r="131" spans="1:3" x14ac:dyDescent="0.35">
      <c r="A131" t="s">
        <v>366</v>
      </c>
      <c r="B131" s="10">
        <v>4.38</v>
      </c>
      <c r="C131" s="11">
        <v>8.9998539999999991</v>
      </c>
    </row>
    <row r="132" spans="1:3" x14ac:dyDescent="0.35">
      <c r="A132" t="s">
        <v>367</v>
      </c>
      <c r="B132" s="10">
        <v>4.7233330000000002</v>
      </c>
      <c r="C132" s="11">
        <v>9.3513260000000002</v>
      </c>
    </row>
    <row r="133" spans="1:3" x14ac:dyDescent="0.35">
      <c r="A133" t="s">
        <v>368</v>
      </c>
      <c r="B133" s="10">
        <v>4.97</v>
      </c>
      <c r="C133" s="11">
        <v>9.0610099999999996</v>
      </c>
    </row>
    <row r="134" spans="1:3" x14ac:dyDescent="0.35">
      <c r="A134" t="s">
        <v>369</v>
      </c>
      <c r="B134" s="10">
        <v>4.9866669999999997</v>
      </c>
      <c r="C134" s="11">
        <v>8.5698709999999991</v>
      </c>
    </row>
    <row r="135" spans="1:3" x14ac:dyDescent="0.35">
      <c r="A135" t="s">
        <v>370</v>
      </c>
      <c r="B135" s="10">
        <v>4.9866669999999997</v>
      </c>
      <c r="C135" s="11">
        <v>8.2708670000000009</v>
      </c>
    </row>
    <row r="136" spans="1:3" x14ac:dyDescent="0.35">
      <c r="A136" t="s">
        <v>371</v>
      </c>
      <c r="B136" s="10">
        <v>4.9233330000000004</v>
      </c>
      <c r="C136" s="11">
        <v>8.1129669999999994</v>
      </c>
    </row>
    <row r="137" spans="1:3" x14ac:dyDescent="0.35">
      <c r="A137" t="s">
        <v>372</v>
      </c>
      <c r="B137" s="10">
        <v>4.4466669999999997</v>
      </c>
      <c r="C137" s="11">
        <v>7.9407370000000004</v>
      </c>
    </row>
    <row r="138" spans="1:3" x14ac:dyDescent="0.35">
      <c r="A138" t="s">
        <v>373</v>
      </c>
      <c r="B138" s="10">
        <v>4.4266670000000001</v>
      </c>
      <c r="C138" s="11">
        <v>8.0967289999999998</v>
      </c>
    </row>
    <row r="139" spans="1:3" x14ac:dyDescent="0.35">
      <c r="A139" t="s">
        <v>374</v>
      </c>
      <c r="B139" s="10">
        <v>4.4266670000000001</v>
      </c>
      <c r="C139" s="11">
        <v>8.2184749999999998</v>
      </c>
    </row>
    <row r="140" spans="1:3" x14ac:dyDescent="0.35">
      <c r="A140" t="s">
        <v>375</v>
      </c>
      <c r="B140" s="10">
        <v>4.4266670000000001</v>
      </c>
      <c r="C140" s="11">
        <v>8.0387350000000009</v>
      </c>
    </row>
    <row r="141" spans="1:3" x14ac:dyDescent="0.35">
      <c r="A141" t="s">
        <v>376</v>
      </c>
      <c r="B141" s="10">
        <v>4.4266670000000001</v>
      </c>
      <c r="C141" s="11">
        <v>8.1108729999999998</v>
      </c>
    </row>
    <row r="142" spans="1:3" x14ac:dyDescent="0.35">
      <c r="A142" t="s">
        <v>377</v>
      </c>
      <c r="B142" s="10">
        <v>4.4266670000000001</v>
      </c>
      <c r="C142" s="11">
        <v>8.2886930000000003</v>
      </c>
    </row>
    <row r="143" spans="1:3" x14ac:dyDescent="0.35">
      <c r="A143" t="s">
        <v>378</v>
      </c>
      <c r="B143" s="10">
        <v>4.45</v>
      </c>
      <c r="C143" s="11">
        <v>8.3552180000000007</v>
      </c>
    </row>
    <row r="144" spans="1:3" x14ac:dyDescent="0.35">
      <c r="A144" t="s">
        <v>379</v>
      </c>
      <c r="B144" s="10">
        <v>4.4666670000000002</v>
      </c>
      <c r="C144" s="11">
        <v>8.5433559999999993</v>
      </c>
    </row>
    <row r="145" spans="1:3" x14ac:dyDescent="0.35">
      <c r="A145" t="s">
        <v>380</v>
      </c>
      <c r="B145" s="10">
        <v>4.46</v>
      </c>
      <c r="C145" s="11">
        <v>8.1711310000000008</v>
      </c>
    </row>
    <row r="146" spans="1:3" x14ac:dyDescent="0.35">
      <c r="A146" t="s">
        <v>381</v>
      </c>
      <c r="B146" s="10">
        <v>4.2933339999999998</v>
      </c>
      <c r="C146" s="11">
        <v>7.6835880000000003</v>
      </c>
    </row>
    <row r="147" spans="1:3" x14ac:dyDescent="0.35">
      <c r="A147" t="s">
        <v>382</v>
      </c>
      <c r="B147" s="10">
        <v>4.1399999999999997</v>
      </c>
      <c r="C147" s="11">
        <v>7.022043</v>
      </c>
    </row>
    <row r="148" spans="1:3" x14ac:dyDescent="0.35">
      <c r="A148" t="s">
        <v>383</v>
      </c>
      <c r="B148" s="10">
        <v>3.75</v>
      </c>
      <c r="C148" s="11">
        <v>6.8561569999999996</v>
      </c>
    </row>
    <row r="149" spans="1:3" x14ac:dyDescent="0.35">
      <c r="A149" t="s">
        <v>384</v>
      </c>
      <c r="B149" s="10">
        <v>3.3333330000000001</v>
      </c>
      <c r="C149" s="11">
        <v>7.0063190000000004</v>
      </c>
    </row>
    <row r="150" spans="1:3" x14ac:dyDescent="0.35">
      <c r="A150" t="s">
        <v>385</v>
      </c>
      <c r="B150" s="10">
        <v>3</v>
      </c>
      <c r="C150" s="11">
        <v>6.9981470000000003</v>
      </c>
    </row>
    <row r="151" spans="1:3" x14ac:dyDescent="0.35">
      <c r="A151" t="s">
        <v>386</v>
      </c>
      <c r="B151" s="10">
        <v>3</v>
      </c>
      <c r="C151" s="11">
        <v>7.2055689999999997</v>
      </c>
    </row>
    <row r="152" spans="1:3" x14ac:dyDescent="0.35">
      <c r="A152" t="s">
        <v>387</v>
      </c>
      <c r="B152" s="10">
        <v>3</v>
      </c>
      <c r="C152" s="11">
        <v>7.3760149999999998</v>
      </c>
    </row>
    <row r="153" spans="1:3" x14ac:dyDescent="0.35">
      <c r="A153" t="s">
        <v>388</v>
      </c>
      <c r="B153" s="10">
        <v>3</v>
      </c>
      <c r="C153" s="11">
        <v>7.4412260000000003</v>
      </c>
    </row>
    <row r="154" spans="1:3" x14ac:dyDescent="0.35">
      <c r="A154" t="s">
        <v>389</v>
      </c>
      <c r="B154" s="10">
        <v>3</v>
      </c>
      <c r="C154" s="11">
        <v>7.3668810000000002</v>
      </c>
    </row>
    <row r="155" spans="1:3" x14ac:dyDescent="0.35">
      <c r="A155" t="s">
        <v>390</v>
      </c>
      <c r="B155" s="10">
        <v>3.1333329999999999</v>
      </c>
      <c r="C155" s="11">
        <v>7.3320730000000003</v>
      </c>
    </row>
    <row r="156" spans="1:3" x14ac:dyDescent="0.35">
      <c r="A156" t="s">
        <v>391</v>
      </c>
      <c r="B156" s="10">
        <v>3.2</v>
      </c>
      <c r="C156" s="11">
        <v>7.5564879999999999</v>
      </c>
    </row>
    <row r="157" spans="1:3" x14ac:dyDescent="0.35">
      <c r="A157" t="s">
        <v>392</v>
      </c>
      <c r="B157" s="10">
        <v>3.2</v>
      </c>
      <c r="C157" s="11">
        <v>7.8325500000000003</v>
      </c>
    </row>
    <row r="158" spans="1:3" x14ac:dyDescent="0.35">
      <c r="A158" t="s">
        <v>393</v>
      </c>
      <c r="B158" s="10">
        <v>3.2166670000000002</v>
      </c>
      <c r="C158" s="11">
        <v>7.7848519999999999</v>
      </c>
    </row>
    <row r="159" spans="1:3" x14ac:dyDescent="0.35">
      <c r="A159" t="s">
        <v>394</v>
      </c>
      <c r="B159" s="10">
        <v>3.25</v>
      </c>
      <c r="C159" s="11">
        <v>7.8144299999999998</v>
      </c>
    </row>
    <row r="160" spans="1:3" x14ac:dyDescent="0.35">
      <c r="A160" t="s">
        <v>395</v>
      </c>
      <c r="B160" s="10">
        <v>3.3</v>
      </c>
      <c r="C160" s="11">
        <v>7.5986459999999996</v>
      </c>
    </row>
    <row r="161" spans="1:3" x14ac:dyDescent="0.35">
      <c r="A161" t="s">
        <v>396</v>
      </c>
      <c r="B161" s="10">
        <v>3.3</v>
      </c>
      <c r="C161" s="11">
        <v>7.9109920000000002</v>
      </c>
    </row>
    <row r="162" spans="1:3" x14ac:dyDescent="0.35">
      <c r="A162" t="s">
        <v>397</v>
      </c>
      <c r="B162" s="10">
        <v>3.3</v>
      </c>
      <c r="C162" s="11">
        <v>7.8916459999999997</v>
      </c>
    </row>
    <row r="163" spans="1:3" x14ac:dyDescent="0.35">
      <c r="A163" t="s">
        <v>398</v>
      </c>
      <c r="B163" s="10">
        <v>3.3</v>
      </c>
      <c r="C163" s="11">
        <v>7.6645669999999999</v>
      </c>
    </row>
    <row r="164" spans="1:3" x14ac:dyDescent="0.35">
      <c r="A164" t="s">
        <v>399</v>
      </c>
      <c r="B164" s="10">
        <v>3.3</v>
      </c>
      <c r="C164" s="11">
        <v>7.6643499999999998</v>
      </c>
    </row>
    <row r="165" spans="1:3" x14ac:dyDescent="0.35">
      <c r="A165" t="s">
        <v>400</v>
      </c>
      <c r="B165" s="10">
        <v>3.3</v>
      </c>
      <c r="C165" s="11">
        <v>7.8003780000000003</v>
      </c>
    </row>
    <row r="166" spans="1:3" x14ac:dyDescent="0.35">
      <c r="A166" t="s">
        <v>401</v>
      </c>
      <c r="B166" s="10">
        <v>3.266667</v>
      </c>
      <c r="C166" s="11">
        <v>7.7985800000000003</v>
      </c>
    </row>
    <row r="167" spans="1:3" x14ac:dyDescent="0.35">
      <c r="A167" t="s">
        <v>402</v>
      </c>
      <c r="B167" s="10">
        <v>3.1833330000000002</v>
      </c>
      <c r="C167" s="11">
        <v>7.694871</v>
      </c>
    </row>
    <row r="168" spans="1:3" x14ac:dyDescent="0.35">
      <c r="A168" t="s">
        <v>403</v>
      </c>
      <c r="B168" s="10">
        <v>2.95</v>
      </c>
      <c r="C168" s="11">
        <v>7.8029640000000002</v>
      </c>
    </row>
    <row r="169" spans="1:3" x14ac:dyDescent="0.35">
      <c r="A169" t="s">
        <v>404</v>
      </c>
      <c r="B169" s="10">
        <v>2.95</v>
      </c>
      <c r="C169" s="11">
        <v>8.0843209999999992</v>
      </c>
    </row>
    <row r="170" spans="1:3" x14ac:dyDescent="0.35">
      <c r="A170" t="s">
        <v>405</v>
      </c>
      <c r="B170" s="10">
        <v>2.95</v>
      </c>
      <c r="C170" s="11">
        <v>7.9000529999999998</v>
      </c>
    </row>
    <row r="171" spans="1:3" x14ac:dyDescent="0.35">
      <c r="A171" t="s">
        <v>406</v>
      </c>
      <c r="B171" s="10">
        <v>2.95</v>
      </c>
      <c r="C171" s="11">
        <v>7.8091290000000004</v>
      </c>
    </row>
    <row r="172" spans="1:3" x14ac:dyDescent="0.35">
      <c r="A172" t="s">
        <v>407</v>
      </c>
      <c r="B172" s="10">
        <v>2.95</v>
      </c>
      <c r="C172" s="11">
        <v>7.7870549999999996</v>
      </c>
    </row>
    <row r="173" spans="1:3" x14ac:dyDescent="0.35">
      <c r="A173" t="s">
        <v>408</v>
      </c>
      <c r="B173" s="10">
        <v>2.95</v>
      </c>
      <c r="C173" s="11">
        <v>7.6261089999999996</v>
      </c>
    </row>
    <row r="174" spans="1:3" x14ac:dyDescent="0.35">
      <c r="A174" t="s">
        <v>409</v>
      </c>
      <c r="B174" s="10">
        <v>2.95</v>
      </c>
      <c r="C174" s="11">
        <v>7.3087020000000003</v>
      </c>
    </row>
    <row r="175" spans="1:3" x14ac:dyDescent="0.35">
      <c r="A175" t="s">
        <v>410</v>
      </c>
      <c r="B175" s="10">
        <v>2.85</v>
      </c>
      <c r="C175" s="11">
        <v>7.1196140000000003</v>
      </c>
    </row>
    <row r="176" spans="1:3" x14ac:dyDescent="0.35">
      <c r="A176" t="s">
        <v>411</v>
      </c>
      <c r="B176" s="10">
        <v>2.85</v>
      </c>
      <c r="C176" s="11">
        <v>7.0375379999999996</v>
      </c>
    </row>
    <row r="177" spans="1:3" x14ac:dyDescent="0.35">
      <c r="A177" t="s">
        <v>412</v>
      </c>
      <c r="B177" s="10">
        <v>2.7833329999999998</v>
      </c>
      <c r="C177" s="11">
        <v>6.8982479999999997</v>
      </c>
    </row>
    <row r="178" spans="1:3" x14ac:dyDescent="0.35">
      <c r="A178" t="s">
        <v>413</v>
      </c>
      <c r="B178" s="10">
        <v>2.75</v>
      </c>
      <c r="C178" s="11">
        <v>7.2549169999999998</v>
      </c>
    </row>
    <row r="179" spans="1:3" x14ac:dyDescent="0.35">
      <c r="A179" t="s">
        <v>414</v>
      </c>
      <c r="B179" s="10">
        <v>2.75</v>
      </c>
      <c r="C179" s="11">
        <v>7.3403859999999996</v>
      </c>
    </row>
    <row r="180" spans="1:3" x14ac:dyDescent="0.35">
      <c r="A180" t="s">
        <v>415</v>
      </c>
      <c r="B180" s="10">
        <v>2.7166670000000002</v>
      </c>
      <c r="C180" s="11">
        <v>7.6382269999999997</v>
      </c>
    </row>
    <row r="181" spans="1:3" x14ac:dyDescent="0.35">
      <c r="A181" t="s">
        <v>416</v>
      </c>
      <c r="B181" s="10">
        <v>2.5499999999999998</v>
      </c>
      <c r="C181" s="11">
        <v>7.8852830000000003</v>
      </c>
    </row>
    <row r="182" spans="1:3" x14ac:dyDescent="0.35">
      <c r="A182" t="s">
        <v>417</v>
      </c>
      <c r="B182" s="10">
        <v>2.5</v>
      </c>
      <c r="C182" s="11">
        <v>7.7672330000000001</v>
      </c>
    </row>
    <row r="183" spans="1:3" x14ac:dyDescent="0.35">
      <c r="A183" t="s">
        <v>418</v>
      </c>
      <c r="B183" s="10">
        <v>2.5</v>
      </c>
      <c r="C183" s="11">
        <v>7.8031449999999998</v>
      </c>
    </row>
    <row r="184" spans="1:3" x14ac:dyDescent="0.35">
      <c r="A184" t="s">
        <v>419</v>
      </c>
      <c r="B184" s="10">
        <v>2.5</v>
      </c>
      <c r="C184" s="11">
        <v>7.7962100000000003</v>
      </c>
    </row>
    <row r="185" spans="1:3" x14ac:dyDescent="0.35">
      <c r="A185" t="s">
        <v>420</v>
      </c>
      <c r="B185" s="10">
        <v>2.2000000000000002</v>
      </c>
      <c r="C185" s="11">
        <v>7.8695389999999996</v>
      </c>
    </row>
    <row r="186" spans="1:3" x14ac:dyDescent="0.35">
      <c r="A186" t="s">
        <v>421</v>
      </c>
      <c r="B186" s="10">
        <v>2</v>
      </c>
      <c r="C186" s="11">
        <v>7.6807889999999999</v>
      </c>
    </row>
    <row r="187" spans="1:3" x14ac:dyDescent="0.35">
      <c r="A187" t="s">
        <v>422</v>
      </c>
      <c r="B187" s="11">
        <v>2</v>
      </c>
      <c r="C187" s="11">
        <v>7.6549189999999996</v>
      </c>
    </row>
    <row r="188" spans="1:3" x14ac:dyDescent="0.35">
      <c r="A188" t="s">
        <v>423</v>
      </c>
      <c r="B188" s="11">
        <v>1.8499950000000001</v>
      </c>
      <c r="C188" s="11">
        <v>8.1993270000000003</v>
      </c>
    </row>
    <row r="189" spans="1:3" x14ac:dyDescent="0.35">
      <c r="A189" t="s">
        <v>424</v>
      </c>
      <c r="B189" s="11">
        <v>1.94997</v>
      </c>
      <c r="C189" s="11">
        <v>8.3485610000000001</v>
      </c>
    </row>
    <row r="190" spans="1:3" x14ac:dyDescent="0.35">
      <c r="A190" t="s">
        <v>425</v>
      </c>
      <c r="B190" s="11">
        <v>1.999951</v>
      </c>
      <c r="C190" s="11">
        <v>8.335642</v>
      </c>
    </row>
    <row r="191" spans="1:3" x14ac:dyDescent="0.35">
      <c r="A191" t="s">
        <v>426</v>
      </c>
      <c r="B191" s="11">
        <v>1.999922</v>
      </c>
      <c r="C191" s="11">
        <v>8.3667289999999994</v>
      </c>
    </row>
    <row r="192" spans="1:3" x14ac:dyDescent="0.35">
      <c r="A192" t="s">
        <v>427</v>
      </c>
      <c r="B192" s="11">
        <v>1.999903</v>
      </c>
      <c r="C192" s="11">
        <v>8.3806980000000006</v>
      </c>
    </row>
    <row r="193" spans="1:3" x14ac:dyDescent="0.35">
      <c r="A193" t="s">
        <v>428</v>
      </c>
      <c r="B193" s="11">
        <v>1.999914</v>
      </c>
      <c r="C193" s="11">
        <v>8.3766490000000005</v>
      </c>
    </row>
    <row r="194" spans="1:3" x14ac:dyDescent="0.35">
      <c r="A194" t="s">
        <v>429</v>
      </c>
      <c r="B194" s="11">
        <v>1.999927</v>
      </c>
      <c r="C194" s="11">
        <v>8.3659119999999998</v>
      </c>
    </row>
    <row r="195" spans="1:3" x14ac:dyDescent="0.35">
      <c r="A195" t="s">
        <v>430</v>
      </c>
      <c r="B195" s="11">
        <v>1.9999370000000001</v>
      </c>
      <c r="C195" s="11">
        <v>8.3513660000000005</v>
      </c>
    </row>
    <row r="196" spans="1:3" x14ac:dyDescent="0.35">
      <c r="A196" t="s">
        <v>431</v>
      </c>
      <c r="B196" s="11">
        <v>1.9999670000000001</v>
      </c>
      <c r="C196" s="11">
        <v>8.3330000000000002</v>
      </c>
    </row>
    <row r="197" spans="1:3" x14ac:dyDescent="0.35">
      <c r="A197" t="s">
        <v>432</v>
      </c>
      <c r="B197" s="11">
        <v>1.999978</v>
      </c>
      <c r="C197" s="11">
        <v>8.3165259999999996</v>
      </c>
    </row>
    <row r="198" spans="1:3" x14ac:dyDescent="0.35">
      <c r="A198" t="s">
        <v>433</v>
      </c>
      <c r="B198" s="11">
        <v>1.9999979999999999</v>
      </c>
      <c r="C198" s="11">
        <v>8.3009979999999999</v>
      </c>
    </row>
    <row r="199" spans="1:3" x14ac:dyDescent="0.35">
      <c r="A199" t="s">
        <v>434</v>
      </c>
      <c r="B199" s="11">
        <v>2.0000279999999999</v>
      </c>
      <c r="C199" s="11">
        <v>8.2845040000000001</v>
      </c>
    </row>
    <row r="200" spans="1:3" x14ac:dyDescent="0.35">
      <c r="A200" t="s">
        <v>435</v>
      </c>
      <c r="B200" s="11">
        <v>2.0000360000000001</v>
      </c>
      <c r="C200" s="11">
        <v>8.2680129999999998</v>
      </c>
    </row>
    <row r="201" spans="1:3" x14ac:dyDescent="0.35">
      <c r="A201" t="s">
        <v>436</v>
      </c>
      <c r="B201" s="11">
        <v>2.0000170000000002</v>
      </c>
      <c r="C201" s="11">
        <v>8.2515149999999995</v>
      </c>
    </row>
    <row r="202" spans="1:3" x14ac:dyDescent="0.35">
      <c r="A202" t="s">
        <v>437</v>
      </c>
      <c r="B202" s="11">
        <v>2.0000170000000002</v>
      </c>
      <c r="C202" s="11">
        <v>8.2321399999999993</v>
      </c>
    </row>
    <row r="203" spans="1:3" x14ac:dyDescent="0.35">
      <c r="A203" t="s">
        <v>438</v>
      </c>
      <c r="B203" s="11">
        <v>2.0000110000000002</v>
      </c>
      <c r="C203" s="11">
        <v>8.2098969999999998</v>
      </c>
    </row>
    <row r="204" spans="1:3" x14ac:dyDescent="0.35">
      <c r="A204" t="s">
        <v>439</v>
      </c>
      <c r="B204" s="11">
        <v>2.0000149999999999</v>
      </c>
      <c r="C204" s="11">
        <v>8.1876359999999995</v>
      </c>
    </row>
    <row r="205" spans="1:3" x14ac:dyDescent="0.35">
      <c r="A205" t="s">
        <v>440</v>
      </c>
      <c r="B205" s="11">
        <v>2.0000140000000002</v>
      </c>
      <c r="C205" s="11">
        <v>8.1653669999999998</v>
      </c>
    </row>
    <row r="206" spans="1:3" x14ac:dyDescent="0.35">
      <c r="A206" t="s">
        <v>441</v>
      </c>
      <c r="B206" s="11">
        <v>2.000006</v>
      </c>
      <c r="C206" s="11">
        <v>8.1405360000000009</v>
      </c>
    </row>
    <row r="207" spans="1:3" x14ac:dyDescent="0.35">
      <c r="A207" t="s">
        <v>442</v>
      </c>
      <c r="B207" s="11">
        <v>2.0000100000000001</v>
      </c>
      <c r="C207" s="11">
        <v>8.1131449999999994</v>
      </c>
    </row>
    <row r="208" spans="1:3" x14ac:dyDescent="0.35">
      <c r="A208" t="s">
        <v>443</v>
      </c>
      <c r="B208" s="11">
        <v>1.9999849999999999</v>
      </c>
      <c r="C208" s="11">
        <v>8.0857419999999998</v>
      </c>
    </row>
    <row r="209" spans="1:3" x14ac:dyDescent="0.35">
      <c r="A209" t="s">
        <v>444</v>
      </c>
      <c r="B209" s="11">
        <v>1.9999849999999999</v>
      </c>
      <c r="C209" s="11">
        <v>8.0583299999999998</v>
      </c>
    </row>
    <row r="210" spans="1:3" x14ac:dyDescent="0.35">
      <c r="A210" t="s">
        <v>445</v>
      </c>
      <c r="B210" s="11">
        <v>1.999978</v>
      </c>
      <c r="C210" s="11">
        <v>8.0308989999999998</v>
      </c>
    </row>
    <row r="211" spans="1:3" x14ac:dyDescent="0.35">
      <c r="A211" t="s">
        <v>446</v>
      </c>
      <c r="B211" s="11">
        <v>1.999952</v>
      </c>
      <c r="C211" s="11">
        <v>8.0034600000000005</v>
      </c>
    </row>
    <row r="212" spans="1:3" x14ac:dyDescent="0.35">
      <c r="A212" t="s">
        <v>447</v>
      </c>
      <c r="B212" s="11">
        <v>1.9999709999999999</v>
      </c>
      <c r="C212" s="11">
        <v>7.9803790000000001</v>
      </c>
    </row>
    <row r="213" spans="1:3" x14ac:dyDescent="0.35">
      <c r="A213" t="s">
        <v>448</v>
      </c>
      <c r="B213" s="11">
        <v>1.9999819999999999</v>
      </c>
      <c r="C213" s="11">
        <v>7.9624620000000004</v>
      </c>
    </row>
    <row r="214" spans="1:3" x14ac:dyDescent="0.35">
      <c r="A214" t="s">
        <v>449</v>
      </c>
      <c r="B214" s="11">
        <v>1.999986</v>
      </c>
      <c r="C214" s="11">
        <v>7.9461240000000002</v>
      </c>
    </row>
    <row r="215" spans="1:3" x14ac:dyDescent="0.35">
      <c r="A215" t="s">
        <v>450</v>
      </c>
      <c r="B215" s="11">
        <v>1.999995</v>
      </c>
      <c r="C215" s="11">
        <v>7.9313500000000001</v>
      </c>
    </row>
    <row r="216" spans="1:3" x14ac:dyDescent="0.35">
      <c r="A216" t="s">
        <v>451</v>
      </c>
      <c r="B216" s="11">
        <v>1.9999979999999999</v>
      </c>
      <c r="C216" s="11">
        <v>7.9181400000000002</v>
      </c>
    </row>
    <row r="217" spans="1:3" x14ac:dyDescent="0.35">
      <c r="A217" t="s">
        <v>452</v>
      </c>
      <c r="B217" s="11">
        <v>2.0000209999999998</v>
      </c>
      <c r="C217" s="11">
        <v>7.9080469999999998</v>
      </c>
    </row>
    <row r="218" spans="1:3" x14ac:dyDescent="0.35">
      <c r="A218" t="s">
        <v>453</v>
      </c>
      <c r="B218" s="11">
        <v>2.0000339999999999</v>
      </c>
      <c r="C218" s="11">
        <v>7.9002910000000002</v>
      </c>
    </row>
    <row r="219" spans="1:3" x14ac:dyDescent="0.35">
      <c r="A219" t="s">
        <v>454</v>
      </c>
      <c r="B219" s="11">
        <v>2.0000450000000001</v>
      </c>
      <c r="C219" s="11">
        <v>7.8925099999999997</v>
      </c>
    </row>
    <row r="220" spans="1:3" x14ac:dyDescent="0.35">
      <c r="A220" t="s">
        <v>455</v>
      </c>
      <c r="B220" s="11">
        <v>2.0000300000000002</v>
      </c>
      <c r="C220" s="11">
        <v>7.8847189999999996</v>
      </c>
    </row>
    <row r="221" spans="1:3" x14ac:dyDescent="0.35">
      <c r="A221" t="s">
        <v>456</v>
      </c>
      <c r="B221" s="11">
        <v>2.0000079999999998</v>
      </c>
      <c r="C221" s="11">
        <v>7.8769090000000004</v>
      </c>
    </row>
    <row r="222" spans="1:3" x14ac:dyDescent="0.35">
      <c r="A222" t="s">
        <v>457</v>
      </c>
      <c r="B222" s="11">
        <v>1.9999979999999999</v>
      </c>
      <c r="C222" s="11">
        <v>7.8716840000000001</v>
      </c>
    </row>
    <row r="223" spans="1:3" x14ac:dyDescent="0.35">
      <c r="A223" t="s">
        <v>458</v>
      </c>
      <c r="B223" s="11">
        <v>1.9999709999999999</v>
      </c>
      <c r="C223" s="11">
        <v>7.8690280000000001</v>
      </c>
    </row>
    <row r="224" spans="1:3" x14ac:dyDescent="0.35">
      <c r="A224" t="s">
        <v>459</v>
      </c>
      <c r="B224" s="11">
        <v>1.9999199999999999</v>
      </c>
      <c r="C224" s="11">
        <v>7.8663369999999997</v>
      </c>
    </row>
    <row r="225" spans="1:3" x14ac:dyDescent="0.35">
      <c r="A225" t="s">
        <v>460</v>
      </c>
      <c r="B225" s="11">
        <v>1.9998769999999999</v>
      </c>
      <c r="C225" s="11">
        <v>7.8636080000000002</v>
      </c>
    </row>
    <row r="226" spans="1:3" x14ac:dyDescent="0.35">
      <c r="A226" t="s">
        <v>461</v>
      </c>
      <c r="B226" s="11">
        <v>1.999838</v>
      </c>
      <c r="C226" s="11">
        <v>7.8608399999999996</v>
      </c>
    </row>
    <row r="227" spans="1:3" x14ac:dyDescent="0.35">
      <c r="A227" t="s">
        <v>462</v>
      </c>
      <c r="B227" s="11">
        <v>1.999827</v>
      </c>
      <c r="C227" s="11">
        <v>7.8588519999999997</v>
      </c>
    </row>
    <row r="228" spans="1:3" x14ac:dyDescent="0.35">
      <c r="A228" t="s">
        <v>463</v>
      </c>
      <c r="B228" s="11">
        <v>1.9998400000000001</v>
      </c>
      <c r="C228" s="11">
        <v>7.857602</v>
      </c>
    </row>
    <row r="229" spans="1:3" x14ac:dyDescent="0.35">
      <c r="A229" t="s">
        <v>464</v>
      </c>
      <c r="B229" s="11">
        <v>1.9998720000000001</v>
      </c>
      <c r="C229" s="11">
        <v>7.8562820000000002</v>
      </c>
    </row>
    <row r="230" spans="1:3" x14ac:dyDescent="0.35">
      <c r="A230" t="s">
        <v>465</v>
      </c>
      <c r="B230" s="11">
        <v>1.999919</v>
      </c>
      <c r="C230" s="11">
        <v>7.8548730000000004</v>
      </c>
    </row>
    <row r="231" spans="1:3" x14ac:dyDescent="0.35">
      <c r="A231" t="s">
        <v>466</v>
      </c>
      <c r="B231" t="s">
        <v>518</v>
      </c>
      <c r="C231" t="s">
        <v>541</v>
      </c>
    </row>
    <row r="232" spans="1:3" x14ac:dyDescent="0.35">
      <c r="A232" t="s">
        <v>470</v>
      </c>
      <c r="B232" t="b">
        <v>0</v>
      </c>
      <c r="C232" t="b">
        <v>0</v>
      </c>
    </row>
    <row r="233" spans="1:3" x14ac:dyDescent="0.35">
      <c r="A233" t="s">
        <v>471</v>
      </c>
      <c r="B233" t="s">
        <v>239</v>
      </c>
      <c r="C233" t="s">
        <v>239</v>
      </c>
    </row>
    <row r="234" spans="1:3" x14ac:dyDescent="0.35">
      <c r="A234" t="s">
        <v>472</v>
      </c>
      <c r="B234" t="s">
        <v>239</v>
      </c>
      <c r="C234" t="s">
        <v>239</v>
      </c>
    </row>
    <row r="235" spans="1:3" x14ac:dyDescent="0.35">
      <c r="A235" t="s">
        <v>473</v>
      </c>
      <c r="B235">
        <v>2024</v>
      </c>
      <c r="C235" t="s">
        <v>239</v>
      </c>
    </row>
    <row r="236" spans="1:3" x14ac:dyDescent="0.35">
      <c r="A236" t="s">
        <v>474</v>
      </c>
      <c r="B236">
        <v>4</v>
      </c>
      <c r="C236" t="s">
        <v>239</v>
      </c>
    </row>
    <row r="237" spans="1:3" x14ac:dyDescent="0.35">
      <c r="A237" t="s">
        <v>475</v>
      </c>
      <c r="B237" t="s">
        <v>239</v>
      </c>
      <c r="C237" t="s">
        <v>239</v>
      </c>
    </row>
    <row r="238" spans="1:3" x14ac:dyDescent="0.35">
      <c r="A238" t="s">
        <v>476</v>
      </c>
      <c r="B238" t="s">
        <v>519</v>
      </c>
      <c r="C238" t="s">
        <v>542</v>
      </c>
    </row>
    <row r="239" spans="1:3" x14ac:dyDescent="0.35">
      <c r="A239" t="s">
        <v>480</v>
      </c>
      <c r="B239" t="s">
        <v>520</v>
      </c>
      <c r="C239" t="s">
        <v>239</v>
      </c>
    </row>
    <row r="240" spans="1:3" x14ac:dyDescent="0.35">
      <c r="A240" t="s">
        <v>484</v>
      </c>
      <c r="B240" t="s">
        <v>485</v>
      </c>
      <c r="C240" t="s">
        <v>485</v>
      </c>
    </row>
    <row r="241" spans="1:3" x14ac:dyDescent="0.35">
      <c r="A241" t="s">
        <v>488</v>
      </c>
      <c r="B241" t="s">
        <v>489</v>
      </c>
      <c r="C241" t="s">
        <v>543</v>
      </c>
    </row>
    <row r="242" spans="1:3" x14ac:dyDescent="0.35">
      <c r="A242" t="s">
        <v>234</v>
      </c>
      <c r="B242" t="s">
        <v>517</v>
      </c>
      <c r="C242" t="s">
        <v>517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23"/>
  <sheetViews>
    <sheetView showGridLines="0" workbookViewId="0">
      <pane xSplit="1" ySplit="1" topLeftCell="B187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4.5" x14ac:dyDescent="0.35"/>
  <cols>
    <col min="1" max="1" width="10.54296875" bestFit="1" customWidth="1"/>
    <col min="2" max="2" width="10.54296875" style="5" customWidth="1"/>
    <col min="3" max="3" width="5.54296875" style="5" bestFit="1" customWidth="1"/>
    <col min="4" max="4" width="10.90625" style="5"/>
  </cols>
  <sheetData>
    <row r="1" spans="1:5" s="5" customFormat="1" x14ac:dyDescent="0.35">
      <c r="A1" s="6" t="s">
        <v>215</v>
      </c>
      <c r="B1" s="6" t="s">
        <v>499</v>
      </c>
      <c r="C1" s="6" t="s">
        <v>498</v>
      </c>
      <c r="D1" s="6" t="s">
        <v>555</v>
      </c>
      <c r="E1" s="6"/>
    </row>
    <row r="2" spans="1:5" x14ac:dyDescent="0.35">
      <c r="A2" s="12">
        <v>25628</v>
      </c>
      <c r="B2" s="7">
        <f>[3]AWMD_Updated!B2</f>
        <v>1099492.7922236717</v>
      </c>
      <c r="C2" s="7">
        <f>[3]AWMD_Updated!AI2</f>
        <v>7.9869932180000003</v>
      </c>
      <c r="D2" s="7">
        <f>[3]AWMD_Updated!T2</f>
        <v>14.274151491053445</v>
      </c>
    </row>
    <row r="3" spans="1:5" x14ac:dyDescent="0.35">
      <c r="A3" s="12">
        <v>25720</v>
      </c>
      <c r="B3" s="7">
        <f>[3]AWMD_Updated!B3</f>
        <v>1120627.1414320327</v>
      </c>
      <c r="C3" s="7">
        <f>[3]AWMD_Updated!AI3</f>
        <v>7.9565450039999996</v>
      </c>
      <c r="D3" s="7">
        <f>[3]AWMD_Updated!T3</f>
        <v>14.434899026747654</v>
      </c>
    </row>
    <row r="4" spans="1:5" x14ac:dyDescent="0.35">
      <c r="A4" s="12">
        <v>25812</v>
      </c>
      <c r="B4" s="7">
        <f>[3]AWMD_Updated!B4</f>
        <v>1134127.9715542814</v>
      </c>
      <c r="C4" s="7">
        <f>[3]AWMD_Updated!AI4</f>
        <v>7.602188806</v>
      </c>
      <c r="D4" s="7">
        <f>[3]AWMD_Updated!T4</f>
        <v>14.568972351816717</v>
      </c>
    </row>
    <row r="5" spans="1:5" x14ac:dyDescent="0.35">
      <c r="A5" s="12">
        <v>25903</v>
      </c>
      <c r="B5" s="7">
        <f>[3]AWMD_Updated!B5</f>
        <v>1147866.5978610846</v>
      </c>
      <c r="C5" s="7">
        <f>[3]AWMD_Updated!AI5</f>
        <v>7.2423084040000001</v>
      </c>
      <c r="D5" s="7">
        <f>[3]AWMD_Updated!T5</f>
        <v>14.752618767554864</v>
      </c>
    </row>
    <row r="6" spans="1:5" x14ac:dyDescent="0.35">
      <c r="A6" s="12">
        <v>25993</v>
      </c>
      <c r="B6" s="7">
        <f>[3]AWMD_Updated!B6</f>
        <v>1145859.5653233049</v>
      </c>
      <c r="C6" s="7">
        <f>[3]AWMD_Updated!AI6</f>
        <v>6.5168982130000002</v>
      </c>
      <c r="D6" s="7">
        <f>[3]AWMD_Updated!T6</f>
        <v>15.022850173958533</v>
      </c>
    </row>
    <row r="7" spans="1:5" x14ac:dyDescent="0.35">
      <c r="A7" s="12">
        <v>26085</v>
      </c>
      <c r="B7" s="7">
        <f>[3]AWMD_Updated!B7</f>
        <v>1160538.2101512637</v>
      </c>
      <c r="C7" s="7">
        <f>[3]AWMD_Updated!AI7</f>
        <v>5.9386375290000002</v>
      </c>
      <c r="D7" s="7">
        <f>[3]AWMD_Updated!T7</f>
        <v>15.276235609740946</v>
      </c>
    </row>
    <row r="8" spans="1:5" x14ac:dyDescent="0.35">
      <c r="A8" s="12">
        <v>26177</v>
      </c>
      <c r="B8" s="7">
        <f>[3]AWMD_Updated!B8</f>
        <v>1178637.8545914607</v>
      </c>
      <c r="C8" s="7">
        <f>[3]AWMD_Updated!AI8</f>
        <v>6.2262125619999997</v>
      </c>
      <c r="D8" s="7">
        <f>[3]AWMD_Updated!T8</f>
        <v>15.456064715663491</v>
      </c>
    </row>
    <row r="9" spans="1:5" x14ac:dyDescent="0.35">
      <c r="A9" s="12">
        <v>26268</v>
      </c>
      <c r="B9" s="7">
        <f>[3]AWMD_Updated!B9</f>
        <v>1188012.3995315752</v>
      </c>
      <c r="C9" s="7">
        <f>[3]AWMD_Updated!AI9</f>
        <v>6.005823296</v>
      </c>
      <c r="D9" s="7">
        <f>[3]AWMD_Updated!T9</f>
        <v>15.690365022557353</v>
      </c>
    </row>
    <row r="10" spans="1:5" x14ac:dyDescent="0.35">
      <c r="A10" s="12">
        <v>26359</v>
      </c>
      <c r="B10" s="7">
        <f>[3]AWMD_Updated!B10</f>
        <v>1205616.5203552593</v>
      </c>
      <c r="C10" s="7">
        <f>[3]AWMD_Updated!AI10</f>
        <v>5.0466009070000002</v>
      </c>
      <c r="D10" s="7">
        <f>[3]AWMD_Updated!T10</f>
        <v>15.955659184786441</v>
      </c>
    </row>
    <row r="11" spans="1:5" x14ac:dyDescent="0.35">
      <c r="A11" s="12">
        <v>26451</v>
      </c>
      <c r="B11" s="7">
        <f>[3]AWMD_Updated!B11</f>
        <v>1213734.4803915417</v>
      </c>
      <c r="C11" s="7">
        <f>[3]AWMD_Updated!AI11</f>
        <v>4.7536779339999997</v>
      </c>
      <c r="D11" s="7">
        <f>[3]AWMD_Updated!T11</f>
        <v>16.18355295721706</v>
      </c>
    </row>
    <row r="12" spans="1:5" x14ac:dyDescent="0.35">
      <c r="A12" s="12">
        <v>26543</v>
      </c>
      <c r="B12" s="7">
        <f>[3]AWMD_Updated!B12</f>
        <v>1230330.7060323597</v>
      </c>
      <c r="C12" s="7">
        <f>[3]AWMD_Updated!AI12</f>
        <v>4.8573328550000001</v>
      </c>
      <c r="D12" s="7">
        <f>[3]AWMD_Updated!T12</f>
        <v>16.470980403469834</v>
      </c>
    </row>
    <row r="13" spans="1:5" x14ac:dyDescent="0.35">
      <c r="A13" s="12">
        <v>26634</v>
      </c>
      <c r="B13" s="7">
        <f>[3]AWMD_Updated!B13</f>
        <v>1248340.6034820473</v>
      </c>
      <c r="C13" s="7">
        <f>[3]AWMD_Updated!AI13</f>
        <v>6.3948429679999998</v>
      </c>
      <c r="D13" s="7">
        <f>[3]AWMD_Updated!T13</f>
        <v>16.809796741959868</v>
      </c>
    </row>
    <row r="14" spans="1:5" x14ac:dyDescent="0.35">
      <c r="A14" s="12">
        <v>26724</v>
      </c>
      <c r="B14" s="7">
        <f>[3]AWMD_Updated!B14</f>
        <v>1272374.1919969199</v>
      </c>
      <c r="C14" s="7">
        <f>[3]AWMD_Updated!AI14</f>
        <v>6.7913627769999998</v>
      </c>
      <c r="D14" s="7">
        <f>[3]AWMD_Updated!T14</f>
        <v>17.163342276829948</v>
      </c>
    </row>
    <row r="15" spans="1:5" x14ac:dyDescent="0.35">
      <c r="A15" s="12">
        <v>26816</v>
      </c>
      <c r="B15" s="7">
        <f>[3]AWMD_Updated!B15</f>
        <v>1287801.6656661483</v>
      </c>
      <c r="C15" s="7">
        <f>[3]AWMD_Updated!AI15</f>
        <v>8.4854333719999993</v>
      </c>
      <c r="D15" s="7">
        <f>[3]AWMD_Updated!T15</f>
        <v>17.579335164020513</v>
      </c>
    </row>
    <row r="16" spans="1:5" x14ac:dyDescent="0.35">
      <c r="A16" s="12">
        <v>26908</v>
      </c>
      <c r="B16" s="7">
        <f>[3]AWMD_Updated!B16</f>
        <v>1305486.3937974465</v>
      </c>
      <c r="C16" s="7">
        <f>[3]AWMD_Updated!AI16</f>
        <v>10.211200034999999</v>
      </c>
      <c r="D16" s="7">
        <f>[3]AWMD_Updated!T16</f>
        <v>17.936340825005416</v>
      </c>
    </row>
    <row r="17" spans="1:4" x14ac:dyDescent="0.35">
      <c r="A17" s="12">
        <v>26999</v>
      </c>
      <c r="B17" s="7">
        <f>[3]AWMD_Updated!B17</f>
        <v>1319750.2685794067</v>
      </c>
      <c r="C17" s="7">
        <f>[3]AWMD_Updated!AI17</f>
        <v>11.082562958</v>
      </c>
      <c r="D17" s="7">
        <f>[3]AWMD_Updated!T17</f>
        <v>18.408230801896487</v>
      </c>
    </row>
    <row r="18" spans="1:4" x14ac:dyDescent="0.35">
      <c r="A18" s="12">
        <v>27089</v>
      </c>
      <c r="B18" s="7">
        <f>[3]AWMD_Updated!B18</f>
        <v>1332816.9079353318</v>
      </c>
      <c r="C18" s="7">
        <f>[3]AWMD_Updated!AI18</f>
        <v>11.226946358999999</v>
      </c>
      <c r="D18" s="7">
        <f>[3]AWMD_Updated!T18</f>
        <v>19.037351265464782</v>
      </c>
    </row>
    <row r="19" spans="1:4" x14ac:dyDescent="0.35">
      <c r="A19" s="12">
        <v>27181</v>
      </c>
      <c r="B19" s="7">
        <f>[3]AWMD_Updated!B19</f>
        <v>1335228.6004851898</v>
      </c>
      <c r="C19" s="7">
        <f>[3]AWMD_Updated!AI19</f>
        <v>11.465486577</v>
      </c>
      <c r="D19" s="7">
        <f>[3]AWMD_Updated!T19</f>
        <v>19.677253407359721</v>
      </c>
    </row>
    <row r="20" spans="1:4" x14ac:dyDescent="0.35">
      <c r="A20" s="12">
        <v>27273</v>
      </c>
      <c r="B20" s="7">
        <f>[3]AWMD_Updated!B20</f>
        <v>1344324.7287351985</v>
      </c>
      <c r="C20" s="7">
        <f>[3]AWMD_Updated!AI20</f>
        <v>11.524151691</v>
      </c>
      <c r="D20" s="7">
        <f>[3]AWMD_Updated!T20</f>
        <v>20.253607473930096</v>
      </c>
    </row>
    <row r="21" spans="1:4" x14ac:dyDescent="0.35">
      <c r="A21" s="12">
        <v>27364</v>
      </c>
      <c r="B21" s="7">
        <f>[3]AWMD_Updated!B21</f>
        <v>1322903.9841410089</v>
      </c>
      <c r="C21" s="7">
        <f>[3]AWMD_Updated!AI21</f>
        <v>10.65978015</v>
      </c>
      <c r="D21" s="7">
        <f>[3]AWMD_Updated!T21</f>
        <v>20.907105358639047</v>
      </c>
    </row>
    <row r="22" spans="1:4" x14ac:dyDescent="0.35">
      <c r="A22" s="12">
        <v>27454</v>
      </c>
      <c r="B22" s="7">
        <f>[3]AWMD_Updated!B22</f>
        <v>1310557.0282023719</v>
      </c>
      <c r="C22" s="7">
        <f>[3]AWMD_Updated!AI22</f>
        <v>8.8139351779999995</v>
      </c>
      <c r="D22" s="7">
        <f>[3]AWMD_Updated!T22</f>
        <v>21.240893378589043</v>
      </c>
    </row>
    <row r="23" spans="1:4" x14ac:dyDescent="0.35">
      <c r="A23" s="12">
        <v>27546</v>
      </c>
      <c r="B23" s="7">
        <f>[3]AWMD_Updated!B23</f>
        <v>1317323.7339456878</v>
      </c>
      <c r="C23" s="7">
        <f>[3]AWMD_Updated!AI23</f>
        <v>7.0553127269999996</v>
      </c>
      <c r="D23" s="7">
        <f>[3]AWMD_Updated!T23</f>
        <v>21.762747070862602</v>
      </c>
    </row>
    <row r="24" spans="1:4" x14ac:dyDescent="0.35">
      <c r="A24" s="12">
        <v>27638</v>
      </c>
      <c r="B24" s="7">
        <f>[3]AWMD_Updated!B24</f>
        <v>1329091.2012866964</v>
      </c>
      <c r="C24" s="7">
        <f>[3]AWMD_Updated!AI24</f>
        <v>6.3822833169999997</v>
      </c>
      <c r="D24" s="7">
        <f>[3]AWMD_Updated!T24</f>
        <v>22.140068791977932</v>
      </c>
    </row>
    <row r="25" spans="1:4" x14ac:dyDescent="0.35">
      <c r="A25" s="12">
        <v>27729</v>
      </c>
      <c r="B25" s="7">
        <f>[3]AWMD_Updated!B25</f>
        <v>1343135.5264119296</v>
      </c>
      <c r="C25" s="7">
        <f>[3]AWMD_Updated!AI25</f>
        <v>6.5988649290000003</v>
      </c>
      <c r="D25" s="7">
        <f>[3]AWMD_Updated!T25</f>
        <v>22.553007830461766</v>
      </c>
    </row>
    <row r="26" spans="1:4" x14ac:dyDescent="0.35">
      <c r="A26" s="12">
        <v>27820</v>
      </c>
      <c r="B26" s="7">
        <f>[3]AWMD_Updated!B26</f>
        <v>1365065.2980850337</v>
      </c>
      <c r="C26" s="7">
        <f>[3]AWMD_Updated!AI26</f>
        <v>7.0007737399999996</v>
      </c>
      <c r="D26" s="7">
        <f>[3]AWMD_Updated!T26</f>
        <v>23.158420414982658</v>
      </c>
    </row>
    <row r="27" spans="1:4" x14ac:dyDescent="0.35">
      <c r="A27" s="12">
        <v>27912</v>
      </c>
      <c r="B27" s="7">
        <f>[3]AWMD_Updated!B27</f>
        <v>1382620.3118751852</v>
      </c>
      <c r="C27" s="7">
        <f>[3]AWMD_Updated!AI27</f>
        <v>8.5678147039999999</v>
      </c>
      <c r="D27" s="7">
        <f>[3]AWMD_Updated!T27</f>
        <v>23.84938414919025</v>
      </c>
    </row>
    <row r="28" spans="1:4" x14ac:dyDescent="0.35">
      <c r="A28" s="12">
        <v>28004</v>
      </c>
      <c r="B28" s="7">
        <f>[3]AWMD_Updated!B28</f>
        <v>1394259.3665044657</v>
      </c>
      <c r="C28" s="7">
        <f>[3]AWMD_Updated!AI28</f>
        <v>9.3484899610000003</v>
      </c>
      <c r="D28" s="7">
        <f>[3]AWMD_Updated!T28</f>
        <v>24.239970755958517</v>
      </c>
    </row>
    <row r="29" spans="1:4" x14ac:dyDescent="0.35">
      <c r="A29" s="12">
        <v>28095</v>
      </c>
      <c r="B29" s="7">
        <f>[3]AWMD_Updated!B29</f>
        <v>1416653.375633111</v>
      </c>
      <c r="C29" s="7">
        <f>[3]AWMD_Updated!AI29</f>
        <v>9.2056778930000007</v>
      </c>
      <c r="D29" s="7">
        <f>[3]AWMD_Updated!T29</f>
        <v>24.89343733385434</v>
      </c>
    </row>
    <row r="30" spans="1:4" x14ac:dyDescent="0.35">
      <c r="A30" s="12">
        <v>28185</v>
      </c>
      <c r="B30" s="7">
        <f>[3]AWMD_Updated!B30</f>
        <v>1422493.3249709513</v>
      </c>
      <c r="C30" s="7">
        <f>[3]AWMD_Updated!AI30</f>
        <v>10.214431834000001</v>
      </c>
      <c r="D30" s="7">
        <f>[3]AWMD_Updated!T30</f>
        <v>25.565171501989731</v>
      </c>
    </row>
    <row r="31" spans="1:4" x14ac:dyDescent="0.35">
      <c r="A31" s="12">
        <v>28277</v>
      </c>
      <c r="B31" s="7">
        <f>[3]AWMD_Updated!B31</f>
        <v>1424409.9543706391</v>
      </c>
      <c r="C31" s="7">
        <f>[3]AWMD_Updated!AI31</f>
        <v>9.3718135950000008</v>
      </c>
      <c r="D31" s="7">
        <f>[3]AWMD_Updated!T31</f>
        <v>26.218296549591344</v>
      </c>
    </row>
    <row r="32" spans="1:4" x14ac:dyDescent="0.35">
      <c r="A32" s="12">
        <v>28369</v>
      </c>
      <c r="B32" s="7">
        <f>[3]AWMD_Updated!B32</f>
        <v>1425529.3112327708</v>
      </c>
      <c r="C32" s="7">
        <f>[3]AWMD_Updated!AI32</f>
        <v>8.9984842230000002</v>
      </c>
      <c r="D32" s="7">
        <f>[3]AWMD_Updated!T32</f>
        <v>26.749592126266272</v>
      </c>
    </row>
    <row r="33" spans="1:4" x14ac:dyDescent="0.35">
      <c r="A33" s="12">
        <v>28460</v>
      </c>
      <c r="B33" s="7">
        <f>[3]AWMD_Updated!B33</f>
        <v>1442580.5555063505</v>
      </c>
      <c r="C33" s="7">
        <f>[3]AWMD_Updated!AI33</f>
        <v>9.1298613100000008</v>
      </c>
      <c r="D33" s="7">
        <f>[3]AWMD_Updated!T33</f>
        <v>27.19454747534472</v>
      </c>
    </row>
    <row r="34" spans="1:4" x14ac:dyDescent="0.35">
      <c r="A34" s="12">
        <v>28550</v>
      </c>
      <c r="B34" s="7">
        <f>[3]AWMD_Updated!B34</f>
        <v>1451856.7840681211</v>
      </c>
      <c r="C34" s="7">
        <f>[3]AWMD_Updated!AI34</f>
        <v>8.0570853000000007</v>
      </c>
      <c r="D34" s="7">
        <f>[3]AWMD_Updated!T34</f>
        <v>27.677350049250901</v>
      </c>
    </row>
    <row r="35" spans="1:4" x14ac:dyDescent="0.35">
      <c r="A35" s="12">
        <v>28642</v>
      </c>
      <c r="B35" s="7">
        <f>[3]AWMD_Updated!B35</f>
        <v>1468422.4290562696</v>
      </c>
      <c r="C35" s="7">
        <f>[3]AWMD_Updated!AI35</f>
        <v>7.9093559310000003</v>
      </c>
      <c r="D35" s="7">
        <f>[3]AWMD_Updated!T35</f>
        <v>28.260886208987245</v>
      </c>
    </row>
    <row r="36" spans="1:4" x14ac:dyDescent="0.35">
      <c r="A36" s="12">
        <v>28734</v>
      </c>
      <c r="B36" s="7">
        <f>[3]AWMD_Updated!B36</f>
        <v>1475299.7017252713</v>
      </c>
      <c r="C36" s="7">
        <f>[3]AWMD_Updated!AI36</f>
        <v>9.1721210630000005</v>
      </c>
      <c r="D36" s="7">
        <f>[3]AWMD_Updated!T36</f>
        <v>28.712918345784718</v>
      </c>
    </row>
    <row r="37" spans="1:4" x14ac:dyDescent="0.35">
      <c r="A37" s="12">
        <v>28825</v>
      </c>
      <c r="B37" s="7">
        <f>[3]AWMD_Updated!B37</f>
        <v>1492869.1561977486</v>
      </c>
      <c r="C37" s="7">
        <f>[3]AWMD_Updated!AI37</f>
        <v>9.1367645609999997</v>
      </c>
      <c r="D37" s="7">
        <f>[3]AWMD_Updated!T37</f>
        <v>29.148158587365426</v>
      </c>
    </row>
    <row r="38" spans="1:4" x14ac:dyDescent="0.35">
      <c r="A38" s="12">
        <v>28915</v>
      </c>
      <c r="B38" s="7">
        <f>[3]AWMD_Updated!B38</f>
        <v>1500494.0340356475</v>
      </c>
      <c r="C38" s="7">
        <f>[3]AWMD_Updated!AI38</f>
        <v>7.6970246309999997</v>
      </c>
      <c r="D38" s="7">
        <f>[3]AWMD_Updated!T38</f>
        <v>29.825084012840609</v>
      </c>
    </row>
    <row r="39" spans="1:4" x14ac:dyDescent="0.35">
      <c r="A39" s="12">
        <v>29007</v>
      </c>
      <c r="B39" s="7">
        <f>[3]AWMD_Updated!B39</f>
        <v>1524531.6212645266</v>
      </c>
      <c r="C39" s="7">
        <f>[3]AWMD_Updated!AI39</f>
        <v>9.3504668970000004</v>
      </c>
      <c r="D39" s="7">
        <f>[3]AWMD_Updated!T39</f>
        <v>30.506254372517649</v>
      </c>
    </row>
    <row r="40" spans="1:4" x14ac:dyDescent="0.35">
      <c r="A40" s="12">
        <v>29099</v>
      </c>
      <c r="B40" s="7">
        <f>[3]AWMD_Updated!B40</f>
        <v>1532308.7095018986</v>
      </c>
      <c r="C40" s="7">
        <f>[3]AWMD_Updated!AI40</f>
        <v>11.022080144</v>
      </c>
      <c r="D40" s="7">
        <f>[3]AWMD_Updated!T40</f>
        <v>31.237077513645417</v>
      </c>
    </row>
    <row r="41" spans="1:4" x14ac:dyDescent="0.35">
      <c r="A41" s="12">
        <v>29190</v>
      </c>
      <c r="B41" s="7">
        <f>[3]AWMD_Updated!B41</f>
        <v>1546862.9233225412</v>
      </c>
      <c r="C41" s="7">
        <f>[3]AWMD_Updated!AI41</f>
        <v>12.693692391000001</v>
      </c>
      <c r="D41" s="7">
        <f>[3]AWMD_Updated!T41</f>
        <v>32.024356288260286</v>
      </c>
    </row>
    <row r="42" spans="1:4" x14ac:dyDescent="0.35">
      <c r="A42" s="12">
        <v>29281</v>
      </c>
      <c r="B42" s="7">
        <f>[3]AWMD_Updated!B42</f>
        <v>1561462.487377974</v>
      </c>
      <c r="C42" s="7">
        <f>[3]AWMD_Updated!AI42</f>
        <v>12.735106889000001</v>
      </c>
      <c r="D42" s="7">
        <f>[3]AWMD_Updated!T42</f>
        <v>33.126531488386952</v>
      </c>
    </row>
    <row r="43" spans="1:4" x14ac:dyDescent="0.35">
      <c r="A43" s="12">
        <v>29373</v>
      </c>
      <c r="B43" s="7">
        <f>[3]AWMD_Updated!B43</f>
        <v>1554130.5401179057</v>
      </c>
      <c r="C43" s="7">
        <f>[3]AWMD_Updated!AI43</f>
        <v>13.237090305000001</v>
      </c>
      <c r="D43" s="7">
        <f>[3]AWMD_Updated!T43</f>
        <v>33.986161276285088</v>
      </c>
    </row>
    <row r="44" spans="1:4" x14ac:dyDescent="0.35">
      <c r="A44" s="12">
        <v>29465</v>
      </c>
      <c r="B44" s="7">
        <f>[3]AWMD_Updated!B44</f>
        <v>1553244.609704728</v>
      </c>
      <c r="C44" s="7">
        <f>[3]AWMD_Updated!AI44</f>
        <v>12.239029242999999</v>
      </c>
      <c r="D44" s="7">
        <f>[3]AWMD_Updated!T44</f>
        <v>34.76756715672056</v>
      </c>
    </row>
    <row r="45" spans="1:4" x14ac:dyDescent="0.35">
      <c r="A45" s="12">
        <v>29556</v>
      </c>
      <c r="B45" s="7">
        <f>[3]AWMD_Updated!B45</f>
        <v>1553974.2135924825</v>
      </c>
      <c r="C45" s="7">
        <f>[3]AWMD_Updated!AI45</f>
        <v>12.663299259</v>
      </c>
      <c r="D45" s="7">
        <f>[3]AWMD_Updated!T45</f>
        <v>35.62130128113607</v>
      </c>
    </row>
    <row r="46" spans="1:4" x14ac:dyDescent="0.35">
      <c r="A46" s="12">
        <v>29646</v>
      </c>
      <c r="B46" s="7">
        <f>[3]AWMD_Updated!B46</f>
        <v>1555473.6087437088</v>
      </c>
      <c r="C46" s="7">
        <f>[3]AWMD_Updated!AI46</f>
        <v>13.432882043999999</v>
      </c>
      <c r="D46" s="7">
        <f>[3]AWMD_Updated!T46</f>
        <v>36.784819553342679</v>
      </c>
    </row>
    <row r="47" spans="1:4" x14ac:dyDescent="0.35">
      <c r="A47" s="12">
        <v>29738</v>
      </c>
      <c r="B47" s="7">
        <f>[3]AWMD_Updated!B47</f>
        <v>1560133.1094051495</v>
      </c>
      <c r="C47" s="7">
        <f>[3]AWMD_Updated!AI47</f>
        <v>15.507875287999999</v>
      </c>
      <c r="D47" s="7">
        <f>[3]AWMD_Updated!T47</f>
        <v>37.768239052343084</v>
      </c>
    </row>
    <row r="48" spans="1:4" x14ac:dyDescent="0.35">
      <c r="A48" s="12">
        <v>29830</v>
      </c>
      <c r="B48" s="7">
        <f>[3]AWMD_Updated!B48</f>
        <v>1564437.4935357058</v>
      </c>
      <c r="C48" s="7">
        <f>[3]AWMD_Updated!AI48</f>
        <v>16.133415178</v>
      </c>
      <c r="D48" s="7">
        <f>[3]AWMD_Updated!T48</f>
        <v>38.724472045988897</v>
      </c>
    </row>
    <row r="49" spans="1:4" x14ac:dyDescent="0.35">
      <c r="A49" s="12">
        <v>29921</v>
      </c>
      <c r="B49" s="7">
        <f>[3]AWMD_Updated!B49</f>
        <v>1568108.3618959098</v>
      </c>
      <c r="C49" s="7">
        <f>[3]AWMD_Updated!AI49</f>
        <v>15.426309166999999</v>
      </c>
      <c r="D49" s="7">
        <f>[3]AWMD_Updated!T49</f>
        <v>39.74534672277855</v>
      </c>
    </row>
    <row r="50" spans="1:4" x14ac:dyDescent="0.35">
      <c r="A50" s="12">
        <v>30011</v>
      </c>
      <c r="B50" s="7">
        <f>[3]AWMD_Updated!B50</f>
        <v>1574589.0983518937</v>
      </c>
      <c r="C50" s="7">
        <f>[3]AWMD_Updated!AI50</f>
        <v>14.331319171000001</v>
      </c>
      <c r="D50" s="7">
        <f>[3]AWMD_Updated!T50</f>
        <v>40.729083560444835</v>
      </c>
    </row>
    <row r="51" spans="1:4" x14ac:dyDescent="0.35">
      <c r="A51" s="12">
        <v>30103</v>
      </c>
      <c r="B51" s="7">
        <f>[3]AWMD_Updated!B51</f>
        <v>1576706.9489732159</v>
      </c>
      <c r="C51" s="7">
        <f>[3]AWMD_Updated!AI51</f>
        <v>14.400041219</v>
      </c>
      <c r="D51" s="7">
        <f>[3]AWMD_Updated!T51</f>
        <v>41.674783197493255</v>
      </c>
    </row>
    <row r="52" spans="1:4" x14ac:dyDescent="0.35">
      <c r="A52" s="12">
        <v>30195</v>
      </c>
      <c r="B52" s="7">
        <f>[3]AWMD_Updated!B52</f>
        <v>1568297.1372394122</v>
      </c>
      <c r="C52" s="7">
        <f>[3]AWMD_Updated!AI52</f>
        <v>13.349537282</v>
      </c>
      <c r="D52" s="7">
        <f>[3]AWMD_Updated!T52</f>
        <v>42.478199268187538</v>
      </c>
    </row>
    <row r="53" spans="1:4" x14ac:dyDescent="0.35">
      <c r="A53" s="12">
        <v>30286</v>
      </c>
      <c r="B53" s="7">
        <f>[3]AWMD_Updated!B53</f>
        <v>1568969.9546161648</v>
      </c>
      <c r="C53" s="7">
        <f>[3]AWMD_Updated!AI53</f>
        <v>12.606617089</v>
      </c>
      <c r="D53" s="7">
        <f>[3]AWMD_Updated!T53</f>
        <v>43.293676331706997</v>
      </c>
    </row>
    <row r="54" spans="1:4" x14ac:dyDescent="0.35">
      <c r="A54" s="12">
        <v>30376</v>
      </c>
      <c r="B54" s="7">
        <f>[3]AWMD_Updated!B54</f>
        <v>1579416.3818735306</v>
      </c>
      <c r="C54" s="7">
        <f>[3]AWMD_Updated!AI54</f>
        <v>11.886461701</v>
      </c>
      <c r="D54" s="7">
        <f>[3]AWMD_Updated!T54</f>
        <v>44.173742425290897</v>
      </c>
    </row>
    <row r="55" spans="1:4" x14ac:dyDescent="0.35">
      <c r="A55" s="12">
        <v>30468</v>
      </c>
      <c r="B55" s="7">
        <f>[3]AWMD_Updated!B55</f>
        <v>1589751.0502129178</v>
      </c>
      <c r="C55" s="7">
        <f>[3]AWMD_Updated!AI55</f>
        <v>11.847544911</v>
      </c>
      <c r="D55" s="7">
        <f>[3]AWMD_Updated!T55</f>
        <v>44.935484711245664</v>
      </c>
    </row>
    <row r="56" spans="1:4" x14ac:dyDescent="0.35">
      <c r="A56" s="12">
        <v>30560</v>
      </c>
      <c r="B56" s="7">
        <f>[3]AWMD_Updated!B56</f>
        <v>1593881.1794279974</v>
      </c>
      <c r="C56" s="7">
        <f>[3]AWMD_Updated!AI56</f>
        <v>12.218649981</v>
      </c>
      <c r="D56" s="7">
        <f>[3]AWMD_Updated!T56</f>
        <v>45.68737029716921</v>
      </c>
    </row>
    <row r="57" spans="1:4" x14ac:dyDescent="0.35">
      <c r="A57" s="12">
        <v>30651</v>
      </c>
      <c r="B57" s="7">
        <f>[3]AWMD_Updated!B57</f>
        <v>1611312.4549781117</v>
      </c>
      <c r="C57" s="7">
        <f>[3]AWMD_Updated!AI57</f>
        <v>12.169143466</v>
      </c>
      <c r="D57" s="7">
        <f>[3]AWMD_Updated!T57</f>
        <v>46.475520685125673</v>
      </c>
    </row>
    <row r="58" spans="1:4" x14ac:dyDescent="0.35">
      <c r="A58" s="12">
        <v>30742</v>
      </c>
      <c r="B58" s="7">
        <f>[3]AWMD_Updated!B58</f>
        <v>1625156.0780541741</v>
      </c>
      <c r="C58" s="7">
        <f>[3]AWMD_Updated!AI58</f>
        <v>11.431690392</v>
      </c>
      <c r="D58" s="7">
        <f>[3]AWMD_Updated!T58</f>
        <v>47.308976460958007</v>
      </c>
    </row>
    <row r="59" spans="1:4" x14ac:dyDescent="0.35">
      <c r="A59" s="12">
        <v>30834</v>
      </c>
      <c r="B59" s="7">
        <f>[3]AWMD_Updated!B59</f>
        <v>1617476.4568480845</v>
      </c>
      <c r="C59" s="7">
        <f>[3]AWMD_Updated!AI59</f>
        <v>10.857933396</v>
      </c>
      <c r="D59" s="7">
        <f>[3]AWMD_Updated!T59</f>
        <v>47.937613802410482</v>
      </c>
    </row>
    <row r="60" spans="1:4" x14ac:dyDescent="0.35">
      <c r="A60" s="12">
        <v>30926</v>
      </c>
      <c r="B60" s="7">
        <f>[3]AWMD_Updated!B60</f>
        <v>1634152.5776949411</v>
      </c>
      <c r="C60" s="7">
        <f>[3]AWMD_Updated!AI60</f>
        <v>10.413572545999999</v>
      </c>
      <c r="D60" s="7">
        <f>[3]AWMD_Updated!T60</f>
        <v>48.424677675799494</v>
      </c>
    </row>
    <row r="61" spans="1:4" x14ac:dyDescent="0.35">
      <c r="A61" s="12">
        <v>31017</v>
      </c>
      <c r="B61" s="7">
        <f>[3]AWMD_Updated!B61</f>
        <v>1642515.4883158489</v>
      </c>
      <c r="C61" s="7">
        <f>[3]AWMD_Updated!AI61</f>
        <v>10.128110652</v>
      </c>
      <c r="D61" s="7">
        <f>[3]AWMD_Updated!T61</f>
        <v>49.042148406359757</v>
      </c>
    </row>
    <row r="62" spans="1:4" x14ac:dyDescent="0.35">
      <c r="A62" s="12">
        <v>31107</v>
      </c>
      <c r="B62" s="7">
        <f>[3]AWMD_Updated!B62</f>
        <v>1646206.3611413599</v>
      </c>
      <c r="C62" s="7">
        <f>[3]AWMD_Updated!AI62</f>
        <v>9.8634286150000001</v>
      </c>
      <c r="D62" s="7">
        <f>[3]AWMD_Updated!T62</f>
        <v>49.862985357454754</v>
      </c>
    </row>
    <row r="63" spans="1:4" x14ac:dyDescent="0.35">
      <c r="A63" s="12">
        <v>31199</v>
      </c>
      <c r="B63" s="7">
        <f>[3]AWMD_Updated!B63</f>
        <v>1661914.2837128765</v>
      </c>
      <c r="C63" s="7">
        <f>[3]AWMD_Updated!AI63</f>
        <v>9.9615893779999993</v>
      </c>
      <c r="D63" s="7">
        <f>[3]AWMD_Updated!T63</f>
        <v>50.535071728305624</v>
      </c>
    </row>
    <row r="64" spans="1:4" x14ac:dyDescent="0.35">
      <c r="A64" s="12">
        <v>31291</v>
      </c>
      <c r="B64" s="7">
        <f>[3]AWMD_Updated!B64</f>
        <v>1675982.6719326738</v>
      </c>
      <c r="C64" s="7">
        <f>[3]AWMD_Updated!AI64</f>
        <v>9.3468044579999994</v>
      </c>
      <c r="D64" s="7">
        <f>[3]AWMD_Updated!T64</f>
        <v>50.788389569476479</v>
      </c>
    </row>
    <row r="65" spans="1:4" x14ac:dyDescent="0.35">
      <c r="A65" s="12">
        <v>31382</v>
      </c>
      <c r="B65" s="7">
        <f>[3]AWMD_Updated!B65</f>
        <v>1685974.6596246576</v>
      </c>
      <c r="C65" s="7">
        <f>[3]AWMD_Updated!AI65</f>
        <v>8.6279720340000008</v>
      </c>
      <c r="D65" s="7">
        <f>[3]AWMD_Updated!T65</f>
        <v>51.210371328714643</v>
      </c>
    </row>
    <row r="66" spans="1:4" x14ac:dyDescent="0.35">
      <c r="A66" s="12">
        <v>31472</v>
      </c>
      <c r="B66" s="7">
        <f>[3]AWMD_Updated!B66</f>
        <v>1680223.011803088</v>
      </c>
      <c r="C66" s="7">
        <f>[3]AWMD_Updated!AI66</f>
        <v>8.7486201890000004</v>
      </c>
      <c r="D66" s="7">
        <f>[3]AWMD_Updated!T66</f>
        <v>51.615763263984391</v>
      </c>
    </row>
    <row r="67" spans="1:4" x14ac:dyDescent="0.35">
      <c r="A67" s="12">
        <v>31564</v>
      </c>
      <c r="B67" s="7">
        <f>[3]AWMD_Updated!B67</f>
        <v>1711030.4031301639</v>
      </c>
      <c r="C67" s="7">
        <f>[3]AWMD_Updated!AI67</f>
        <v>8.0283936950000001</v>
      </c>
      <c r="D67" s="7">
        <f>[3]AWMD_Updated!T67</f>
        <v>51.818958008209471</v>
      </c>
    </row>
    <row r="68" spans="1:4" x14ac:dyDescent="0.35">
      <c r="A68" s="12">
        <v>31656</v>
      </c>
      <c r="B68" s="7">
        <f>[3]AWMD_Updated!B68</f>
        <v>1719722.7107344619</v>
      </c>
      <c r="C68" s="7">
        <f>[3]AWMD_Updated!AI68</f>
        <v>7.7533412579999998</v>
      </c>
      <c r="D68" s="7">
        <f>[3]AWMD_Updated!T68</f>
        <v>51.961722561768042</v>
      </c>
    </row>
    <row r="69" spans="1:4" x14ac:dyDescent="0.35">
      <c r="A69" s="12">
        <v>31747</v>
      </c>
      <c r="B69" s="7">
        <f>[3]AWMD_Updated!B69</f>
        <v>1723981.416325998</v>
      </c>
      <c r="C69" s="7">
        <f>[3]AWMD_Updated!AI69</f>
        <v>7.8747735780000001</v>
      </c>
      <c r="D69" s="7">
        <f>[3]AWMD_Updated!T69</f>
        <v>52.142784021969419</v>
      </c>
    </row>
    <row r="70" spans="1:4" x14ac:dyDescent="0.35">
      <c r="A70" s="12">
        <v>31837</v>
      </c>
      <c r="B70" s="7">
        <f>[3]AWMD_Updated!B70</f>
        <v>1715707.5697683725</v>
      </c>
      <c r="C70" s="7">
        <f>[3]AWMD_Updated!AI70</f>
        <v>8.1053529750000006</v>
      </c>
      <c r="D70" s="7">
        <f>[3]AWMD_Updated!T70</f>
        <v>52.62228656177475</v>
      </c>
    </row>
    <row r="71" spans="1:4" x14ac:dyDescent="0.35">
      <c r="A71" s="12">
        <v>31929</v>
      </c>
      <c r="B71" s="7">
        <f>[3]AWMD_Updated!B71</f>
        <v>1744612.9666438829</v>
      </c>
      <c r="C71" s="7">
        <f>[3]AWMD_Updated!AI71</f>
        <v>8.4258268600000008</v>
      </c>
      <c r="D71" s="7">
        <f>[3]AWMD_Updated!T71</f>
        <v>52.976874475133542</v>
      </c>
    </row>
    <row r="72" spans="1:4" x14ac:dyDescent="0.35">
      <c r="A72" s="12">
        <v>32021</v>
      </c>
      <c r="B72" s="7">
        <f>[3]AWMD_Updated!B72</f>
        <v>1763348.5035073687</v>
      </c>
      <c r="C72" s="7">
        <f>[3]AWMD_Updated!AI72</f>
        <v>8.4902365050000004</v>
      </c>
      <c r="D72" s="7">
        <f>[3]AWMD_Updated!T72</f>
        <v>53.247482987755426</v>
      </c>
    </row>
    <row r="73" spans="1:4" x14ac:dyDescent="0.35">
      <c r="A73" s="12">
        <v>32112</v>
      </c>
      <c r="B73" s="7">
        <f>[3]AWMD_Updated!B73</f>
        <v>1785825.6936798852</v>
      </c>
      <c r="C73" s="7">
        <f>[3]AWMD_Updated!AI73</f>
        <v>8.4260121350000006</v>
      </c>
      <c r="D73" s="7">
        <f>[3]AWMD_Updated!T73</f>
        <v>53.521775755881194</v>
      </c>
    </row>
    <row r="74" spans="1:4" x14ac:dyDescent="0.35">
      <c r="A74" s="12">
        <v>32203</v>
      </c>
      <c r="B74" s="7">
        <f>[3]AWMD_Updated!B74</f>
        <v>1795687.0453779509</v>
      </c>
      <c r="C74" s="7">
        <f>[3]AWMD_Updated!AI74</f>
        <v>7.4535991590000004</v>
      </c>
      <c r="D74" s="7">
        <f>[3]AWMD_Updated!T74</f>
        <v>53.896274160989229</v>
      </c>
    </row>
    <row r="75" spans="1:4" x14ac:dyDescent="0.35">
      <c r="A75" s="12">
        <v>32295</v>
      </c>
      <c r="B75" s="7">
        <f>[3]AWMD_Updated!B75</f>
        <v>1812194.2820054181</v>
      </c>
      <c r="C75" s="7">
        <f>[3]AWMD_Updated!AI75</f>
        <v>7.2598364330000003</v>
      </c>
      <c r="D75" s="7">
        <f>[3]AWMD_Updated!T75</f>
        <v>54.285819812305753</v>
      </c>
    </row>
    <row r="76" spans="1:4" x14ac:dyDescent="0.35">
      <c r="A76" s="12">
        <v>32387</v>
      </c>
      <c r="B76" s="7">
        <f>[3]AWMD_Updated!B76</f>
        <v>1834640.1861029626</v>
      </c>
      <c r="C76" s="7">
        <f>[3]AWMD_Updated!AI76</f>
        <v>7.9743925070000001</v>
      </c>
      <c r="D76" s="7">
        <f>[3]AWMD_Updated!T76</f>
        <v>54.701297557981071</v>
      </c>
    </row>
    <row r="77" spans="1:4" x14ac:dyDescent="0.35">
      <c r="A77" s="12">
        <v>32478</v>
      </c>
      <c r="B77" s="7">
        <f>[3]AWMD_Updated!B77</f>
        <v>1851607.7632941313</v>
      </c>
      <c r="C77" s="7">
        <f>[3]AWMD_Updated!AI77</f>
        <v>8.4754225069999993</v>
      </c>
      <c r="D77" s="7">
        <f>[3]AWMD_Updated!T77</f>
        <v>55.123778804616045</v>
      </c>
    </row>
    <row r="78" spans="1:4" x14ac:dyDescent="0.35">
      <c r="A78" s="12">
        <v>32568</v>
      </c>
      <c r="B78" s="7">
        <f>[3]AWMD_Updated!B78</f>
        <v>1873357.2754911156</v>
      </c>
      <c r="C78" s="7">
        <f>[3]AWMD_Updated!AI78</f>
        <v>9.5159466239999997</v>
      </c>
      <c r="D78" s="7">
        <f>[3]AWMD_Updated!T78</f>
        <v>55.831041350665849</v>
      </c>
    </row>
    <row r="79" spans="1:4" x14ac:dyDescent="0.35">
      <c r="A79" s="12">
        <v>32660</v>
      </c>
      <c r="B79" s="7">
        <f>[3]AWMD_Updated!B79</f>
        <v>1891166.507143354</v>
      </c>
      <c r="C79" s="7">
        <f>[3]AWMD_Updated!AI79</f>
        <v>9.6913450809999997</v>
      </c>
      <c r="D79" s="7">
        <f>[3]AWMD_Updated!T79</f>
        <v>56.474651228530455</v>
      </c>
    </row>
    <row r="80" spans="1:4" x14ac:dyDescent="0.35">
      <c r="A80" s="12">
        <v>32752</v>
      </c>
      <c r="B80" s="7">
        <f>[3]AWMD_Updated!B80</f>
        <v>1902475.2923999787</v>
      </c>
      <c r="C80" s="7">
        <f>[3]AWMD_Updated!AI80</f>
        <v>10.102045947000001</v>
      </c>
      <c r="D80" s="7">
        <f>[3]AWMD_Updated!T80</f>
        <v>56.86923800643153</v>
      </c>
    </row>
    <row r="81" spans="1:4" x14ac:dyDescent="0.35">
      <c r="A81" s="12">
        <v>32843</v>
      </c>
      <c r="B81" s="7">
        <f>[3]AWMD_Updated!B81</f>
        <v>1922300.012152707</v>
      </c>
      <c r="C81" s="7">
        <f>[3]AWMD_Updated!AI81</f>
        <v>11.071902127</v>
      </c>
      <c r="D81" s="7">
        <f>[3]AWMD_Updated!T81</f>
        <v>57.38760880328703</v>
      </c>
    </row>
    <row r="82" spans="1:4" x14ac:dyDescent="0.35">
      <c r="A82" s="12">
        <v>32933</v>
      </c>
      <c r="B82" s="7">
        <f>[3]AWMD_Updated!B82</f>
        <v>1948361.0169630887</v>
      </c>
      <c r="C82" s="7">
        <f>[3]AWMD_Updated!AI82</f>
        <v>11.225662452</v>
      </c>
      <c r="D82" s="7">
        <f>[3]AWMD_Updated!T82</f>
        <v>58.106758019778439</v>
      </c>
    </row>
    <row r="83" spans="1:4" x14ac:dyDescent="0.35">
      <c r="A83" s="12">
        <v>33025</v>
      </c>
      <c r="B83" s="7">
        <f>[3]AWMD_Updated!B83</f>
        <v>1957258.1590514842</v>
      </c>
      <c r="C83" s="7">
        <f>[3]AWMD_Updated!AI83</f>
        <v>10.618018136</v>
      </c>
      <c r="D83" s="7">
        <f>[3]AWMD_Updated!T83</f>
        <v>58.605873635184572</v>
      </c>
    </row>
    <row r="84" spans="1:4" x14ac:dyDescent="0.35">
      <c r="A84" s="12">
        <v>33117</v>
      </c>
      <c r="B84" s="7">
        <f>[3]AWMD_Updated!B84</f>
        <v>1975410.7593247055</v>
      </c>
      <c r="C84" s="7">
        <f>[3]AWMD_Updated!AI84</f>
        <v>10.536336843999999</v>
      </c>
      <c r="D84" s="7">
        <f>[3]AWMD_Updated!T84</f>
        <v>59.146729876778643</v>
      </c>
    </row>
    <row r="85" spans="1:4" x14ac:dyDescent="0.35">
      <c r="A85" s="12">
        <v>33208</v>
      </c>
      <c r="B85" s="7">
        <f>[3]AWMD_Updated!B85</f>
        <v>1986588.9426843303</v>
      </c>
      <c r="C85" s="7">
        <f>[3]AWMD_Updated!AI85</f>
        <v>11.046291095999999</v>
      </c>
      <c r="D85" s="7">
        <f>[3]AWMD_Updated!T85</f>
        <v>59.910068168803988</v>
      </c>
    </row>
    <row r="86" spans="1:4" x14ac:dyDescent="0.35">
      <c r="A86" s="12">
        <v>33298</v>
      </c>
      <c r="B86" s="7">
        <f>[3]AWMD_Updated!B86</f>
        <v>2000317.4698859446</v>
      </c>
      <c r="C86" s="7">
        <f>[3]AWMD_Updated!AI86</f>
        <v>11.096522687</v>
      </c>
      <c r="D86" s="7">
        <f>[3]AWMD_Updated!T86</f>
        <v>60.523557385036177</v>
      </c>
    </row>
    <row r="87" spans="1:4" x14ac:dyDescent="0.35">
      <c r="A87" s="12">
        <v>33390</v>
      </c>
      <c r="B87" s="7">
        <f>[3]AWMD_Updated!B87</f>
        <v>2006259.1778595182</v>
      </c>
      <c r="C87" s="7">
        <f>[3]AWMD_Updated!AI87</f>
        <v>10.461557802</v>
      </c>
      <c r="D87" s="7">
        <f>[3]AWMD_Updated!T87</f>
        <v>61.11965386838213</v>
      </c>
    </row>
    <row r="88" spans="1:4" x14ac:dyDescent="0.35">
      <c r="A88" s="12">
        <v>33482</v>
      </c>
      <c r="B88" s="7">
        <f>[3]AWMD_Updated!B88</f>
        <v>2005704.9115983665</v>
      </c>
      <c r="C88" s="7">
        <f>[3]AWMD_Updated!AI88</f>
        <v>10.505995789</v>
      </c>
      <c r="D88" s="7">
        <f>[3]AWMD_Updated!T88</f>
        <v>61.901553573253409</v>
      </c>
    </row>
    <row r="89" spans="1:4" x14ac:dyDescent="0.35">
      <c r="A89" s="12">
        <v>33573</v>
      </c>
      <c r="B89" s="7">
        <f>[3]AWMD_Updated!B89</f>
        <v>2024779.1889547959</v>
      </c>
      <c r="C89" s="7">
        <f>[3]AWMD_Updated!AI89</f>
        <v>10.732214710999999</v>
      </c>
      <c r="D89" s="7">
        <f>[3]AWMD_Updated!T89</f>
        <v>62.399618272660952</v>
      </c>
    </row>
    <row r="90" spans="1:4" x14ac:dyDescent="0.35">
      <c r="A90" s="12">
        <v>33664</v>
      </c>
      <c r="B90" s="7">
        <f>[3]AWMD_Updated!B90</f>
        <v>2055344.3135814895</v>
      </c>
      <c r="C90" s="7">
        <f>[3]AWMD_Updated!AI90</f>
        <v>10.849247498</v>
      </c>
      <c r="D90" s="7">
        <f>[3]AWMD_Updated!T90</f>
        <v>63.063435411329401</v>
      </c>
    </row>
    <row r="91" spans="1:4" x14ac:dyDescent="0.35">
      <c r="A91" s="12">
        <v>33756</v>
      </c>
      <c r="B91" s="7">
        <f>[3]AWMD_Updated!B91</f>
        <v>2039655.3510260149</v>
      </c>
      <c r="C91" s="7">
        <f>[3]AWMD_Updated!AI91</f>
        <v>10.979088303999999</v>
      </c>
      <c r="D91" s="7">
        <f>[3]AWMD_Updated!T91</f>
        <v>63.705368091710504</v>
      </c>
    </row>
    <row r="92" spans="1:4" x14ac:dyDescent="0.35">
      <c r="A92" s="12">
        <v>33848</v>
      </c>
      <c r="B92" s="7">
        <f>[3]AWMD_Updated!B92</f>
        <v>2033943.7300427046</v>
      </c>
      <c r="C92" s="7">
        <f>[3]AWMD_Updated!AI92</f>
        <v>11.928408989999999</v>
      </c>
      <c r="D92" s="7">
        <f>[3]AWMD_Updated!T92</f>
        <v>64.012141409365924</v>
      </c>
    </row>
    <row r="93" spans="1:4" x14ac:dyDescent="0.35">
      <c r="A93" s="12">
        <v>33939</v>
      </c>
      <c r="B93" s="7">
        <f>[3]AWMD_Updated!B93</f>
        <v>2029876.685304441</v>
      </c>
      <c r="C93" s="7">
        <f>[3]AWMD_Updated!AI93</f>
        <v>11.451664051</v>
      </c>
      <c r="D93" s="7">
        <f>[3]AWMD_Updated!T93</f>
        <v>64.439827404072773</v>
      </c>
    </row>
    <row r="94" spans="1:4" x14ac:dyDescent="0.35">
      <c r="A94" s="12">
        <v>34029</v>
      </c>
      <c r="B94" s="7">
        <f>[3]AWMD_Updated!B94</f>
        <v>2016046.0452915577</v>
      </c>
      <c r="C94" s="7">
        <f>[3]AWMD_Updated!AI94</f>
        <v>10.706122967000001</v>
      </c>
      <c r="D94" s="7">
        <f>[3]AWMD_Updated!T94</f>
        <v>65.221967723920869</v>
      </c>
    </row>
    <row r="95" spans="1:4" x14ac:dyDescent="0.35">
      <c r="A95" s="12">
        <v>34121</v>
      </c>
      <c r="B95" s="7">
        <f>[3]AWMD_Updated!B95</f>
        <v>2017541.4852718085</v>
      </c>
      <c r="C95" s="7">
        <f>[3]AWMD_Updated!AI95</f>
        <v>9.0912239360000004</v>
      </c>
      <c r="D95" s="7">
        <f>[3]AWMD_Updated!T95</f>
        <v>65.815692465948672</v>
      </c>
    </row>
    <row r="96" spans="1:4" x14ac:dyDescent="0.35">
      <c r="A96" s="12">
        <v>34213</v>
      </c>
      <c r="B96" s="7">
        <f>[3]AWMD_Updated!B96</f>
        <v>2025906.4458409215</v>
      </c>
      <c r="C96" s="7">
        <f>[3]AWMD_Updated!AI96</f>
        <v>8.1200998729999991</v>
      </c>
      <c r="D96" s="7">
        <f>[3]AWMD_Updated!T96</f>
        <v>66.241831670734655</v>
      </c>
    </row>
    <row r="97" spans="1:4" x14ac:dyDescent="0.35">
      <c r="A97" s="12">
        <v>34304</v>
      </c>
      <c r="B97" s="7">
        <f>[3]AWMD_Updated!B97</f>
        <v>2031211.4470334593</v>
      </c>
      <c r="C97" s="7">
        <f>[3]AWMD_Updated!AI97</f>
        <v>7.4121285769999998</v>
      </c>
      <c r="D97" s="7">
        <f>[3]AWMD_Updated!T97</f>
        <v>66.574390403160805</v>
      </c>
    </row>
    <row r="98" spans="1:4" x14ac:dyDescent="0.35">
      <c r="A98" s="12">
        <v>34394</v>
      </c>
      <c r="B98" s="7">
        <f>[3]AWMD_Updated!B98</f>
        <v>2050032.9768420418</v>
      </c>
      <c r="C98" s="7">
        <f>[3]AWMD_Updated!AI98</f>
        <v>6.84</v>
      </c>
      <c r="D98" s="7">
        <f>[3]AWMD_Updated!T98</f>
        <v>67.214226522974784</v>
      </c>
    </row>
    <row r="99" spans="1:4" x14ac:dyDescent="0.35">
      <c r="A99" s="12">
        <v>34486</v>
      </c>
      <c r="B99" s="7">
        <f>[3]AWMD_Updated!B99</f>
        <v>2062801.142504019</v>
      </c>
      <c r="C99" s="7">
        <f>[3]AWMD_Updated!AI99</f>
        <v>6.37</v>
      </c>
      <c r="D99" s="7">
        <f>[3]AWMD_Updated!T99</f>
        <v>67.68988568981834</v>
      </c>
    </row>
    <row r="100" spans="1:4" x14ac:dyDescent="0.35">
      <c r="A100" s="12">
        <v>34578</v>
      </c>
      <c r="B100" s="7">
        <f>[3]AWMD_Updated!B100</f>
        <v>2076692.6445404356</v>
      </c>
      <c r="C100" s="7">
        <f>[3]AWMD_Updated!AI100</f>
        <v>6.3833333333333329</v>
      </c>
      <c r="D100" s="7">
        <f>[3]AWMD_Updated!T100</f>
        <v>68.067811107490812</v>
      </c>
    </row>
    <row r="101" spans="1:4" x14ac:dyDescent="0.35">
      <c r="A101" s="12">
        <v>34669</v>
      </c>
      <c r="B101" s="7">
        <f>[3]AWMD_Updated!B101</f>
        <v>2093169.7083564659</v>
      </c>
      <c r="C101" s="7">
        <f>[3]AWMD_Updated!AI101</f>
        <v>6.5066666666666668</v>
      </c>
      <c r="D101" s="7">
        <f>[3]AWMD_Updated!T101</f>
        <v>68.353966289649279</v>
      </c>
    </row>
    <row r="102" spans="1:4" x14ac:dyDescent="0.35">
      <c r="A102" s="12">
        <v>34759</v>
      </c>
      <c r="B102" s="7">
        <f>[3]AWMD_Updated!B102</f>
        <v>2104539.6</v>
      </c>
      <c r="C102" s="7">
        <f>[3]AWMD_Updated!AI102</f>
        <v>6.9433333333333325</v>
      </c>
      <c r="D102" s="7">
        <f>[3]AWMD_Updated!T102</f>
        <v>68.946384864563669</v>
      </c>
    </row>
    <row r="103" spans="1:4" x14ac:dyDescent="0.35">
      <c r="A103" s="12">
        <v>34851</v>
      </c>
      <c r="B103" s="7">
        <f>[3]AWMD_Updated!B103</f>
        <v>2121359.7999999998</v>
      </c>
      <c r="C103" s="7">
        <f>[3]AWMD_Updated!AI103</f>
        <v>7.1366666666666667</v>
      </c>
      <c r="D103" s="7">
        <f>[3]AWMD_Updated!T103</f>
        <v>69.515172581683231</v>
      </c>
    </row>
    <row r="104" spans="1:4" x14ac:dyDescent="0.35">
      <c r="A104" s="12">
        <v>34943</v>
      </c>
      <c r="B104" s="7">
        <f>[3]AWMD_Updated!B104</f>
        <v>2126613.2999999998</v>
      </c>
      <c r="C104" s="7">
        <f>[3]AWMD_Updated!AI104</f>
        <v>6.6933333333333325</v>
      </c>
      <c r="D104" s="7">
        <f>[3]AWMD_Updated!T104</f>
        <v>69.801229562901455</v>
      </c>
    </row>
    <row r="105" spans="1:4" x14ac:dyDescent="0.35">
      <c r="A105" s="12">
        <v>35034</v>
      </c>
      <c r="B105" s="7">
        <f>[3]AWMD_Updated!B105</f>
        <v>2131237.4</v>
      </c>
      <c r="C105" s="7">
        <f>[3]AWMD_Updated!AI105</f>
        <v>6.5066666666666668</v>
      </c>
      <c r="D105" s="7">
        <f>[3]AWMD_Updated!T105</f>
        <v>70.083960299514644</v>
      </c>
    </row>
    <row r="106" spans="1:4" x14ac:dyDescent="0.35">
      <c r="A106" s="12">
        <v>35125</v>
      </c>
      <c r="B106" s="7">
        <f>[3]AWMD_Updated!B106</f>
        <v>2134815.9</v>
      </c>
      <c r="C106" s="7">
        <f>[3]AWMD_Updated!AI106</f>
        <v>5.63</v>
      </c>
      <c r="D106" s="7">
        <f>[3]AWMD_Updated!T106</f>
        <v>70.669379236811849</v>
      </c>
    </row>
    <row r="107" spans="1:4" x14ac:dyDescent="0.35">
      <c r="A107" s="12">
        <v>35217</v>
      </c>
      <c r="B107" s="7">
        <f>[3]AWMD_Updated!B107</f>
        <v>2151744.7000000002</v>
      </c>
      <c r="C107" s="7">
        <f>[3]AWMD_Updated!AI107</f>
        <v>5.1366666666666658</v>
      </c>
      <c r="D107" s="7">
        <f>[3]AWMD_Updated!T107</f>
        <v>71.228188222963809</v>
      </c>
    </row>
    <row r="108" spans="1:4" x14ac:dyDescent="0.35">
      <c r="A108" s="12">
        <v>35309</v>
      </c>
      <c r="B108" s="7">
        <f>[3]AWMD_Updated!B108</f>
        <v>2161793.2999999998</v>
      </c>
      <c r="C108" s="7">
        <f>[3]AWMD_Updated!AI108</f>
        <v>5</v>
      </c>
      <c r="D108" s="7">
        <f>[3]AWMD_Updated!T108</f>
        <v>71.298039346143824</v>
      </c>
    </row>
    <row r="109" spans="1:4" x14ac:dyDescent="0.35">
      <c r="A109" s="12">
        <v>35400</v>
      </c>
      <c r="B109" s="7">
        <f>[3]AWMD_Updated!B109</f>
        <v>2173813.6</v>
      </c>
      <c r="C109" s="7">
        <f>[3]AWMD_Updated!AI109</f>
        <v>4.5866666666666669</v>
      </c>
      <c r="D109" s="7">
        <f>[3]AWMD_Updated!T109</f>
        <v>71.554160131611766</v>
      </c>
    </row>
    <row r="110" spans="1:4" x14ac:dyDescent="0.35">
      <c r="A110" s="12">
        <v>35490</v>
      </c>
      <c r="B110" s="7">
        <f>[3]AWMD_Updated!B110</f>
        <v>2180287.6</v>
      </c>
      <c r="C110" s="7">
        <f>[3]AWMD_Updated!AI110</f>
        <v>4.4400000000000004</v>
      </c>
      <c r="D110" s="7">
        <f>[3]AWMD_Updated!T110</f>
        <v>72.046444237764987</v>
      </c>
    </row>
    <row r="111" spans="1:4" x14ac:dyDescent="0.35">
      <c r="A111" s="12">
        <v>35582</v>
      </c>
      <c r="B111" s="7">
        <f>[3]AWMD_Updated!B111</f>
        <v>2206551</v>
      </c>
      <c r="C111" s="7">
        <f>[3]AWMD_Updated!AI111</f>
        <v>4.3266666666666671</v>
      </c>
      <c r="D111" s="7">
        <f>[3]AWMD_Updated!T111</f>
        <v>72.2859338030553</v>
      </c>
    </row>
    <row r="112" spans="1:4" x14ac:dyDescent="0.35">
      <c r="A112" s="12">
        <v>35674</v>
      </c>
      <c r="B112" s="7">
        <f>[3]AWMD_Updated!B112</f>
        <v>2223751</v>
      </c>
      <c r="C112" s="7">
        <f>[3]AWMD_Updated!AI112</f>
        <v>4.3233333333333333</v>
      </c>
      <c r="D112" s="7">
        <f>[3]AWMD_Updated!T112</f>
        <v>72.522097124452443</v>
      </c>
    </row>
    <row r="113" spans="1:4" x14ac:dyDescent="0.35">
      <c r="A113" s="12">
        <v>35765</v>
      </c>
      <c r="B113" s="7">
        <f>[3]AWMD_Updated!B113</f>
        <v>2246964.5</v>
      </c>
      <c r="C113" s="7">
        <f>[3]AWMD_Updated!AI113</f>
        <v>4.4333333333333336</v>
      </c>
      <c r="D113" s="7">
        <f>[3]AWMD_Updated!T113</f>
        <v>72.748281714170119</v>
      </c>
    </row>
    <row r="114" spans="1:4" x14ac:dyDescent="0.35">
      <c r="A114" s="12">
        <v>35855</v>
      </c>
      <c r="B114" s="7">
        <f>[3]AWMD_Updated!B114</f>
        <v>2263049.5</v>
      </c>
      <c r="C114" s="7">
        <f>[3]AWMD_Updated!AI114</f>
        <v>4.2033333333333331</v>
      </c>
      <c r="D114" s="7">
        <f>[3]AWMD_Updated!T114</f>
        <v>72.934551375746196</v>
      </c>
    </row>
    <row r="115" spans="1:4" x14ac:dyDescent="0.35">
      <c r="A115" s="12">
        <v>35947</v>
      </c>
      <c r="B115" s="7">
        <f>[3]AWMD_Updated!B115</f>
        <v>2272064.4</v>
      </c>
      <c r="C115" s="7">
        <f>[3]AWMD_Updated!AI115</f>
        <v>4.0566666666666658</v>
      </c>
      <c r="D115" s="7">
        <f>[3]AWMD_Updated!T115</f>
        <v>73.35698435943128</v>
      </c>
    </row>
    <row r="116" spans="1:4" x14ac:dyDescent="0.35">
      <c r="A116" s="12">
        <v>36039</v>
      </c>
      <c r="B116" s="7">
        <f>[3]AWMD_Updated!B116</f>
        <v>2284156.7000000002</v>
      </c>
      <c r="C116" s="7">
        <f>[3]AWMD_Updated!AI116</f>
        <v>3.936666666666667</v>
      </c>
      <c r="D116" s="7">
        <f>[3]AWMD_Updated!T116</f>
        <v>73.436814214290763</v>
      </c>
    </row>
    <row r="117" spans="1:4" x14ac:dyDescent="0.35">
      <c r="A117" s="12">
        <v>36130</v>
      </c>
      <c r="B117" s="7">
        <f>[3]AWMD_Updated!B117</f>
        <v>2290836.5</v>
      </c>
      <c r="C117" s="7">
        <f>[3]AWMD_Updated!AI117</f>
        <v>3.6233333333333335</v>
      </c>
      <c r="D117" s="7">
        <f>[3]AWMD_Updated!T117</f>
        <v>73.426835482611295</v>
      </c>
    </row>
    <row r="118" spans="1:4" x14ac:dyDescent="0.35">
      <c r="A118" s="12">
        <v>36220</v>
      </c>
      <c r="B118" s="7">
        <f>[3]AWMD_Updated!B118</f>
        <v>2314093.9</v>
      </c>
      <c r="C118" s="7">
        <f>[3]AWMD_Updated!AI118</f>
        <v>3.0907318840579703</v>
      </c>
      <c r="D118" s="7">
        <f>[3]AWMD_Updated!T118</f>
        <v>73.593147680828437</v>
      </c>
    </row>
    <row r="119" spans="1:4" x14ac:dyDescent="0.35">
      <c r="A119" s="12">
        <v>36312</v>
      </c>
      <c r="B119" s="7">
        <f>[3]AWMD_Updated!B119</f>
        <v>2325202.2000000002</v>
      </c>
      <c r="C119" s="7">
        <f>[3]AWMD_Updated!AI119</f>
        <v>2.6340295815295813</v>
      </c>
      <c r="D119" s="7">
        <f>[3]AWMD_Updated!T119</f>
        <v>74.102063007159316</v>
      </c>
    </row>
    <row r="120" spans="1:4" x14ac:dyDescent="0.35">
      <c r="A120" s="12">
        <v>36404</v>
      </c>
      <c r="B120" s="7">
        <f>[3]AWMD_Updated!B120</f>
        <v>2355619.6</v>
      </c>
      <c r="C120" s="7">
        <f>[3]AWMD_Updated!AI120</f>
        <v>2.6993939393939397</v>
      </c>
      <c r="D120" s="7">
        <f>[3]AWMD_Updated!T120</f>
        <v>74.308290132806192</v>
      </c>
    </row>
    <row r="121" spans="1:4" x14ac:dyDescent="0.35">
      <c r="A121" s="12">
        <v>36495</v>
      </c>
      <c r="B121" s="7">
        <f>[3]AWMD_Updated!B121</f>
        <v>2380273.9</v>
      </c>
      <c r="C121" s="7">
        <f>[3]AWMD_Updated!AI121</f>
        <v>3.4297979797979798</v>
      </c>
      <c r="D121" s="7">
        <f>[3]AWMD_Updated!T121</f>
        <v>74.581042137739928</v>
      </c>
    </row>
    <row r="122" spans="1:4" x14ac:dyDescent="0.35">
      <c r="A122" s="12">
        <v>36586</v>
      </c>
      <c r="B122" s="7">
        <f>[3]AWMD_Updated!B122</f>
        <v>2411275.9</v>
      </c>
      <c r="C122" s="7">
        <f>[3]AWMD_Updated!AI122</f>
        <v>3.5423160800552114</v>
      </c>
      <c r="D122" s="7">
        <f>[3]AWMD_Updated!T122</f>
        <v>75.069999999999993</v>
      </c>
    </row>
    <row r="123" spans="1:4" x14ac:dyDescent="0.35">
      <c r="A123" s="12">
        <v>36678</v>
      </c>
      <c r="B123" s="7">
        <f>[3]AWMD_Updated!B123</f>
        <v>2432945.6</v>
      </c>
      <c r="C123" s="7">
        <f>[3]AWMD_Updated!AI123</f>
        <v>4.2630168350168347</v>
      </c>
      <c r="D123" s="7">
        <f>[3]AWMD_Updated!T123</f>
        <v>75.556666666666672</v>
      </c>
    </row>
    <row r="124" spans="1:4" x14ac:dyDescent="0.35">
      <c r="A124" s="12">
        <v>36770</v>
      </c>
      <c r="B124" s="7">
        <f>[3]AWMD_Updated!B124</f>
        <v>2449234.7000000002</v>
      </c>
      <c r="C124" s="7">
        <f>[3]AWMD_Updated!AI124</f>
        <v>4.7376004140786749</v>
      </c>
      <c r="D124" s="7">
        <f>[3]AWMD_Updated!T124</f>
        <v>75.990000000000009</v>
      </c>
    </row>
    <row r="125" spans="1:4" x14ac:dyDescent="0.35">
      <c r="A125" s="12">
        <v>36861</v>
      </c>
      <c r="B125" s="7">
        <f>[3]AWMD_Updated!B125</f>
        <v>2460438.7999999998</v>
      </c>
      <c r="C125" s="7">
        <f>[3]AWMD_Updated!AI125</f>
        <v>5.0241283891547042</v>
      </c>
      <c r="D125" s="7">
        <f>[3]AWMD_Updated!T125</f>
        <v>76.469999999999985</v>
      </c>
    </row>
    <row r="126" spans="1:4" x14ac:dyDescent="0.35">
      <c r="A126" s="12">
        <v>36951</v>
      </c>
      <c r="B126" s="7">
        <f>[3]AWMD_Updated!B126</f>
        <v>2487664.2999999998</v>
      </c>
      <c r="C126" s="7">
        <f>[3]AWMD_Updated!AI126</f>
        <v>4.7450545454545452</v>
      </c>
      <c r="D126" s="7">
        <f>[3]AWMD_Updated!T126</f>
        <v>76.69</v>
      </c>
    </row>
    <row r="127" spans="1:4" x14ac:dyDescent="0.35">
      <c r="A127" s="12">
        <v>37043</v>
      </c>
      <c r="B127" s="7">
        <f>[3]AWMD_Updated!B127</f>
        <v>2489074.7999999998</v>
      </c>
      <c r="C127" s="7">
        <f>[3]AWMD_Updated!AI127</f>
        <v>4.5907510822510824</v>
      </c>
      <c r="D127" s="7">
        <f>[3]AWMD_Updated!T127</f>
        <v>77.790000000000006</v>
      </c>
    </row>
    <row r="128" spans="1:4" x14ac:dyDescent="0.35">
      <c r="A128" s="12">
        <v>37135</v>
      </c>
      <c r="B128" s="7">
        <f>[3]AWMD_Updated!B128</f>
        <v>2494098.5</v>
      </c>
      <c r="C128" s="7">
        <f>[3]AWMD_Updated!AI128</f>
        <v>4.2678360342555983</v>
      </c>
      <c r="D128" s="7">
        <f>[3]AWMD_Updated!T128</f>
        <v>77.839999999999989</v>
      </c>
    </row>
    <row r="129" spans="1:4" x14ac:dyDescent="0.35">
      <c r="A129" s="12">
        <v>37226</v>
      </c>
      <c r="B129" s="7">
        <f>[3]AWMD_Updated!B129</f>
        <v>2493173.7000000002</v>
      </c>
      <c r="C129" s="7">
        <f>[3]AWMD_Updated!AI129</f>
        <v>3.4434800907626997</v>
      </c>
      <c r="D129" s="7">
        <f>[3]AWMD_Updated!T129</f>
        <v>78.11</v>
      </c>
    </row>
    <row r="130" spans="1:4" x14ac:dyDescent="0.35">
      <c r="A130" s="12">
        <v>37316</v>
      </c>
      <c r="B130" s="7">
        <f>[3]AWMD_Updated!B130</f>
        <v>2498164.9</v>
      </c>
      <c r="C130" s="7">
        <f>[3]AWMD_Updated!AI130</f>
        <v>3.3622242424242419</v>
      </c>
      <c r="D130" s="7">
        <f>[3]AWMD_Updated!T130</f>
        <v>78.653333333333322</v>
      </c>
    </row>
    <row r="131" spans="1:4" x14ac:dyDescent="0.35">
      <c r="A131" s="12">
        <v>37408</v>
      </c>
      <c r="B131" s="7">
        <f>[3]AWMD_Updated!B131</f>
        <v>2510333.2000000002</v>
      </c>
      <c r="C131" s="7">
        <f>[3]AWMD_Updated!AI131</f>
        <v>3.4460137085137088</v>
      </c>
      <c r="D131" s="7">
        <f>[3]AWMD_Updated!T131</f>
        <v>79.433333333333323</v>
      </c>
    </row>
    <row r="132" spans="1:4" x14ac:dyDescent="0.35">
      <c r="A132" s="12">
        <v>37500</v>
      </c>
      <c r="B132" s="7">
        <f>[3]AWMD_Updated!B132</f>
        <v>2521538.2999999998</v>
      </c>
      <c r="C132" s="7">
        <f>[3]AWMD_Updated!AI132</f>
        <v>3.3573506493506495</v>
      </c>
      <c r="D132" s="7">
        <f>[3]AWMD_Updated!T132</f>
        <v>79.48</v>
      </c>
    </row>
    <row r="133" spans="1:4" x14ac:dyDescent="0.35">
      <c r="A133" s="12">
        <v>37591</v>
      </c>
      <c r="B133" s="7">
        <f>[3]AWMD_Updated!B133</f>
        <v>2526452.4</v>
      </c>
      <c r="C133" s="7">
        <f>[3]AWMD_Updated!AI133</f>
        <v>3.1088179089026919</v>
      </c>
      <c r="D133" s="7">
        <f>[3]AWMD_Updated!T133</f>
        <v>79.906666666666652</v>
      </c>
    </row>
    <row r="134" spans="1:4" x14ac:dyDescent="0.35">
      <c r="A134" s="12">
        <v>37681</v>
      </c>
      <c r="B134" s="7">
        <f>[3]AWMD_Updated!B134</f>
        <v>2519758.1</v>
      </c>
      <c r="C134" s="7">
        <f>[3]AWMD_Updated!AI134</f>
        <v>2.6830735209235215</v>
      </c>
      <c r="D134" s="7">
        <f>[3]AWMD_Updated!T134</f>
        <v>80.476666666666674</v>
      </c>
    </row>
    <row r="135" spans="1:4" x14ac:dyDescent="0.35">
      <c r="A135" s="12">
        <v>37773</v>
      </c>
      <c r="B135" s="7">
        <f>[3]AWMD_Updated!B135</f>
        <v>2520802.4</v>
      </c>
      <c r="C135" s="7">
        <f>[3]AWMD_Updated!AI135</f>
        <v>2.3619103174603175</v>
      </c>
      <c r="D135" s="7">
        <f>[3]AWMD_Updated!T135</f>
        <v>81.02</v>
      </c>
    </row>
    <row r="136" spans="1:4" x14ac:dyDescent="0.35">
      <c r="A136" s="12">
        <v>37865</v>
      </c>
      <c r="B136" s="7">
        <f>[3]AWMD_Updated!B136</f>
        <v>2536983.2999999998</v>
      </c>
      <c r="C136" s="7">
        <f>[3]AWMD_Updated!AI136</f>
        <v>2.1392634105025414</v>
      </c>
      <c r="D136" s="7">
        <f>[3]AWMD_Updated!T136</f>
        <v>81.126666666666665</v>
      </c>
    </row>
    <row r="137" spans="1:4" x14ac:dyDescent="0.35">
      <c r="A137" s="12">
        <v>37956</v>
      </c>
      <c r="B137" s="7">
        <f>[3]AWMD_Updated!B137</f>
        <v>2552665.6</v>
      </c>
      <c r="C137" s="7">
        <f>[3]AWMD_Updated!AI137</f>
        <v>2.1496495169082128</v>
      </c>
      <c r="D137" s="7">
        <f>[3]AWMD_Updated!T137</f>
        <v>81.583333333333329</v>
      </c>
    </row>
    <row r="138" spans="1:4" x14ac:dyDescent="0.35">
      <c r="A138" s="12">
        <v>38047</v>
      </c>
      <c r="B138" s="7">
        <f>[3]AWMD_Updated!B138</f>
        <v>2567036.1</v>
      </c>
      <c r="C138" s="7">
        <f>[3]AWMD_Updated!AI138</f>
        <v>2.062950759144238</v>
      </c>
      <c r="D138" s="7">
        <f>[3]AWMD_Updated!T138</f>
        <v>81.88</v>
      </c>
    </row>
    <row r="139" spans="1:4" x14ac:dyDescent="0.35">
      <c r="A139" s="12">
        <v>38139</v>
      </c>
      <c r="B139" s="7">
        <f>[3]AWMD_Updated!B139</f>
        <v>2582706.6</v>
      </c>
      <c r="C139" s="7">
        <f>[3]AWMD_Updated!AI139</f>
        <v>2.0824296536796543</v>
      </c>
      <c r="D139" s="7">
        <f>[3]AWMD_Updated!T139</f>
        <v>82.903333333333322</v>
      </c>
    </row>
    <row r="140" spans="1:4" x14ac:dyDescent="0.35">
      <c r="A140" s="12">
        <v>38231</v>
      </c>
      <c r="B140" s="7">
        <f>[3]AWMD_Updated!B140</f>
        <v>2588725.4</v>
      </c>
      <c r="C140" s="7">
        <f>[3]AWMD_Updated!AI140</f>
        <v>2.1163030303030301</v>
      </c>
      <c r="D140" s="7">
        <f>[3]AWMD_Updated!T140</f>
        <v>82.990000000000009</v>
      </c>
    </row>
    <row r="141" spans="1:4" x14ac:dyDescent="0.35">
      <c r="A141" s="12">
        <v>38322</v>
      </c>
      <c r="B141" s="7">
        <f>[3]AWMD_Updated!B141</f>
        <v>2599850.4</v>
      </c>
      <c r="C141" s="7">
        <f>[3]AWMD_Updated!AI141</f>
        <v>2.1636084760649976</v>
      </c>
      <c r="D141" s="7">
        <f>[3]AWMD_Updated!T141</f>
        <v>83.493333333333339</v>
      </c>
    </row>
    <row r="142" spans="1:4" x14ac:dyDescent="0.35">
      <c r="A142" s="12">
        <v>38412</v>
      </c>
      <c r="B142" s="7">
        <f>[3]AWMD_Updated!B142</f>
        <v>2606660.5</v>
      </c>
      <c r="C142" s="7">
        <f>[3]AWMD_Updated!AI142</f>
        <v>2.1403230158730158</v>
      </c>
      <c r="D142" s="7">
        <f>[3]AWMD_Updated!T142</f>
        <v>83.576666666666668</v>
      </c>
    </row>
    <row r="143" spans="1:4" x14ac:dyDescent="0.35">
      <c r="A143" s="12">
        <v>38504</v>
      </c>
      <c r="B143" s="7">
        <f>[3]AWMD_Updated!B143</f>
        <v>2622986.9</v>
      </c>
      <c r="C143" s="7">
        <f>[3]AWMD_Updated!AI143</f>
        <v>2.1246399711399708</v>
      </c>
      <c r="D143" s="7">
        <f>[3]AWMD_Updated!T143</f>
        <v>84.6</v>
      </c>
    </row>
    <row r="144" spans="1:4" x14ac:dyDescent="0.35">
      <c r="A144" s="12">
        <v>38596</v>
      </c>
      <c r="B144" s="7">
        <f>[3]AWMD_Updated!B144</f>
        <v>2642982.5</v>
      </c>
      <c r="C144" s="7">
        <f>[3]AWMD_Updated!AI144</f>
        <v>2.130347731978167</v>
      </c>
      <c r="D144" s="7">
        <f>[3]AWMD_Updated!T144</f>
        <v>84.909999999999982</v>
      </c>
    </row>
    <row r="145" spans="1:4" x14ac:dyDescent="0.35">
      <c r="A145" s="12">
        <v>38687</v>
      </c>
      <c r="B145" s="7">
        <f>[3]AWMD_Updated!B145</f>
        <v>2661132</v>
      </c>
      <c r="C145" s="7">
        <f>[3]AWMD_Updated!AI145</f>
        <v>2.3434466089466088</v>
      </c>
      <c r="D145" s="7">
        <f>[3]AWMD_Updated!T145</f>
        <v>85.463333333333324</v>
      </c>
    </row>
    <row r="146" spans="1:4" x14ac:dyDescent="0.35">
      <c r="A146" s="12">
        <v>38777</v>
      </c>
      <c r="B146" s="7">
        <f>[3]AWMD_Updated!B146</f>
        <v>2685738.1</v>
      </c>
      <c r="C146" s="7">
        <f>[3]AWMD_Updated!AI146</f>
        <v>2.611546837944664</v>
      </c>
      <c r="D146" s="7">
        <f>[3]AWMD_Updated!T146</f>
        <v>85.543333333333337</v>
      </c>
    </row>
    <row r="147" spans="1:4" x14ac:dyDescent="0.35">
      <c r="A147" s="12">
        <v>38869</v>
      </c>
      <c r="B147" s="7">
        <f>[3]AWMD_Updated!B147</f>
        <v>2715507.2</v>
      </c>
      <c r="C147" s="7">
        <f>[3]AWMD_Updated!AI147</f>
        <v>2.889486531986531</v>
      </c>
      <c r="D147" s="7">
        <f>[3]AWMD_Updated!T147</f>
        <v>86.706666666666663</v>
      </c>
    </row>
    <row r="148" spans="1:4" x14ac:dyDescent="0.35">
      <c r="A148" s="12">
        <v>38961</v>
      </c>
      <c r="B148" s="7">
        <f>[3]AWMD_Updated!B148</f>
        <v>2730891.1</v>
      </c>
      <c r="C148" s="7">
        <f>[3]AWMD_Updated!AI148</f>
        <v>3.2213498964803313</v>
      </c>
      <c r="D148" s="7">
        <f>[3]AWMD_Updated!T148</f>
        <v>86.776666666666657</v>
      </c>
    </row>
    <row r="149" spans="1:4" x14ac:dyDescent="0.35">
      <c r="A149" s="12">
        <v>39052</v>
      </c>
      <c r="B149" s="7">
        <f>[3]AWMD_Updated!B149</f>
        <v>2762384.4</v>
      </c>
      <c r="C149" s="7">
        <f>[3]AWMD_Updated!AI149</f>
        <v>3.5944641148325354</v>
      </c>
      <c r="D149" s="7">
        <f>[3]AWMD_Updated!T149</f>
        <v>87.006666666666661</v>
      </c>
    </row>
    <row r="150" spans="1:4" x14ac:dyDescent="0.35">
      <c r="A150" s="12">
        <v>39142</v>
      </c>
      <c r="B150" s="7">
        <f>[3]AWMD_Updated!B150</f>
        <v>2781873.5</v>
      </c>
      <c r="C150" s="7">
        <f>[3]AWMD_Updated!AI150</f>
        <v>3.8203242424242436</v>
      </c>
      <c r="D150" s="7">
        <f>[3]AWMD_Updated!T150</f>
        <v>87.17</v>
      </c>
    </row>
    <row r="151" spans="1:4" x14ac:dyDescent="0.35">
      <c r="A151" s="12">
        <v>39234</v>
      </c>
      <c r="B151" s="7">
        <f>[3]AWMD_Updated!B151</f>
        <v>2800380.6</v>
      </c>
      <c r="C151" s="7">
        <f>[3]AWMD_Updated!AI151</f>
        <v>4.0647962330067591</v>
      </c>
      <c r="D151" s="7">
        <f>[3]AWMD_Updated!T151</f>
        <v>88.366666666666674</v>
      </c>
    </row>
    <row r="152" spans="1:4" x14ac:dyDescent="0.35">
      <c r="A152" s="12">
        <v>39326</v>
      </c>
      <c r="B152" s="7">
        <f>[3]AWMD_Updated!B152</f>
        <v>2811500.2</v>
      </c>
      <c r="C152" s="7">
        <f>[3]AWMD_Updated!AI152</f>
        <v>4.5004968379446639</v>
      </c>
      <c r="D152" s="7">
        <f>[3]AWMD_Updated!T152</f>
        <v>88.44</v>
      </c>
    </row>
    <row r="153" spans="1:4" x14ac:dyDescent="0.35">
      <c r="A153" s="12">
        <v>39417</v>
      </c>
      <c r="B153" s="7">
        <f>[3]AWMD_Updated!B153</f>
        <v>2825295.4</v>
      </c>
      <c r="C153" s="7">
        <f>[3]AWMD_Updated!AI153</f>
        <v>4.724768393315304</v>
      </c>
      <c r="D153" s="7">
        <f>[3]AWMD_Updated!T153</f>
        <v>89.570000000000007</v>
      </c>
    </row>
    <row r="154" spans="1:4" x14ac:dyDescent="0.35">
      <c r="A154" s="12">
        <v>39508</v>
      </c>
      <c r="B154" s="7">
        <f>[3]AWMD_Updated!B154</f>
        <v>2843248.4</v>
      </c>
      <c r="C154" s="7">
        <f>[3]AWMD_Updated!AI154</f>
        <v>4.4800030378977738</v>
      </c>
      <c r="D154" s="7">
        <f>[3]AWMD_Updated!T154</f>
        <v>90.15666666666668</v>
      </c>
    </row>
    <row r="155" spans="1:4" x14ac:dyDescent="0.35">
      <c r="A155" s="12">
        <v>39600</v>
      </c>
      <c r="B155" s="7">
        <f>[3]AWMD_Updated!B155</f>
        <v>2829514.7</v>
      </c>
      <c r="C155" s="7">
        <f>[3]AWMD_Updated!AI155</f>
        <v>4.8604682539682544</v>
      </c>
      <c r="D155" s="7">
        <f>[3]AWMD_Updated!T155</f>
        <v>91.653333333333322</v>
      </c>
    </row>
    <row r="156" spans="1:4" x14ac:dyDescent="0.35">
      <c r="A156" s="12">
        <v>39692</v>
      </c>
      <c r="B156" s="7">
        <f>[3]AWMD_Updated!B156</f>
        <v>2814214.3</v>
      </c>
      <c r="C156" s="7">
        <f>[3]AWMD_Updated!AI156</f>
        <v>4.9817907647907642</v>
      </c>
      <c r="D156" s="7">
        <f>[3]AWMD_Updated!T156</f>
        <v>91.92</v>
      </c>
    </row>
    <row r="157" spans="1:4" x14ac:dyDescent="0.35">
      <c r="A157" s="12">
        <v>39783</v>
      </c>
      <c r="B157" s="7">
        <f>[3]AWMD_Updated!B157</f>
        <v>2766761.1</v>
      </c>
      <c r="C157" s="7">
        <f>[3]AWMD_Updated!AI157</f>
        <v>4.2146686680469294</v>
      </c>
      <c r="D157" s="7">
        <f>[3]AWMD_Updated!T157</f>
        <v>91.686666666666667</v>
      </c>
    </row>
    <row r="158" spans="1:4" x14ac:dyDescent="0.35">
      <c r="A158" s="12">
        <v>39873</v>
      </c>
      <c r="B158" s="7">
        <f>[3]AWMD_Updated!B158</f>
        <v>2681070.6</v>
      </c>
      <c r="C158" s="7">
        <f>[3]AWMD_Updated!AI158</f>
        <v>2.0116761183261183</v>
      </c>
      <c r="D158" s="7">
        <f>[3]AWMD_Updated!T158</f>
        <v>91.089999999999989</v>
      </c>
    </row>
    <row r="159" spans="1:4" x14ac:dyDescent="0.35">
      <c r="A159" s="12">
        <v>39965</v>
      </c>
      <c r="B159" s="7">
        <f>[3]AWMD_Updated!B159</f>
        <v>2681074.1</v>
      </c>
      <c r="C159" s="7">
        <f>[3]AWMD_Updated!AI159</f>
        <v>1.3106363636363636</v>
      </c>
      <c r="D159" s="7">
        <f>[3]AWMD_Updated!T159</f>
        <v>91.853333333333339</v>
      </c>
    </row>
    <row r="160" spans="1:4" x14ac:dyDescent="0.35">
      <c r="A160" s="12">
        <v>40057</v>
      </c>
      <c r="B160" s="7">
        <f>[3]AWMD_Updated!B160</f>
        <v>2690579.9</v>
      </c>
      <c r="C160" s="7">
        <f>[3]AWMD_Updated!AI160</f>
        <v>0.8691745404354102</v>
      </c>
      <c r="D160" s="7">
        <f>[3]AWMD_Updated!T160</f>
        <v>91.59666666666665</v>
      </c>
    </row>
    <row r="161" spans="1:4" x14ac:dyDescent="0.35">
      <c r="A161" s="12">
        <v>40148</v>
      </c>
      <c r="B161" s="7">
        <f>[3]AWMD_Updated!B161</f>
        <v>2702962.7</v>
      </c>
      <c r="C161" s="7">
        <f>[3]AWMD_Updated!AI161</f>
        <v>0.72191197691197695</v>
      </c>
      <c r="D161" s="7">
        <f>[3]AWMD_Updated!T161</f>
        <v>92.08</v>
      </c>
    </row>
    <row r="162" spans="1:4" x14ac:dyDescent="0.35">
      <c r="A162" s="12">
        <v>40238</v>
      </c>
      <c r="B162" s="7">
        <f>[3]AWMD_Updated!B162</f>
        <v>2713589.5</v>
      </c>
      <c r="C162" s="7">
        <f>[3]AWMD_Updated!AI162</f>
        <v>0.66213550724637671</v>
      </c>
      <c r="D162" s="7">
        <f>[3]AWMD_Updated!T162</f>
        <v>92.09333333333332</v>
      </c>
    </row>
    <row r="163" spans="1:4" x14ac:dyDescent="0.35">
      <c r="A163" s="12">
        <v>40330</v>
      </c>
      <c r="B163" s="7">
        <f>[3]AWMD_Updated!B163</f>
        <v>2738484.4</v>
      </c>
      <c r="C163" s="7">
        <f>[3]AWMD_Updated!AI163</f>
        <v>0.68627157287157292</v>
      </c>
      <c r="D163" s="7">
        <f>[3]AWMD_Updated!T163</f>
        <v>93.313333333333318</v>
      </c>
    </row>
    <row r="164" spans="1:4" x14ac:dyDescent="0.35">
      <c r="A164" s="12">
        <v>40422</v>
      </c>
      <c r="B164" s="7">
        <f>[3]AWMD_Updated!B164</f>
        <v>2750608.7</v>
      </c>
      <c r="C164" s="7">
        <f>[3]AWMD_Updated!AI164</f>
        <v>0.87493939393939391</v>
      </c>
      <c r="D164" s="7">
        <f>[3]AWMD_Updated!T164</f>
        <v>93.17</v>
      </c>
    </row>
    <row r="165" spans="1:4" x14ac:dyDescent="0.35">
      <c r="A165" s="12">
        <v>40513</v>
      </c>
      <c r="B165" s="7">
        <f>[3]AWMD_Updated!B165</f>
        <v>2767460.3</v>
      </c>
      <c r="C165" s="7">
        <f>[3]AWMD_Updated!AI165</f>
        <v>1.0204692577953447</v>
      </c>
      <c r="D165" s="7">
        <f>[3]AWMD_Updated!T165</f>
        <v>93.946666666666673</v>
      </c>
    </row>
    <row r="166" spans="1:4" x14ac:dyDescent="0.35">
      <c r="A166" s="12">
        <v>40603</v>
      </c>
      <c r="B166" s="7">
        <f>[3]AWMD_Updated!B166</f>
        <v>2792962.3</v>
      </c>
      <c r="C166" s="7">
        <f>[3]AWMD_Updated!AI166</f>
        <v>1.09316994478951</v>
      </c>
      <c r="D166" s="7">
        <f>[3]AWMD_Updated!T166</f>
        <v>94.373333333333335</v>
      </c>
    </row>
    <row r="167" spans="1:4" x14ac:dyDescent="0.35">
      <c r="A167" s="12">
        <v>40695</v>
      </c>
      <c r="B167" s="7">
        <f>[3]AWMD_Updated!B167</f>
        <v>2792997.5</v>
      </c>
      <c r="C167" s="7">
        <f>[3]AWMD_Updated!AI167</f>
        <v>1.4116307814992026</v>
      </c>
      <c r="D167" s="7">
        <f>[3]AWMD_Updated!T167</f>
        <v>95.883333333333326</v>
      </c>
    </row>
    <row r="168" spans="1:4" x14ac:dyDescent="0.35">
      <c r="A168" s="12">
        <v>40787</v>
      </c>
      <c r="B168" s="7">
        <f>[3]AWMD_Updated!B168</f>
        <v>2793875</v>
      </c>
      <c r="C168" s="7">
        <f>[3]AWMD_Updated!AI168</f>
        <v>1.5620535165317773</v>
      </c>
      <c r="D168" s="7">
        <f>[3]AWMD_Updated!T168</f>
        <v>95.69</v>
      </c>
    </row>
    <row r="169" spans="1:4" x14ac:dyDescent="0.35">
      <c r="A169" s="12">
        <v>40878</v>
      </c>
      <c r="B169" s="7">
        <f>[3]AWMD_Updated!B169</f>
        <v>2786265.3</v>
      </c>
      <c r="C169" s="7">
        <f>[3]AWMD_Updated!AI169</f>
        <v>1.4955447330447331</v>
      </c>
      <c r="D169" s="7">
        <f>[3]AWMD_Updated!T169</f>
        <v>96.706666666666663</v>
      </c>
    </row>
    <row r="170" spans="1:4" x14ac:dyDescent="0.35">
      <c r="A170" s="12">
        <v>40969</v>
      </c>
      <c r="B170" s="7">
        <f>[3]AWMD_Updated!B170</f>
        <v>2778685.7</v>
      </c>
      <c r="C170" s="7">
        <f>[3]AWMD_Updated!AI170</f>
        <v>1.0429891774891775</v>
      </c>
      <c r="D170" s="7">
        <f>[3]AWMD_Updated!T170</f>
        <v>96.90666666666668</v>
      </c>
    </row>
    <row r="171" spans="1:4" x14ac:dyDescent="0.35">
      <c r="A171" s="12">
        <v>41061</v>
      </c>
      <c r="B171" s="7">
        <f>[3]AWMD_Updated!B171</f>
        <v>2768489</v>
      </c>
      <c r="C171" s="7">
        <f>[3]AWMD_Updated!AI171</f>
        <v>0.69602734107997266</v>
      </c>
      <c r="D171" s="7">
        <f>[3]AWMD_Updated!T171</f>
        <v>98.25</v>
      </c>
    </row>
    <row r="172" spans="1:4" x14ac:dyDescent="0.35">
      <c r="A172" s="12">
        <v>41153</v>
      </c>
      <c r="B172" s="7">
        <f>[3]AWMD_Updated!B172</f>
        <v>2764560.3</v>
      </c>
      <c r="C172" s="7">
        <f>[3]AWMD_Updated!AI172</f>
        <v>0.35857891963109351</v>
      </c>
      <c r="D172" s="7">
        <f>[3]AWMD_Updated!T172</f>
        <v>98.13</v>
      </c>
    </row>
    <row r="173" spans="1:4" x14ac:dyDescent="0.35">
      <c r="A173" s="12">
        <v>41244</v>
      </c>
      <c r="B173" s="7">
        <f>[3]AWMD_Updated!B173</f>
        <v>2753519.8</v>
      </c>
      <c r="C173" s="7">
        <f>[3]AWMD_Updated!AI173</f>
        <v>0.19512890922959569</v>
      </c>
      <c r="D173" s="7">
        <f>[3]AWMD_Updated!T173</f>
        <v>98.943333333333328</v>
      </c>
    </row>
    <row r="174" spans="1:4" x14ac:dyDescent="0.35">
      <c r="A174" s="12">
        <v>41334</v>
      </c>
      <c r="B174" s="7">
        <f>[3]AWMD_Updated!B174</f>
        <v>2742980.5</v>
      </c>
      <c r="C174" s="7">
        <f>[3]AWMD_Updated!AI174</f>
        <v>0.21143636363636364</v>
      </c>
      <c r="D174" s="7">
        <f>[3]AWMD_Updated!T174</f>
        <v>98.716666666666683</v>
      </c>
    </row>
    <row r="175" spans="1:4" x14ac:dyDescent="0.35">
      <c r="A175" s="12">
        <v>41426</v>
      </c>
      <c r="B175" s="7">
        <f>[3]AWMD_Updated!B175</f>
        <v>2760957.9</v>
      </c>
      <c r="C175" s="7">
        <f>[3]AWMD_Updated!AI175</f>
        <v>0.20679401154401153</v>
      </c>
      <c r="D175" s="7">
        <f>[3]AWMD_Updated!T175</f>
        <v>99.63</v>
      </c>
    </row>
    <row r="176" spans="1:4" x14ac:dyDescent="0.35">
      <c r="A176" s="12">
        <v>41518</v>
      </c>
      <c r="B176" s="7">
        <f>[3]AWMD_Updated!B176</f>
        <v>2769898.9</v>
      </c>
      <c r="C176" s="7">
        <f>[3]AWMD_Updated!AI176</f>
        <v>0.22351217140347576</v>
      </c>
      <c r="D176" s="7">
        <f>[3]AWMD_Updated!T176</f>
        <v>99.45</v>
      </c>
    </row>
    <row r="177" spans="1:4" x14ac:dyDescent="0.35">
      <c r="A177" s="12">
        <v>41609</v>
      </c>
      <c r="B177" s="7">
        <f>[3]AWMD_Updated!B177</f>
        <v>2777431.1</v>
      </c>
      <c r="C177" s="7">
        <f>[3]AWMD_Updated!AI177</f>
        <v>0.24090234644582464</v>
      </c>
      <c r="D177" s="7">
        <f>[3]AWMD_Updated!T177</f>
        <v>99.74666666666667</v>
      </c>
    </row>
    <row r="178" spans="1:4" x14ac:dyDescent="0.35">
      <c r="A178" s="12">
        <v>41699</v>
      </c>
      <c r="B178" s="7">
        <f>[3]AWMD_Updated!B178</f>
        <v>2788490</v>
      </c>
      <c r="C178" s="7">
        <f>[3]AWMD_Updated!AI178</f>
        <v>0.2951595959595959</v>
      </c>
      <c r="D178" s="7">
        <f>[3]AWMD_Updated!T178</f>
        <v>99.350000000000009</v>
      </c>
    </row>
    <row r="179" spans="1:4" x14ac:dyDescent="0.35">
      <c r="A179" s="12">
        <v>41791</v>
      </c>
      <c r="B179" s="7">
        <f>[3]AWMD_Updated!B179</f>
        <v>2794967.8</v>
      </c>
      <c r="C179" s="7">
        <f>[3]AWMD_Updated!AI179</f>
        <v>0.29858333333333326</v>
      </c>
      <c r="D179" s="7">
        <f>[3]AWMD_Updated!T179</f>
        <v>100.19</v>
      </c>
    </row>
    <row r="180" spans="1:4" x14ac:dyDescent="0.35">
      <c r="A180" s="12">
        <v>41883</v>
      </c>
      <c r="B180" s="7">
        <f>[3]AWMD_Updated!B180</f>
        <v>2808154</v>
      </c>
      <c r="C180" s="7">
        <f>[3]AWMD_Updated!AI180</f>
        <v>0.1645686053077357</v>
      </c>
      <c r="D180" s="7">
        <f>[3]AWMD_Updated!T180</f>
        <v>99.8</v>
      </c>
    </row>
    <row r="181" spans="1:4" x14ac:dyDescent="0.35">
      <c r="A181" s="12">
        <v>41974</v>
      </c>
      <c r="B181" s="7">
        <f>[3]AWMD_Updated!B181</f>
        <v>2820011.2</v>
      </c>
      <c r="C181" s="7">
        <f>[3]AWMD_Updated!AI181</f>
        <v>8.1471152518978601E-2</v>
      </c>
      <c r="D181" s="7">
        <f>[3]AWMD_Updated!T181</f>
        <v>99.90666666666668</v>
      </c>
    </row>
    <row r="182" spans="1:4" x14ac:dyDescent="0.35">
      <c r="A182" s="12">
        <v>42064</v>
      </c>
      <c r="B182" s="7">
        <f>[3]AWMD_Updated!B182</f>
        <v>2840206.6</v>
      </c>
      <c r="C182" s="7">
        <f>[3]AWMD_Updated!AI182</f>
        <v>4.6016161616161566E-2</v>
      </c>
      <c r="D182" s="7">
        <f>[3]AWMD_Updated!T182</f>
        <v>99.029999999999987</v>
      </c>
    </row>
    <row r="183" spans="1:4" x14ac:dyDescent="0.35">
      <c r="A183" s="12">
        <v>42156</v>
      </c>
      <c r="B183" s="7">
        <f>[3]AWMD_Updated!B183</f>
        <v>2853021.8</v>
      </c>
      <c r="C183" s="7">
        <f>[3]AWMD_Updated!AI183</f>
        <v>-6.5258373205741675E-3</v>
      </c>
      <c r="D183" s="7">
        <f>[3]AWMD_Updated!T183</f>
        <v>100.62</v>
      </c>
    </row>
    <row r="184" spans="1:4" x14ac:dyDescent="0.35">
      <c r="A184" s="12">
        <v>42248</v>
      </c>
      <c r="B184" s="7">
        <f>[3]AWMD_Updated!B184</f>
        <v>2864151.6</v>
      </c>
      <c r="C184" s="7">
        <f>[3]AWMD_Updated!AI184</f>
        <v>-2.7817083882301235E-2</v>
      </c>
      <c r="D184" s="7">
        <f>[3]AWMD_Updated!T184</f>
        <v>100.18666666666667</v>
      </c>
    </row>
    <row r="185" spans="1:4" x14ac:dyDescent="0.35">
      <c r="A185" s="12">
        <v>42339</v>
      </c>
      <c r="B185" s="7">
        <f>[3]AWMD_Updated!B185</f>
        <v>2878559</v>
      </c>
      <c r="C185" s="7">
        <f>[3]AWMD_Updated!AI185</f>
        <v>-8.9176046176046173E-2</v>
      </c>
      <c r="D185" s="7">
        <f>[3]AWMD_Updated!T185</f>
        <v>100.16333333333334</v>
      </c>
    </row>
    <row r="186" spans="1:4" x14ac:dyDescent="0.35">
      <c r="A186" s="12">
        <v>42430</v>
      </c>
      <c r="B186" s="7">
        <f>[3]AWMD_Updated!B186</f>
        <v>2893136.7</v>
      </c>
      <c r="C186" s="7">
        <f>[3]AWMD_Updated!AI186</f>
        <v>-0.18608174603174596</v>
      </c>
      <c r="D186" s="7">
        <f>[3]AWMD_Updated!T186</f>
        <v>99.076666666666668</v>
      </c>
    </row>
    <row r="187" spans="1:4" x14ac:dyDescent="0.35">
      <c r="A187" s="12">
        <v>42522</v>
      </c>
      <c r="B187" s="7">
        <f>[3]AWMD_Updated!B187</f>
        <v>2899826</v>
      </c>
      <c r="C187" s="7">
        <f>[3]AWMD_Updated!AI187</f>
        <v>-0.2580937950937951</v>
      </c>
      <c r="D187" s="7">
        <f>[3]AWMD_Updated!T187</f>
        <v>100.50333333333333</v>
      </c>
    </row>
    <row r="188" spans="1:4" x14ac:dyDescent="0.35">
      <c r="A188" s="12">
        <v>42614</v>
      </c>
      <c r="B188" s="7">
        <f>[3]AWMD_Updated!B188</f>
        <v>2913477.2</v>
      </c>
      <c r="C188" s="7">
        <f>[3]AWMD_Updated!AI188</f>
        <v>-0.29812585482150694</v>
      </c>
      <c r="D188" s="7">
        <f>[3]AWMD_Updated!T188</f>
        <v>100.44333333333333</v>
      </c>
    </row>
    <row r="189" spans="1:4" x14ac:dyDescent="0.35">
      <c r="A189" s="12">
        <v>42705</v>
      </c>
      <c r="B189" s="7">
        <f>[3]AWMD_Updated!B189</f>
        <v>2934539.4</v>
      </c>
      <c r="C189" s="7">
        <f>[3]AWMD_Updated!AI189</f>
        <v>-0.31248124098124092</v>
      </c>
      <c r="D189" s="7">
        <f>[3]AWMD_Updated!T189</f>
        <v>100.88666666666667</v>
      </c>
    </row>
    <row r="190" spans="1:4" x14ac:dyDescent="0.35">
      <c r="A190" s="12">
        <v>42795</v>
      </c>
      <c r="B190" s="7">
        <f>[3]AWMD_Updated!B190</f>
        <v>2957100.8</v>
      </c>
      <c r="C190" s="7">
        <f>[3]AWMD_Updated!AI190</f>
        <v>-0.32783109354413703</v>
      </c>
      <c r="D190" s="7">
        <f>[3]AWMD_Updated!T190</f>
        <v>100.79666666666668</v>
      </c>
    </row>
    <row r="191" spans="1:4" x14ac:dyDescent="0.35">
      <c r="A191" s="12">
        <v>42887</v>
      </c>
      <c r="B191" s="7">
        <f>[3]AWMD_Updated!B191</f>
        <v>2978741.1</v>
      </c>
      <c r="C191" s="7">
        <f>[3]AWMD_Updated!AI191</f>
        <v>-0.32994781144781143</v>
      </c>
      <c r="D191" s="7">
        <f>[3]AWMD_Updated!T191</f>
        <v>102.03333333333335</v>
      </c>
    </row>
    <row r="192" spans="1:4" x14ac:dyDescent="0.35">
      <c r="A192" s="12">
        <v>42979</v>
      </c>
      <c r="B192" s="7">
        <f>[3]AWMD_Updated!B192</f>
        <v>3000221.4</v>
      </c>
      <c r="C192" s="7">
        <f>[3]AWMD_Updated!AI192</f>
        <v>-0.3296321601104209</v>
      </c>
      <c r="D192" s="7">
        <f>[3]AWMD_Updated!T192</f>
        <v>101.93</v>
      </c>
    </row>
    <row r="193" spans="1:4" x14ac:dyDescent="0.35">
      <c r="A193" s="12">
        <v>43070</v>
      </c>
      <c r="B193" s="7">
        <f>[3]AWMD_Updated!B193</f>
        <v>3024317.4</v>
      </c>
      <c r="C193" s="7">
        <f>[3]AWMD_Updated!AI193</f>
        <v>-0.32881339712918661</v>
      </c>
      <c r="D193" s="7">
        <f>[3]AWMD_Updated!T193</f>
        <v>102.31666666666666</v>
      </c>
    </row>
    <row r="194" spans="1:4" x14ac:dyDescent="0.35">
      <c r="A194" s="12">
        <v>43160</v>
      </c>
      <c r="B194" s="7">
        <f>[3]AWMD_Updated!B194</f>
        <v>3024658</v>
      </c>
      <c r="C194" s="7">
        <f>[3]AWMD_Updated!AI194</f>
        <v>-0.32828643578643579</v>
      </c>
      <c r="D194" s="7">
        <f>[3]AWMD_Updated!T194</f>
        <v>102.07333333333334</v>
      </c>
    </row>
    <row r="195" spans="1:4" x14ac:dyDescent="0.35">
      <c r="A195" s="12">
        <v>43252</v>
      </c>
      <c r="B195" s="7">
        <f>[3]AWMD_Updated!B195</f>
        <v>3040276.8</v>
      </c>
      <c r="C195" s="7">
        <f>[3]AWMD_Updated!AI195</f>
        <v>-0.32524163059163058</v>
      </c>
      <c r="D195" s="7">
        <f>[3]AWMD_Updated!T195</f>
        <v>103.78666666666665</v>
      </c>
    </row>
    <row r="196" spans="1:4" x14ac:dyDescent="0.35">
      <c r="A196" s="12">
        <v>43344</v>
      </c>
      <c r="B196" s="7">
        <f>[3]AWMD_Updated!B196</f>
        <v>3042099.7</v>
      </c>
      <c r="C196" s="7">
        <f>[3]AWMD_Updated!AI196</f>
        <v>-0.31952575757575752</v>
      </c>
      <c r="D196" s="7">
        <f>[3]AWMD_Updated!T196</f>
        <v>104.08666666666666</v>
      </c>
    </row>
    <row r="197" spans="1:4" x14ac:dyDescent="0.35">
      <c r="A197" s="12">
        <v>43435</v>
      </c>
      <c r="B197" s="7">
        <f>[3]AWMD_Updated!B197</f>
        <v>3060786.2</v>
      </c>
      <c r="C197" s="7">
        <f>[3]AWMD_Updated!AI197</f>
        <v>-0.31531800845988472</v>
      </c>
      <c r="D197" s="7">
        <f>[3]AWMD_Updated!T197</f>
        <v>104.26666666666667</v>
      </c>
    </row>
    <row r="198" spans="1:4" x14ac:dyDescent="0.35">
      <c r="A198" s="12">
        <v>43525</v>
      </c>
      <c r="B198" s="7">
        <f>[3]AWMD_Updated!B198</f>
        <v>3080880.4</v>
      </c>
      <c r="C198" s="7">
        <f>[3]AWMD_Updated!AI198</f>
        <v>-0.30854682539682532</v>
      </c>
      <c r="D198" s="7">
        <f>[3]AWMD_Updated!T198</f>
        <v>103.52666666666669</v>
      </c>
    </row>
    <row r="199" spans="1:4" x14ac:dyDescent="0.35">
      <c r="A199" s="12">
        <v>43617</v>
      </c>
      <c r="B199" s="7">
        <f>[3]AWMD_Updated!B199</f>
        <v>3091828.7</v>
      </c>
      <c r="C199" s="7">
        <f>[3]AWMD_Updated!AI199</f>
        <v>-0.31707121212121209</v>
      </c>
      <c r="D199" s="7">
        <f>[3]AWMD_Updated!T199</f>
        <v>105.24000000000001</v>
      </c>
    </row>
    <row r="200" spans="1:4" x14ac:dyDescent="0.35">
      <c r="A200" s="12">
        <v>43709</v>
      </c>
      <c r="B200" s="7">
        <f>[3]AWMD_Updated!B200</f>
        <v>3097112.3</v>
      </c>
      <c r="C200" s="7">
        <f>[3]AWMD_Updated!AI200</f>
        <v>-0.39670760399021265</v>
      </c>
      <c r="D200" s="7">
        <f>[3]AWMD_Updated!T200</f>
        <v>105.08</v>
      </c>
    </row>
    <row r="201" spans="1:4" x14ac:dyDescent="0.35">
      <c r="A201" s="12">
        <v>43800</v>
      </c>
      <c r="B201" s="7">
        <f>[3]AWMD_Updated!B201</f>
        <v>3097190.2</v>
      </c>
      <c r="C201" s="7">
        <f>[3]AWMD_Updated!AI201</f>
        <v>-0.40295175983436843</v>
      </c>
      <c r="D201" s="7">
        <f>[3]AWMD_Updated!T201</f>
        <v>105.31333333333333</v>
      </c>
    </row>
    <row r="202" spans="1:4" x14ac:dyDescent="0.35">
      <c r="A202" s="12">
        <v>43891</v>
      </c>
      <c r="B202" s="7">
        <f>[3]AWMD_Updated!B202</f>
        <v>2993926.9</v>
      </c>
      <c r="C202" s="7">
        <f>[3]AWMD_Updated!AI202</f>
        <v>-0.40554090909090901</v>
      </c>
      <c r="D202" s="7">
        <f>[3]AWMD_Updated!T202</f>
        <v>104.68</v>
      </c>
    </row>
    <row r="203" spans="1:4" x14ac:dyDescent="0.35">
      <c r="A203" s="12">
        <v>43983</v>
      </c>
      <c r="B203" s="7">
        <f>[3]AWMD_Updated!B203</f>
        <v>2660459.7999999998</v>
      </c>
      <c r="C203" s="7">
        <f>[3]AWMD_Updated!AI203</f>
        <v>-0.30066666666666669</v>
      </c>
      <c r="D203" s="7">
        <f>[3]AWMD_Updated!T203</f>
        <v>105.47333333333334</v>
      </c>
    </row>
    <row r="204" spans="1:4" x14ac:dyDescent="0.35">
      <c r="A204" s="12">
        <v>44075</v>
      </c>
      <c r="B204" s="7">
        <f>[3]AWMD_Updated!B204</f>
        <v>2970333.7</v>
      </c>
      <c r="C204" s="7">
        <f>[3]AWMD_Updated!AI204</f>
        <v>-0.47173611895351025</v>
      </c>
      <c r="D204" s="7">
        <f>[3]AWMD_Updated!T204</f>
        <v>105.04333333333334</v>
      </c>
    </row>
    <row r="205" spans="1:4" x14ac:dyDescent="0.35">
      <c r="A205" s="12">
        <v>44166</v>
      </c>
      <c r="B205" s="7">
        <f>[3]AWMD_Updated!B205</f>
        <v>2981040.4</v>
      </c>
      <c r="C205" s="7">
        <f>[3]AWMD_Updated!AI205</f>
        <v>-0.52269480519480516</v>
      </c>
      <c r="D205" s="7">
        <f>[3]AWMD_Updated!T205</f>
        <v>105.02</v>
      </c>
    </row>
    <row r="206" spans="1:4" x14ac:dyDescent="0.35">
      <c r="A206" s="12">
        <v>44256</v>
      </c>
      <c r="B206" s="7">
        <f>[3]AWMD_Updated!B206</f>
        <v>3000063.3</v>
      </c>
      <c r="C206" s="7">
        <f>[3]AWMD_Updated!AI206</f>
        <v>-0.54244565217391305</v>
      </c>
      <c r="D206" s="7">
        <f>[3]AWMD_Updated!T206</f>
        <v>105.78666666666668</v>
      </c>
    </row>
    <row r="207" spans="1:4" x14ac:dyDescent="0.35">
      <c r="A207" s="12">
        <v>44348</v>
      </c>
      <c r="B207" s="7">
        <f>[3]AWMD_Updated!B207</f>
        <v>3067091.6</v>
      </c>
      <c r="C207" s="7">
        <f>[3]AWMD_Updated!AI207</f>
        <v>-0.54038477633477633</v>
      </c>
      <c r="D207" s="7">
        <f>[3]AWMD_Updated!T207</f>
        <v>107.40333333333335</v>
      </c>
    </row>
    <row r="208" spans="1:4" x14ac:dyDescent="0.35">
      <c r="A208" s="12">
        <v>44440</v>
      </c>
      <c r="B208" s="7">
        <f>[3]AWMD_Updated!B208</f>
        <v>3120194</v>
      </c>
      <c r="C208" s="7">
        <f>[3]AWMD_Updated!AI208</f>
        <v>-0.54581818181818198</v>
      </c>
      <c r="D208" s="7">
        <f>[3]AWMD_Updated!T208</f>
        <v>108.01666666666667</v>
      </c>
    </row>
    <row r="209" spans="1:4" x14ac:dyDescent="0.35">
      <c r="A209" s="12">
        <v>44531</v>
      </c>
      <c r="B209" s="7">
        <f>[3]AWMD_Updated!B209</f>
        <v>3146947.9</v>
      </c>
      <c r="C209" s="7">
        <f>[3]AWMD_Updated!AI209</f>
        <v>-0.56637656063743014</v>
      </c>
      <c r="D209" s="7">
        <f>[3]AWMD_Updated!T209</f>
        <v>109.88333333333334</v>
      </c>
    </row>
    <row r="210" spans="1:4" x14ac:dyDescent="0.35">
      <c r="A210" s="12">
        <v>44621</v>
      </c>
      <c r="B210" s="7">
        <f>[3]AWMD_Updated!B210</f>
        <v>3164662</v>
      </c>
      <c r="C210" s="7">
        <f>[3]AWMD_Updated!AI210</f>
        <v>-0.52902587993385097</v>
      </c>
      <c r="D210" s="7">
        <f>[3]AWMD_Updated!T210</f>
        <v>112.29</v>
      </c>
    </row>
    <row r="211" spans="1:4" x14ac:dyDescent="0.35">
      <c r="A211" s="12">
        <v>44713</v>
      </c>
      <c r="B211" s="7">
        <f>[3]AWMD_Updated!B211</f>
        <v>3193040.9</v>
      </c>
      <c r="C211" s="7">
        <f>[3]AWMD_Updated!AI211</f>
        <v>-0.35761642743221683</v>
      </c>
      <c r="D211" s="7">
        <f>[3]AWMD_Updated!T211</f>
        <v>116.06666666666666</v>
      </c>
    </row>
    <row r="212" spans="1:4" x14ac:dyDescent="0.35">
      <c r="A212" s="12">
        <v>44805</v>
      </c>
      <c r="B212" s="7">
        <f>[3]AWMD_Updated!B212</f>
        <v>3210968.8</v>
      </c>
      <c r="C212" s="7">
        <f>[3]AWMD_Updated!AI212</f>
        <v>0.48074060480582209</v>
      </c>
      <c r="D212" s="7">
        <f>[3]AWMD_Updated!T212</f>
        <v>118.10000000000001</v>
      </c>
    </row>
    <row r="213" spans="1:4" x14ac:dyDescent="0.35">
      <c r="A213" s="12">
        <v>44896</v>
      </c>
      <c r="B213" s="7">
        <f>[3]AWMD_Updated!B213</f>
        <v>3207804.3</v>
      </c>
      <c r="C213" s="7">
        <f>[3]AWMD_Updated!AI213</f>
        <v>1.7721233766233759</v>
      </c>
      <c r="D213" s="7">
        <f>[3]AWMD_Updated!T213</f>
        <v>120.84333333333332</v>
      </c>
    </row>
    <row r="214" spans="1:4" x14ac:dyDescent="0.35">
      <c r="A214" s="12">
        <v>44986</v>
      </c>
      <c r="B214" s="7">
        <f>[3]AWMD_Updated!B214</f>
        <v>3208505.5</v>
      </c>
      <c r="C214" s="7">
        <f>[3]AWMD_Updated!AI214</f>
        <v>2.6319262845849805</v>
      </c>
      <c r="D214" s="7">
        <f>[3]AWMD_Updated!T214</f>
        <v>121.29333333333334</v>
      </c>
    </row>
    <row r="215" spans="1:4" x14ac:dyDescent="0.35">
      <c r="A215" s="12">
        <v>45078</v>
      </c>
      <c r="B215" s="7">
        <f>[3]AWMD_Updated!B215</f>
        <v>3210970.6</v>
      </c>
      <c r="C215" s="7">
        <f>[3]AWMD_Updated!AI215</f>
        <v>3.3564328063241109</v>
      </c>
      <c r="D215" s="7">
        <f>[3]AWMD_Updated!T215</f>
        <v>123.26</v>
      </c>
    </row>
    <row r="216" spans="1:4" x14ac:dyDescent="0.35">
      <c r="A216" s="12">
        <v>45170</v>
      </c>
      <c r="B216" s="7">
        <f>[3]AWMD_Updated!B216</f>
        <v>3211162.7</v>
      </c>
      <c r="C216" s="7">
        <f>[3]AWMD_Updated!AI216</f>
        <v>3.7773871635610754</v>
      </c>
      <c r="D216" s="7">
        <f>[3]AWMD_Updated!T216</f>
        <v>123.95</v>
      </c>
    </row>
    <row r="217" spans="1:4" x14ac:dyDescent="0.35">
      <c r="A217" s="12">
        <v>45261</v>
      </c>
      <c r="B217" s="7">
        <f>[3]AWMD_Updated!B217</f>
        <v>3212690.9</v>
      </c>
      <c r="C217" s="7">
        <f>[3]AWMD_Updated!AI217</f>
        <v>3.9574559884559881</v>
      </c>
      <c r="D217" s="7">
        <f>[3]AWMD_Updated!T217</f>
        <v>124.15666666666668</v>
      </c>
    </row>
    <row r="218" spans="1:4" x14ac:dyDescent="0.35">
      <c r="A218" s="12">
        <v>45352</v>
      </c>
      <c r="B218" s="7">
        <f>[3]AWMD_Updated!B218</f>
        <v>3223148.3</v>
      </c>
      <c r="C218" s="7">
        <f>[3]AWMD_Updated!AI218</f>
        <v>3.9236147186147186</v>
      </c>
      <c r="D218" s="7">
        <f>[3]AWMD_Updated!T218</f>
        <v>124.44</v>
      </c>
    </row>
    <row r="219" spans="1:4" x14ac:dyDescent="0.35">
      <c r="A219" s="12">
        <v>45444</v>
      </c>
      <c r="B219" s="7">
        <f>[3]AWMD_Updated!B219</f>
        <v>3228476.5</v>
      </c>
      <c r="C219" s="7">
        <f>[3]AWMD_Updated!AI219</f>
        <v>3.8081719367588938</v>
      </c>
      <c r="D219" s="7">
        <f>[3]AWMD_Updated!T219</f>
        <v>126.32000000000001</v>
      </c>
    </row>
    <row r="220" spans="1:4" x14ac:dyDescent="0.35">
      <c r="A220" s="12">
        <v>45536</v>
      </c>
      <c r="B220" s="7">
        <f>[3]AWMD_Updated!B220</f>
        <v>3242099.9</v>
      </c>
      <c r="C220" s="7">
        <f>[3]AWMD_Updated!AI220</f>
        <v>3.5553770939205709</v>
      </c>
      <c r="D220" s="7">
        <f>[3]AWMD_Updated!T220</f>
        <v>126.63333333333334</v>
      </c>
    </row>
    <row r="221" spans="1:4" x14ac:dyDescent="0.35">
      <c r="A221" s="12">
        <v>45627</v>
      </c>
      <c r="B221" s="7">
        <f>[3]AWMD_Updated!B221</f>
        <v>3250018.1</v>
      </c>
      <c r="C221" s="7">
        <f>[3]AWMD_Updated!AI221</f>
        <v>2.9964871698349955</v>
      </c>
      <c r="D221" s="7">
        <f>[3]AWMD_Updated!T221</f>
        <v>126.92</v>
      </c>
    </row>
    <row r="222" spans="1:4" x14ac:dyDescent="0.35">
      <c r="A222" s="12">
        <v>45717</v>
      </c>
      <c r="B222" s="7"/>
      <c r="C222" s="7">
        <f>[3]AWMD_Updated!AI222</f>
        <v>2.6140402173913042</v>
      </c>
      <c r="D222" s="7">
        <f>[3]AWMD_Updated!T222</f>
        <v>127.35333333333334</v>
      </c>
    </row>
    <row r="223" spans="1:4" x14ac:dyDescent="0.35">
      <c r="D223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19"/>
  <sheetViews>
    <sheetView showGridLines="0" workbookViewId="0">
      <pane xSplit="1" ySplit="2" topLeftCell="B587" activePane="bottomRight" state="frozen"/>
      <selection pane="topRight" activeCell="B1" sqref="B1"/>
      <selection pane="bottomLeft" activeCell="A3" sqref="A3"/>
      <selection pane="bottomRight" activeCell="B614" sqref="B614"/>
    </sheetView>
  </sheetViews>
  <sheetFormatPr baseColWidth="10" defaultRowHeight="14.5" x14ac:dyDescent="0.35"/>
  <cols>
    <col min="2" max="2" width="15.453125" style="5" bestFit="1" customWidth="1"/>
    <col min="3" max="3" width="12.453125" bestFit="1" customWidth="1"/>
  </cols>
  <sheetData>
    <row r="1" spans="1:3" x14ac:dyDescent="0.35">
      <c r="A1" s="6"/>
      <c r="B1" s="5" t="s">
        <v>587</v>
      </c>
      <c r="C1" s="5" t="s">
        <v>588</v>
      </c>
    </row>
    <row r="2" spans="1:3" x14ac:dyDescent="0.35">
      <c r="A2" s="6"/>
      <c r="B2" s="5" t="s">
        <v>586</v>
      </c>
    </row>
    <row r="3" spans="1:3" x14ac:dyDescent="0.35">
      <c r="A3" s="4">
        <v>29221</v>
      </c>
    </row>
    <row r="4" spans="1:3" x14ac:dyDescent="0.35">
      <c r="A4" s="4">
        <v>29252</v>
      </c>
      <c r="B4" s="7">
        <f>VLOOKUP($A4,[4]BASE_M!$A:$AZ,MATCH(B$2,[4]BASE_M!$4:$4,0),FALSE)</f>
        <v>8.3940000000000001</v>
      </c>
    </row>
    <row r="5" spans="1:3" x14ac:dyDescent="0.35">
      <c r="A5" s="4">
        <v>29281</v>
      </c>
      <c r="B5" s="7">
        <f>VLOOKUP($A5,[4]BASE_M!$A:$AZ,MATCH(B$2,[4]BASE_M!$4:$4,0),FALSE)</f>
        <v>9.3719999999999999</v>
      </c>
    </row>
    <row r="6" spans="1:3" x14ac:dyDescent="0.35">
      <c r="A6" s="4">
        <v>29312</v>
      </c>
      <c r="B6" s="7">
        <f>VLOOKUP($A6,[4]BASE_M!$A:$AZ,MATCH(B$2,[4]BASE_M!$4:$4,0),FALSE)</f>
        <v>9.36</v>
      </c>
      <c r="C6" s="7">
        <f>AVERAGE(B4:B6)</f>
        <v>9.0419999999999998</v>
      </c>
    </row>
    <row r="7" spans="1:3" x14ac:dyDescent="0.35">
      <c r="A7" s="4">
        <v>29342</v>
      </c>
      <c r="B7" s="7">
        <f>VLOOKUP($A7,[4]BASE_M!$A:$AZ,MATCH(B$2,[4]BASE_M!$4:$4,0),FALSE)</f>
        <v>8.5939999999999994</v>
      </c>
      <c r="C7" s="7">
        <f t="shared" ref="C7:C70" si="0">AVERAGE(B5:B7)</f>
        <v>9.1086666666666662</v>
      </c>
    </row>
    <row r="8" spans="1:3" x14ac:dyDescent="0.35">
      <c r="A8" s="4">
        <v>29373</v>
      </c>
      <c r="B8" s="7">
        <f>VLOOKUP($A8,[4]BASE_M!$A:$AZ,MATCH(B$2,[4]BASE_M!$4:$4,0),FALSE)</f>
        <v>8.18</v>
      </c>
      <c r="C8" s="7">
        <f t="shared" si="0"/>
        <v>8.711333333333334</v>
      </c>
    </row>
    <row r="9" spans="1:3" x14ac:dyDescent="0.35">
      <c r="A9" s="4">
        <v>29403</v>
      </c>
      <c r="B9" s="7">
        <f>VLOOKUP($A9,[4]BASE_M!$A:$AZ,MATCH(B$2,[4]BASE_M!$4:$4,0),FALSE)</f>
        <v>7.9539999999999997</v>
      </c>
      <c r="C9" s="7">
        <f t="shared" si="0"/>
        <v>8.2426666666666666</v>
      </c>
    </row>
    <row r="10" spans="1:3" x14ac:dyDescent="0.35">
      <c r="A10" s="4">
        <v>29434</v>
      </c>
      <c r="B10" s="7">
        <f>VLOOKUP($A10,[4]BASE_M!$A:$AZ,MATCH(B$2,[4]BASE_M!$4:$4,0),FALSE)</f>
        <v>7.8390000000000004</v>
      </c>
      <c r="C10" s="7">
        <f t="shared" si="0"/>
        <v>7.9909999999999997</v>
      </c>
    </row>
    <row r="11" spans="1:3" x14ac:dyDescent="0.35">
      <c r="A11" s="4">
        <v>29465</v>
      </c>
      <c r="B11" s="7">
        <f>VLOOKUP($A11,[4]BASE_M!$A:$AZ,MATCH(B$2,[4]BASE_M!$4:$4,0),FALSE)</f>
        <v>8.1739999999999995</v>
      </c>
      <c r="C11" s="7">
        <f t="shared" si="0"/>
        <v>7.9889999999999999</v>
      </c>
    </row>
    <row r="12" spans="1:3" x14ac:dyDescent="0.35">
      <c r="A12" s="4">
        <v>29495</v>
      </c>
      <c r="B12" s="7">
        <f>VLOOKUP($A12,[4]BASE_M!$A:$AZ,MATCH(B$2,[4]BASE_M!$4:$4,0),FALSE)</f>
        <v>8.3610000000000007</v>
      </c>
      <c r="C12" s="7">
        <f t="shared" si="0"/>
        <v>8.1246666666666663</v>
      </c>
    </row>
    <row r="13" spans="1:3" x14ac:dyDescent="0.35">
      <c r="A13" s="4">
        <v>29526</v>
      </c>
      <c r="B13" s="7">
        <f>VLOOKUP($A13,[4]BASE_M!$A:$AZ,MATCH(B$2,[4]BASE_M!$4:$4,0),FALSE)</f>
        <v>8.7040000000000006</v>
      </c>
      <c r="C13" s="7">
        <f t="shared" si="0"/>
        <v>8.4130000000000003</v>
      </c>
    </row>
    <row r="14" spans="1:3" x14ac:dyDescent="0.35">
      <c r="A14" s="4">
        <v>29556</v>
      </c>
      <c r="B14" s="7">
        <f>VLOOKUP($A14,[4]BASE_M!$A:$AZ,MATCH(B$2,[4]BASE_M!$4:$4,0),FALSE)</f>
        <v>8.8610000000000007</v>
      </c>
      <c r="C14" s="7">
        <f t="shared" si="0"/>
        <v>8.6420000000000012</v>
      </c>
    </row>
    <row r="15" spans="1:3" x14ac:dyDescent="0.35">
      <c r="A15" s="4">
        <v>29587</v>
      </c>
      <c r="B15" s="7">
        <f>VLOOKUP($A15,[4]BASE_M!$A:$AZ,MATCH(B$2,[4]BASE_M!$4:$4,0),FALSE)</f>
        <v>8.98</v>
      </c>
      <c r="C15" s="7">
        <f t="shared" si="0"/>
        <v>8.8483333333333345</v>
      </c>
    </row>
    <row r="16" spans="1:3" x14ac:dyDescent="0.35">
      <c r="A16" s="4">
        <v>29618</v>
      </c>
      <c r="B16" s="7">
        <f>VLOOKUP($A16,[4]BASE_M!$A:$AZ,MATCH(B$2,[4]BASE_M!$4:$4,0),FALSE)</f>
        <v>9.7590000000000003</v>
      </c>
      <c r="C16" s="7">
        <f t="shared" si="0"/>
        <v>9.2000000000000011</v>
      </c>
    </row>
    <row r="17" spans="1:3" x14ac:dyDescent="0.35">
      <c r="A17" s="4">
        <v>29646</v>
      </c>
      <c r="B17" s="7">
        <f>VLOOKUP($A17,[4]BASE_M!$A:$AZ,MATCH(B$2,[4]BASE_M!$4:$4,0),FALSE)</f>
        <v>10.084</v>
      </c>
      <c r="C17" s="7">
        <f t="shared" si="0"/>
        <v>9.6076666666666668</v>
      </c>
    </row>
    <row r="18" spans="1:3" x14ac:dyDescent="0.35">
      <c r="A18" s="4">
        <v>29677</v>
      </c>
      <c r="B18" s="7">
        <f>VLOOKUP($A18,[4]BASE_M!$A:$AZ,MATCH(B$2,[4]BASE_M!$4:$4,0),FALSE)</f>
        <v>10.048</v>
      </c>
      <c r="C18" s="7">
        <f t="shared" si="0"/>
        <v>9.9636666666666667</v>
      </c>
    </row>
    <row r="19" spans="1:3" x14ac:dyDescent="0.35">
      <c r="A19" s="4">
        <v>29707</v>
      </c>
      <c r="B19" s="7">
        <f>VLOOKUP($A19,[4]BASE_M!$A:$AZ,MATCH(B$2,[4]BASE_M!$4:$4,0),FALSE)</f>
        <v>10.382999999999999</v>
      </c>
      <c r="C19" s="7">
        <f t="shared" si="0"/>
        <v>10.171666666666665</v>
      </c>
    </row>
    <row r="20" spans="1:3" x14ac:dyDescent="0.35">
      <c r="A20" s="4">
        <v>29738</v>
      </c>
      <c r="B20" s="7">
        <f>VLOOKUP($A20,[4]BASE_M!$A:$AZ,MATCH(B$2,[4]BASE_M!$4:$4,0),FALSE)</f>
        <v>10.481999999999999</v>
      </c>
      <c r="C20" s="7">
        <f t="shared" si="0"/>
        <v>10.304333333333332</v>
      </c>
    </row>
    <row r="21" spans="1:3" x14ac:dyDescent="0.35">
      <c r="A21" s="4">
        <v>29768</v>
      </c>
      <c r="B21" s="7">
        <f>VLOOKUP($A21,[4]BASE_M!$A:$AZ,MATCH(B$2,[4]BASE_M!$4:$4,0),FALSE)</f>
        <v>10.551</v>
      </c>
      <c r="C21" s="7">
        <f t="shared" si="0"/>
        <v>10.472</v>
      </c>
    </row>
    <row r="22" spans="1:3" x14ac:dyDescent="0.35">
      <c r="A22" s="4">
        <v>29799</v>
      </c>
      <c r="B22" s="7">
        <f>VLOOKUP($A22,[4]BASE_M!$A:$AZ,MATCH(B$2,[4]BASE_M!$4:$4,0),FALSE)</f>
        <v>10.537000000000001</v>
      </c>
      <c r="C22" s="7">
        <f t="shared" si="0"/>
        <v>10.523333333333333</v>
      </c>
    </row>
    <row r="23" spans="1:3" x14ac:dyDescent="0.35">
      <c r="A23" s="4">
        <v>29830</v>
      </c>
      <c r="B23" s="7">
        <f>VLOOKUP($A23,[4]BASE_M!$A:$AZ,MATCH(B$2,[4]BASE_M!$4:$4,0),FALSE)</f>
        <v>10.587999999999999</v>
      </c>
      <c r="C23" s="7">
        <f t="shared" si="0"/>
        <v>10.558666666666667</v>
      </c>
    </row>
    <row r="24" spans="1:3" x14ac:dyDescent="0.35">
      <c r="A24" s="4">
        <v>29860</v>
      </c>
      <c r="B24" s="7">
        <f>VLOOKUP($A24,[4]BASE_M!$A:$AZ,MATCH(B$2,[4]BASE_M!$4:$4,0),FALSE)</f>
        <v>10.257999999999999</v>
      </c>
      <c r="C24" s="7">
        <f t="shared" si="0"/>
        <v>10.461</v>
      </c>
    </row>
    <row r="25" spans="1:3" x14ac:dyDescent="0.35">
      <c r="A25" s="4">
        <v>29891</v>
      </c>
      <c r="B25" s="7">
        <f>VLOOKUP($A25,[4]BASE_M!$A:$AZ,MATCH(B$2,[4]BASE_M!$4:$4,0),FALSE)</f>
        <v>9.9250000000000007</v>
      </c>
      <c r="C25" s="7">
        <f t="shared" si="0"/>
        <v>10.257</v>
      </c>
    </row>
    <row r="26" spans="1:3" x14ac:dyDescent="0.35">
      <c r="A26" s="4">
        <v>29921</v>
      </c>
      <c r="B26" s="7">
        <f>VLOOKUP($A26,[4]BASE_M!$A:$AZ,MATCH(B$2,[4]BASE_M!$4:$4,0),FALSE)</f>
        <v>9.7110000000000003</v>
      </c>
      <c r="C26" s="7">
        <f t="shared" si="0"/>
        <v>9.9646666666666661</v>
      </c>
    </row>
    <row r="27" spans="1:3" x14ac:dyDescent="0.35">
      <c r="A27" s="4">
        <v>29952</v>
      </c>
      <c r="B27" s="7">
        <f>VLOOKUP($A27,[4]BASE_M!$A:$AZ,MATCH(B$2,[4]BASE_M!$4:$4,0),FALSE)</f>
        <v>9.827</v>
      </c>
      <c r="C27" s="7">
        <f t="shared" si="0"/>
        <v>9.8209999999999997</v>
      </c>
    </row>
    <row r="28" spans="1:3" x14ac:dyDescent="0.35">
      <c r="A28" s="4">
        <v>29983</v>
      </c>
      <c r="B28" s="7">
        <f>VLOOKUP($A28,[4]BASE_M!$A:$AZ,MATCH(B$2,[4]BASE_M!$4:$4,0),FALSE)</f>
        <v>9.7609999999999992</v>
      </c>
      <c r="C28" s="7">
        <f t="shared" si="0"/>
        <v>9.7663333333333338</v>
      </c>
    </row>
    <row r="29" spans="1:3" x14ac:dyDescent="0.35">
      <c r="A29" s="4">
        <v>30011</v>
      </c>
      <c r="B29" s="7">
        <f>VLOOKUP($A29,[4]BASE_M!$A:$AZ,MATCH(B$2,[4]BASE_M!$4:$4,0),FALSE)</f>
        <v>9.4320000000000004</v>
      </c>
      <c r="C29" s="7">
        <f t="shared" si="0"/>
        <v>9.6733333333333338</v>
      </c>
    </row>
    <row r="30" spans="1:3" x14ac:dyDescent="0.35">
      <c r="A30" s="4">
        <v>30042</v>
      </c>
      <c r="B30" s="7">
        <f>VLOOKUP($A30,[4]BASE_M!$A:$AZ,MATCH(B$2,[4]BASE_M!$4:$4,0),FALSE)</f>
        <v>8.9809999999999999</v>
      </c>
      <c r="C30" s="7">
        <f t="shared" si="0"/>
        <v>9.3913333333333338</v>
      </c>
    </row>
    <row r="31" spans="1:3" x14ac:dyDescent="0.35">
      <c r="A31" s="4">
        <v>30072</v>
      </c>
      <c r="B31" s="7">
        <f>VLOOKUP($A31,[4]BASE_M!$A:$AZ,MATCH(B$2,[4]BASE_M!$4:$4,0),FALSE)</f>
        <v>8.8149999999999995</v>
      </c>
      <c r="C31" s="7">
        <f t="shared" si="0"/>
        <v>9.0760000000000005</v>
      </c>
    </row>
    <row r="32" spans="1:3" x14ac:dyDescent="0.35">
      <c r="A32" s="4">
        <v>30103</v>
      </c>
      <c r="B32" s="7">
        <f>VLOOKUP($A32,[4]BASE_M!$A:$AZ,MATCH(B$2,[4]BASE_M!$4:$4,0),FALSE)</f>
        <v>9.1539999999999999</v>
      </c>
      <c r="C32" s="7">
        <f t="shared" si="0"/>
        <v>8.9833333333333325</v>
      </c>
    </row>
    <row r="33" spans="1:3" x14ac:dyDescent="0.35">
      <c r="A33" s="4">
        <v>30133</v>
      </c>
      <c r="B33" s="7">
        <f>VLOOKUP($A33,[4]BASE_M!$A:$AZ,MATCH(B$2,[4]BASE_M!$4:$4,0),FALSE)</f>
        <v>9.2609999999999992</v>
      </c>
      <c r="C33" s="7">
        <f t="shared" si="0"/>
        <v>9.0766666666666662</v>
      </c>
    </row>
    <row r="34" spans="1:3" x14ac:dyDescent="0.35">
      <c r="A34" s="4">
        <v>30164</v>
      </c>
      <c r="B34" s="7">
        <f>VLOOKUP($A34,[4]BASE_M!$A:$AZ,MATCH(B$2,[4]BASE_M!$4:$4,0),FALSE)</f>
        <v>8.98</v>
      </c>
      <c r="C34" s="7">
        <f t="shared" si="0"/>
        <v>9.1316666666666659</v>
      </c>
    </row>
    <row r="35" spans="1:3" x14ac:dyDescent="0.35">
      <c r="A35" s="4">
        <v>30195</v>
      </c>
      <c r="B35" s="7">
        <f>VLOOKUP($A35,[4]BASE_M!$A:$AZ,MATCH(B$2,[4]BASE_M!$4:$4,0),FALSE)</f>
        <v>8.7210000000000001</v>
      </c>
      <c r="C35" s="7">
        <f t="shared" si="0"/>
        <v>8.9873333333333338</v>
      </c>
    </row>
    <row r="36" spans="1:3" x14ac:dyDescent="0.35">
      <c r="A36" s="4">
        <v>30225</v>
      </c>
      <c r="B36" s="7">
        <f>VLOOKUP($A36,[4]BASE_M!$A:$AZ,MATCH(B$2,[4]BASE_M!$4:$4,0),FALSE)</f>
        <v>8.3650000000000002</v>
      </c>
      <c r="C36" s="7">
        <f t="shared" si="0"/>
        <v>8.6886666666666681</v>
      </c>
    </row>
    <row r="37" spans="1:3" x14ac:dyDescent="0.35">
      <c r="A37" s="4">
        <v>30256</v>
      </c>
      <c r="B37" s="7">
        <f>VLOOKUP($A37,[4]BASE_M!$A:$AZ,MATCH(B$2,[4]BASE_M!$4:$4,0),FALSE)</f>
        <v>8.2880000000000003</v>
      </c>
      <c r="C37" s="7">
        <f t="shared" si="0"/>
        <v>8.4580000000000002</v>
      </c>
    </row>
    <row r="38" spans="1:3" x14ac:dyDescent="0.35">
      <c r="A38" s="4">
        <v>30286</v>
      </c>
      <c r="B38" s="7">
        <f>VLOOKUP($A38,[4]BASE_M!$A:$AZ,MATCH(B$2,[4]BASE_M!$4:$4,0),FALSE)</f>
        <v>8.0050000000000008</v>
      </c>
      <c r="C38" s="7">
        <f t="shared" si="0"/>
        <v>8.2193333333333332</v>
      </c>
    </row>
    <row r="39" spans="1:3" x14ac:dyDescent="0.35">
      <c r="A39" s="4">
        <v>30317</v>
      </c>
      <c r="B39" s="7">
        <f>VLOOKUP($A39,[4]BASE_M!$A:$AZ,MATCH(B$2,[4]BASE_M!$4:$4,0),FALSE)</f>
        <v>7.71</v>
      </c>
      <c r="C39" s="7">
        <f t="shared" si="0"/>
        <v>8.0009999999999994</v>
      </c>
    </row>
    <row r="40" spans="1:3" x14ac:dyDescent="0.35">
      <c r="A40" s="4">
        <v>30348</v>
      </c>
      <c r="B40" s="7">
        <f>VLOOKUP($A40,[4]BASE_M!$A:$AZ,MATCH(B$2,[4]BASE_M!$4:$4,0),FALSE)</f>
        <v>7.7119999999999997</v>
      </c>
      <c r="C40" s="7">
        <f t="shared" si="0"/>
        <v>7.8090000000000002</v>
      </c>
    </row>
    <row r="41" spans="1:3" x14ac:dyDescent="0.35">
      <c r="A41" s="4">
        <v>30376</v>
      </c>
      <c r="B41" s="7">
        <f>VLOOKUP($A41,[4]BASE_M!$A:$AZ,MATCH(B$2,[4]BASE_M!$4:$4,0),FALSE)</f>
        <v>7.4219999999999997</v>
      </c>
      <c r="C41" s="7">
        <f t="shared" si="0"/>
        <v>7.6146666666666674</v>
      </c>
    </row>
    <row r="42" spans="1:3" x14ac:dyDescent="0.35">
      <c r="A42" s="4">
        <v>30407</v>
      </c>
      <c r="B42" s="7">
        <f>VLOOKUP($A42,[4]BASE_M!$A:$AZ,MATCH(B$2,[4]BASE_M!$4:$4,0),FALSE)</f>
        <v>7.5129999999999999</v>
      </c>
      <c r="C42" s="7">
        <f t="shared" si="0"/>
        <v>7.5489999999999995</v>
      </c>
    </row>
    <row r="43" spans="1:3" x14ac:dyDescent="0.35">
      <c r="A43" s="4">
        <v>30437</v>
      </c>
      <c r="B43" s="7">
        <f>VLOOKUP($A43,[4]BASE_M!$A:$AZ,MATCH(B$2,[4]BASE_M!$4:$4,0),FALSE)</f>
        <v>7.6890000000000001</v>
      </c>
      <c r="C43" s="7">
        <f t="shared" si="0"/>
        <v>7.5413333333333332</v>
      </c>
    </row>
    <row r="44" spans="1:3" x14ac:dyDescent="0.35">
      <c r="A44" s="4">
        <v>30468</v>
      </c>
      <c r="B44" s="7">
        <f>VLOOKUP($A44,[4]BASE_M!$A:$AZ,MATCH(B$2,[4]BASE_M!$4:$4,0),FALSE)</f>
        <v>8.109</v>
      </c>
      <c r="C44" s="7">
        <f t="shared" si="0"/>
        <v>7.7703333333333333</v>
      </c>
    </row>
    <row r="45" spans="1:3" x14ac:dyDescent="0.35">
      <c r="A45" s="4">
        <v>30498</v>
      </c>
      <c r="B45" s="7">
        <f>VLOOKUP($A45,[4]BASE_M!$A:$AZ,MATCH(B$2,[4]BASE_M!$4:$4,0),FALSE)</f>
        <v>8.2390000000000008</v>
      </c>
      <c r="C45" s="7">
        <f t="shared" si="0"/>
        <v>8.0123333333333324</v>
      </c>
    </row>
    <row r="46" spans="1:3" x14ac:dyDescent="0.35">
      <c r="A46" s="4">
        <v>30529</v>
      </c>
      <c r="B46" s="7">
        <f>VLOOKUP($A46,[4]BASE_M!$A:$AZ,MATCH(B$2,[4]BASE_M!$4:$4,0),FALSE)</f>
        <v>8.3659999999999997</v>
      </c>
      <c r="C46" s="7">
        <f t="shared" si="0"/>
        <v>8.2379999999999995</v>
      </c>
    </row>
    <row r="47" spans="1:3" x14ac:dyDescent="0.35">
      <c r="A47" s="4">
        <v>30560</v>
      </c>
      <c r="B47" s="7">
        <f>VLOOKUP($A47,[4]BASE_M!$A:$AZ,MATCH(B$2,[4]BASE_M!$4:$4,0),FALSE)</f>
        <v>8.4779999999999998</v>
      </c>
      <c r="C47" s="7">
        <f t="shared" si="0"/>
        <v>8.3609999999999989</v>
      </c>
    </row>
    <row r="48" spans="1:3" x14ac:dyDescent="0.35">
      <c r="A48" s="4">
        <v>30590</v>
      </c>
      <c r="B48" s="7">
        <f>VLOOKUP($A48,[4]BASE_M!$A:$AZ,MATCH(B$2,[4]BASE_M!$4:$4,0),FALSE)</f>
        <v>8.2620000000000005</v>
      </c>
      <c r="C48" s="7">
        <f t="shared" si="0"/>
        <v>8.3686666666666678</v>
      </c>
    </row>
    <row r="49" spans="1:3" x14ac:dyDescent="0.35">
      <c r="A49" s="4">
        <v>30621</v>
      </c>
      <c r="B49" s="7">
        <f>VLOOKUP($A49,[4]BASE_M!$A:$AZ,MATCH(B$2,[4]BASE_M!$4:$4,0),FALSE)</f>
        <v>8.3070000000000004</v>
      </c>
      <c r="C49" s="7">
        <f t="shared" si="0"/>
        <v>8.349000000000002</v>
      </c>
    </row>
    <row r="50" spans="1:3" x14ac:dyDescent="0.35">
      <c r="A50" s="4">
        <v>30651</v>
      </c>
      <c r="B50" s="7">
        <f>VLOOKUP($A50,[4]BASE_M!$A:$AZ,MATCH(B$2,[4]BASE_M!$4:$4,0),FALSE)</f>
        <v>8.41</v>
      </c>
      <c r="C50" s="7">
        <f t="shared" si="0"/>
        <v>8.3263333333333343</v>
      </c>
    </row>
    <row r="51" spans="1:3" x14ac:dyDescent="0.35">
      <c r="A51" s="4">
        <v>30682</v>
      </c>
      <c r="B51" s="7">
        <f>VLOOKUP($A51,[4]BASE_M!$A:$AZ,MATCH(B$2,[4]BASE_M!$4:$4,0),FALSE)</f>
        <v>8.3759999999999994</v>
      </c>
      <c r="C51" s="7">
        <f t="shared" si="0"/>
        <v>8.3643333333333327</v>
      </c>
    </row>
    <row r="52" spans="1:3" x14ac:dyDescent="0.35">
      <c r="A52" s="4">
        <v>30713</v>
      </c>
      <c r="B52" s="7">
        <f>VLOOKUP($A52,[4]BASE_M!$A:$AZ,MATCH(B$2,[4]BASE_M!$4:$4,0),FALSE)</f>
        <v>8.2059999999999995</v>
      </c>
      <c r="C52" s="7">
        <f t="shared" si="0"/>
        <v>8.3306666666666676</v>
      </c>
    </row>
    <row r="53" spans="1:3" x14ac:dyDescent="0.35">
      <c r="A53" s="4">
        <v>30742</v>
      </c>
      <c r="B53" s="7">
        <f>VLOOKUP($A53,[4]BASE_M!$A:$AZ,MATCH(B$2,[4]BASE_M!$4:$4,0),FALSE)</f>
        <v>8.1180000000000003</v>
      </c>
      <c r="C53" s="7">
        <f t="shared" si="0"/>
        <v>8.2333333333333343</v>
      </c>
    </row>
    <row r="54" spans="1:3" x14ac:dyDescent="0.35">
      <c r="A54" s="4">
        <v>30773</v>
      </c>
      <c r="B54" s="7">
        <f>VLOOKUP($A54,[4]BASE_M!$A:$AZ,MATCH(B$2,[4]BASE_M!$4:$4,0),FALSE)</f>
        <v>8.0809999999999995</v>
      </c>
      <c r="C54" s="7">
        <f t="shared" si="0"/>
        <v>8.1349999999999998</v>
      </c>
    </row>
    <row r="55" spans="1:3" x14ac:dyDescent="0.35">
      <c r="A55" s="4">
        <v>30803</v>
      </c>
      <c r="B55" s="7">
        <f>VLOOKUP($A55,[4]BASE_M!$A:$AZ,MATCH(B$2,[4]BASE_M!$4:$4,0),FALSE)</f>
        <v>8.2409999999999997</v>
      </c>
      <c r="C55" s="7">
        <f t="shared" si="0"/>
        <v>8.1466666666666665</v>
      </c>
    </row>
    <row r="56" spans="1:3" x14ac:dyDescent="0.35">
      <c r="A56" s="4">
        <v>30834</v>
      </c>
      <c r="B56" s="7">
        <f>VLOOKUP($A56,[4]BASE_M!$A:$AZ,MATCH(B$2,[4]BASE_M!$4:$4,0),FALSE)</f>
        <v>8.2420000000000009</v>
      </c>
      <c r="C56" s="7">
        <f t="shared" si="0"/>
        <v>8.1880000000000006</v>
      </c>
    </row>
    <row r="57" spans="1:3" x14ac:dyDescent="0.35">
      <c r="A57" s="4">
        <v>30864</v>
      </c>
      <c r="B57" s="7">
        <f>VLOOKUP($A57,[4]BASE_M!$A:$AZ,MATCH(B$2,[4]BASE_M!$4:$4,0),FALSE)</f>
        <v>8.2390000000000008</v>
      </c>
      <c r="C57" s="7">
        <f t="shared" si="0"/>
        <v>8.2406666666666677</v>
      </c>
    </row>
    <row r="58" spans="1:3" x14ac:dyDescent="0.35">
      <c r="A58" s="4">
        <v>30895</v>
      </c>
      <c r="B58" s="7">
        <f>VLOOKUP($A58,[4]BASE_M!$A:$AZ,MATCH(B$2,[4]BASE_M!$4:$4,0),FALSE)</f>
        <v>8.1140000000000008</v>
      </c>
      <c r="C58" s="7">
        <f t="shared" si="0"/>
        <v>8.1983333333333341</v>
      </c>
    </row>
    <row r="59" spans="1:3" x14ac:dyDescent="0.35">
      <c r="A59" s="4">
        <v>30926</v>
      </c>
      <c r="B59" s="7">
        <f>VLOOKUP($A59,[4]BASE_M!$A:$AZ,MATCH(B$2,[4]BASE_M!$4:$4,0),FALSE)</f>
        <v>7.8979999999999997</v>
      </c>
      <c r="C59" s="7">
        <f t="shared" si="0"/>
        <v>8.0836666666666677</v>
      </c>
    </row>
    <row r="60" spans="1:3" x14ac:dyDescent="0.35">
      <c r="A60" s="4">
        <v>30956</v>
      </c>
      <c r="B60" s="7">
        <f>VLOOKUP($A60,[4]BASE_M!$A:$AZ,MATCH(B$2,[4]BASE_M!$4:$4,0),FALSE)</f>
        <v>7.5709999999999997</v>
      </c>
      <c r="C60" s="7">
        <f t="shared" si="0"/>
        <v>7.8609999999999998</v>
      </c>
    </row>
    <row r="61" spans="1:3" x14ac:dyDescent="0.35">
      <c r="A61" s="4">
        <v>30987</v>
      </c>
      <c r="B61" s="7">
        <f>VLOOKUP($A61,[4]BASE_M!$A:$AZ,MATCH(B$2,[4]BASE_M!$4:$4,0),FALSE)</f>
        <v>7.2560000000000002</v>
      </c>
      <c r="C61" s="7">
        <f t="shared" si="0"/>
        <v>7.5750000000000002</v>
      </c>
    </row>
    <row r="62" spans="1:3" x14ac:dyDescent="0.35">
      <c r="A62" s="4">
        <v>31017</v>
      </c>
      <c r="B62" s="7">
        <f>VLOOKUP($A62,[4]BASE_M!$A:$AZ,MATCH(B$2,[4]BASE_M!$4:$4,0),FALSE)</f>
        <v>7.0430000000000001</v>
      </c>
      <c r="C62" s="7">
        <f t="shared" si="0"/>
        <v>7.29</v>
      </c>
    </row>
    <row r="63" spans="1:3" x14ac:dyDescent="0.35">
      <c r="A63" s="4">
        <v>31048</v>
      </c>
      <c r="B63" s="7">
        <f>VLOOKUP($A63,[4]BASE_M!$A:$AZ,MATCH(B$2,[4]BASE_M!$4:$4,0),FALSE)</f>
        <v>7.1159999999999997</v>
      </c>
      <c r="C63" s="7">
        <f t="shared" si="0"/>
        <v>7.1383333333333328</v>
      </c>
    </row>
    <row r="64" spans="1:3" x14ac:dyDescent="0.35">
      <c r="A64" s="4">
        <v>31079</v>
      </c>
      <c r="B64" s="7">
        <f>VLOOKUP($A64,[4]BASE_M!$A:$AZ,MATCH(B$2,[4]BASE_M!$4:$4,0),FALSE)</f>
        <v>7.5919999999999996</v>
      </c>
      <c r="C64" s="7">
        <f t="shared" si="0"/>
        <v>7.2503333333333329</v>
      </c>
    </row>
    <row r="65" spans="1:3" x14ac:dyDescent="0.35">
      <c r="A65" s="4">
        <v>31107</v>
      </c>
      <c r="B65" s="7">
        <f>VLOOKUP($A65,[4]BASE_M!$A:$AZ,MATCH(B$2,[4]BASE_M!$4:$4,0),FALSE)</f>
        <v>7.625</v>
      </c>
      <c r="C65" s="7">
        <f t="shared" si="0"/>
        <v>7.4443333333333328</v>
      </c>
    </row>
    <row r="66" spans="1:3" x14ac:dyDescent="0.35">
      <c r="A66" s="4">
        <v>31138</v>
      </c>
      <c r="B66" s="7">
        <f>VLOOKUP($A66,[4]BASE_M!$A:$AZ,MATCH(B$2,[4]BASE_M!$4:$4,0),FALSE)</f>
        <v>7.3070000000000004</v>
      </c>
      <c r="C66" s="7">
        <f t="shared" si="0"/>
        <v>7.508</v>
      </c>
    </row>
    <row r="67" spans="1:3" x14ac:dyDescent="0.35">
      <c r="A67" s="4">
        <v>31168</v>
      </c>
      <c r="B67" s="7">
        <f>VLOOKUP($A67,[4]BASE_M!$A:$AZ,MATCH(B$2,[4]BASE_M!$4:$4,0),FALSE)</f>
        <v>7.2009999999999996</v>
      </c>
      <c r="C67" s="7">
        <f t="shared" si="0"/>
        <v>7.3776666666666664</v>
      </c>
    </row>
    <row r="68" spans="1:3" x14ac:dyDescent="0.35">
      <c r="A68" s="4">
        <v>31199</v>
      </c>
      <c r="B68" s="7">
        <f>VLOOKUP($A68,[4]BASE_M!$A:$AZ,MATCH(B$2,[4]BASE_M!$4:$4,0),FALSE)</f>
        <v>7.0490000000000004</v>
      </c>
      <c r="C68" s="7">
        <f t="shared" si="0"/>
        <v>7.1856666666666662</v>
      </c>
    </row>
    <row r="69" spans="1:3" x14ac:dyDescent="0.35">
      <c r="A69" s="4">
        <v>31229</v>
      </c>
      <c r="B69" s="7">
        <f>VLOOKUP($A69,[4]BASE_M!$A:$AZ,MATCH(B$2,[4]BASE_M!$4:$4,0),FALSE)</f>
        <v>6.8639999999999999</v>
      </c>
      <c r="C69" s="7">
        <f t="shared" si="0"/>
        <v>7.0380000000000003</v>
      </c>
    </row>
    <row r="70" spans="1:3" x14ac:dyDescent="0.35">
      <c r="A70" s="4">
        <v>31260</v>
      </c>
      <c r="B70" s="7">
        <f>VLOOKUP($A70,[4]BASE_M!$A:$AZ,MATCH(B$2,[4]BASE_M!$4:$4,0),FALSE)</f>
        <v>6.585</v>
      </c>
      <c r="C70" s="7">
        <f t="shared" si="0"/>
        <v>6.8326666666666673</v>
      </c>
    </row>
    <row r="71" spans="1:3" x14ac:dyDescent="0.35">
      <c r="A71" s="4">
        <v>31291</v>
      </c>
      <c r="B71" s="7">
        <f>VLOOKUP($A71,[4]BASE_M!$A:$AZ,MATCH(B$2,[4]BASE_M!$4:$4,0),FALSE)</f>
        <v>6.399</v>
      </c>
      <c r="C71" s="7">
        <f t="shared" ref="C71:C134" si="1">AVERAGE(B69:B71)</f>
        <v>6.6159999999999997</v>
      </c>
    </row>
    <row r="72" spans="1:3" x14ac:dyDescent="0.35">
      <c r="A72" s="4">
        <v>31321</v>
      </c>
      <c r="B72" s="7">
        <f>VLOOKUP($A72,[4]BASE_M!$A:$AZ,MATCH(B$2,[4]BASE_M!$4:$4,0),FALSE)</f>
        <v>6.5910000000000002</v>
      </c>
      <c r="C72" s="7">
        <f t="shared" si="1"/>
        <v>6.5249999999999995</v>
      </c>
    </row>
    <row r="73" spans="1:3" x14ac:dyDescent="0.35">
      <c r="A73" s="4">
        <v>31352</v>
      </c>
      <c r="B73" s="7">
        <f>VLOOKUP($A73,[4]BASE_M!$A:$AZ,MATCH(B$2,[4]BASE_M!$4:$4,0),FALSE)</f>
        <v>6.5759999999999996</v>
      </c>
      <c r="C73" s="7">
        <f t="shared" si="1"/>
        <v>6.5219999999999994</v>
      </c>
    </row>
    <row r="74" spans="1:3" x14ac:dyDescent="0.35">
      <c r="A74" s="4">
        <v>31382</v>
      </c>
      <c r="B74" s="7">
        <f>VLOOKUP($A74,[4]BASE_M!$A:$AZ,MATCH(B$2,[4]BASE_M!$4:$4,0),FALSE)</f>
        <v>6.4539999999999997</v>
      </c>
      <c r="C74" s="7">
        <f t="shared" si="1"/>
        <v>6.5403333333333329</v>
      </c>
    </row>
    <row r="75" spans="1:3" x14ac:dyDescent="0.35">
      <c r="A75" s="4">
        <v>31413</v>
      </c>
      <c r="B75" s="7">
        <f>VLOOKUP($A75,[4]BASE_M!$A:$AZ,MATCH(B$2,[4]BASE_M!$4:$4,0),FALSE)</f>
        <v>6.3090000000000002</v>
      </c>
      <c r="C75" s="7">
        <f t="shared" si="1"/>
        <v>6.4463333333333326</v>
      </c>
    </row>
    <row r="76" spans="1:3" x14ac:dyDescent="0.35">
      <c r="A76" s="4">
        <v>31444</v>
      </c>
      <c r="B76" s="7">
        <f>VLOOKUP($A76,[4]BASE_M!$A:$AZ,MATCH(B$2,[4]BASE_M!$4:$4,0),FALSE)</f>
        <v>6.226</v>
      </c>
      <c r="C76" s="7">
        <f t="shared" si="1"/>
        <v>6.3296666666666672</v>
      </c>
    </row>
    <row r="77" spans="1:3" x14ac:dyDescent="0.35">
      <c r="A77" s="4">
        <v>31472</v>
      </c>
      <c r="B77" s="7">
        <f>VLOOKUP($A77,[4]BASE_M!$A:$AZ,MATCH(B$2,[4]BASE_M!$4:$4,0),FALSE)</f>
        <v>5.75</v>
      </c>
      <c r="C77" s="7">
        <f t="shared" si="1"/>
        <v>6.0949999999999998</v>
      </c>
    </row>
    <row r="78" spans="1:3" x14ac:dyDescent="0.35">
      <c r="A78" s="4">
        <v>31503</v>
      </c>
      <c r="B78" s="7">
        <f>VLOOKUP($A78,[4]BASE_M!$A:$AZ,MATCH(B$2,[4]BASE_M!$4:$4,0),FALSE)</f>
        <v>5.3630000000000004</v>
      </c>
      <c r="C78" s="7">
        <f t="shared" si="1"/>
        <v>5.7796666666666665</v>
      </c>
    </row>
    <row r="79" spans="1:3" x14ac:dyDescent="0.35">
      <c r="A79" s="4">
        <v>31533</v>
      </c>
      <c r="B79" s="7">
        <f>VLOOKUP($A79,[4]BASE_M!$A:$AZ,MATCH(B$2,[4]BASE_M!$4:$4,0),FALSE)</f>
        <v>5.7480000000000002</v>
      </c>
      <c r="C79" s="7">
        <f t="shared" si="1"/>
        <v>5.6203333333333338</v>
      </c>
    </row>
    <row r="80" spans="1:3" x14ac:dyDescent="0.35">
      <c r="A80" s="4">
        <v>31564</v>
      </c>
      <c r="B80" s="7">
        <f>VLOOKUP($A80,[4]BASE_M!$A:$AZ,MATCH(B$2,[4]BASE_M!$4:$4,0),FALSE)</f>
        <v>5.867</v>
      </c>
      <c r="C80" s="7">
        <f t="shared" si="1"/>
        <v>5.6593333333333335</v>
      </c>
    </row>
    <row r="81" spans="1:3" x14ac:dyDescent="0.35">
      <c r="A81" s="4">
        <v>31594</v>
      </c>
      <c r="B81" s="7">
        <f>VLOOKUP($A81,[4]BASE_M!$A:$AZ,MATCH(B$2,[4]BASE_M!$4:$4,0),FALSE)</f>
        <v>5.7729999999999997</v>
      </c>
      <c r="C81" s="7">
        <f t="shared" si="1"/>
        <v>5.7959999999999994</v>
      </c>
    </row>
    <row r="82" spans="1:3" x14ac:dyDescent="0.35">
      <c r="A82" s="4">
        <v>31625</v>
      </c>
      <c r="B82" s="7">
        <f>VLOOKUP($A82,[4]BASE_M!$A:$AZ,MATCH(B$2,[4]BASE_M!$4:$4,0),FALSE)</f>
        <v>5.5990000000000002</v>
      </c>
      <c r="C82" s="7">
        <f t="shared" si="1"/>
        <v>5.7463333333333333</v>
      </c>
    </row>
    <row r="83" spans="1:3" x14ac:dyDescent="0.35">
      <c r="A83" s="4">
        <v>31656</v>
      </c>
      <c r="B83" s="7">
        <f>VLOOKUP($A83,[4]BASE_M!$A:$AZ,MATCH(B$2,[4]BASE_M!$4:$4,0),FALSE)</f>
        <v>5.8209999999999997</v>
      </c>
      <c r="C83" s="7">
        <f t="shared" si="1"/>
        <v>5.730999999999999</v>
      </c>
    </row>
    <row r="84" spans="1:3" x14ac:dyDescent="0.35">
      <c r="A84" s="4">
        <v>31686</v>
      </c>
      <c r="B84" s="7">
        <f>VLOOKUP($A84,[4]BASE_M!$A:$AZ,MATCH(B$2,[4]BASE_M!$4:$4,0),FALSE)</f>
        <v>6.14</v>
      </c>
      <c r="C84" s="7">
        <f t="shared" si="1"/>
        <v>5.8533333333333326</v>
      </c>
    </row>
    <row r="85" spans="1:3" x14ac:dyDescent="0.35">
      <c r="A85" s="4">
        <v>31717</v>
      </c>
      <c r="B85" s="7">
        <f>VLOOKUP($A85,[4]BASE_M!$A:$AZ,MATCH(B$2,[4]BASE_M!$4:$4,0),FALSE)</f>
        <v>6.173</v>
      </c>
      <c r="C85" s="7">
        <f t="shared" si="1"/>
        <v>6.0446666666666671</v>
      </c>
    </row>
    <row r="86" spans="1:3" x14ac:dyDescent="0.35">
      <c r="A86" s="4">
        <v>31747</v>
      </c>
      <c r="B86" s="7">
        <f>VLOOKUP($A86,[4]BASE_M!$A:$AZ,MATCH(B$2,[4]BASE_M!$4:$4,0),FALSE)</f>
        <v>5.9550000000000001</v>
      </c>
      <c r="C86" s="7">
        <f t="shared" si="1"/>
        <v>6.0893333333333333</v>
      </c>
    </row>
    <row r="87" spans="1:3" x14ac:dyDescent="0.35">
      <c r="A87" s="4">
        <v>31778</v>
      </c>
      <c r="B87" s="7">
        <f>VLOOKUP($A87,[4]BASE_M!$A:$AZ,MATCH(B$2,[4]BASE_M!$4:$4,0),FALSE)</f>
        <v>5.9480000000000004</v>
      </c>
      <c r="C87" s="7">
        <f t="shared" si="1"/>
        <v>6.0253333333333332</v>
      </c>
    </row>
    <row r="88" spans="1:3" x14ac:dyDescent="0.35">
      <c r="A88" s="4">
        <v>31809</v>
      </c>
      <c r="B88" s="7">
        <f>VLOOKUP($A88,[4]BASE_M!$A:$AZ,MATCH(B$2,[4]BASE_M!$4:$4,0),FALSE)</f>
        <v>5.9429999999999996</v>
      </c>
      <c r="C88" s="7">
        <f t="shared" si="1"/>
        <v>5.948666666666667</v>
      </c>
    </row>
    <row r="89" spans="1:3" x14ac:dyDescent="0.35">
      <c r="A89" s="4">
        <v>31837</v>
      </c>
      <c r="B89" s="7">
        <f>VLOOKUP($A89,[4]BASE_M!$A:$AZ,MATCH(B$2,[4]BASE_M!$4:$4,0),FALSE)</f>
        <v>5.8789999999999996</v>
      </c>
      <c r="C89" s="7">
        <f t="shared" si="1"/>
        <v>5.9233333333333329</v>
      </c>
    </row>
    <row r="90" spans="1:3" x14ac:dyDescent="0.35">
      <c r="A90" s="4">
        <v>31868</v>
      </c>
      <c r="B90" s="7">
        <f>VLOOKUP($A90,[4]BASE_M!$A:$AZ,MATCH(B$2,[4]BASE_M!$4:$4,0),FALSE)</f>
        <v>5.6219999999999999</v>
      </c>
      <c r="C90" s="7">
        <f t="shared" si="1"/>
        <v>5.8146666666666667</v>
      </c>
    </row>
    <row r="91" spans="1:3" x14ac:dyDescent="0.35">
      <c r="A91" s="4">
        <v>31898</v>
      </c>
      <c r="B91" s="7">
        <f>VLOOKUP($A91,[4]BASE_M!$A:$AZ,MATCH(B$2,[4]BASE_M!$4:$4,0),FALSE)</f>
        <v>5.5430000000000001</v>
      </c>
      <c r="C91" s="7">
        <f t="shared" si="1"/>
        <v>5.6813333333333338</v>
      </c>
    </row>
    <row r="92" spans="1:3" x14ac:dyDescent="0.35">
      <c r="A92" s="4">
        <v>31929</v>
      </c>
      <c r="B92" s="7">
        <f>VLOOKUP($A92,[4]BASE_M!$A:$AZ,MATCH(B$2,[4]BASE_M!$4:$4,0),FALSE)</f>
        <v>5.827</v>
      </c>
      <c r="C92" s="7">
        <f t="shared" si="1"/>
        <v>5.6639999999999988</v>
      </c>
    </row>
    <row r="93" spans="1:3" x14ac:dyDescent="0.35">
      <c r="A93" s="4">
        <v>31959</v>
      </c>
      <c r="B93" s="7">
        <f>VLOOKUP($A93,[4]BASE_M!$A:$AZ,MATCH(B$2,[4]BASE_M!$4:$4,0),FALSE)</f>
        <v>6.1829999999999998</v>
      </c>
      <c r="C93" s="7">
        <f t="shared" si="1"/>
        <v>5.851</v>
      </c>
    </row>
    <row r="94" spans="1:3" x14ac:dyDescent="0.35">
      <c r="A94" s="4">
        <v>31990</v>
      </c>
      <c r="B94" s="7">
        <f>VLOOKUP($A94,[4]BASE_M!$A:$AZ,MATCH(B$2,[4]BASE_M!$4:$4,0),FALSE)</f>
        <v>6.4160000000000004</v>
      </c>
      <c r="C94" s="7">
        <f t="shared" si="1"/>
        <v>6.1420000000000003</v>
      </c>
    </row>
    <row r="95" spans="1:3" x14ac:dyDescent="0.35">
      <c r="A95" s="4">
        <v>32021</v>
      </c>
      <c r="B95" s="7">
        <f>VLOOKUP($A95,[4]BASE_M!$A:$AZ,MATCH(B$2,[4]BASE_M!$4:$4,0),FALSE)</f>
        <v>6.6840000000000002</v>
      </c>
      <c r="C95" s="7">
        <f t="shared" si="1"/>
        <v>6.4276666666666671</v>
      </c>
    </row>
    <row r="96" spans="1:3" x14ac:dyDescent="0.35">
      <c r="A96" s="4">
        <v>32051</v>
      </c>
      <c r="B96" s="7">
        <f>VLOOKUP($A96,[4]BASE_M!$A:$AZ,MATCH(B$2,[4]BASE_M!$4:$4,0),FALSE)</f>
        <v>6.891</v>
      </c>
      <c r="C96" s="7">
        <f t="shared" si="1"/>
        <v>6.6636666666666668</v>
      </c>
    </row>
    <row r="97" spans="1:3" x14ac:dyDescent="0.35">
      <c r="A97" s="4">
        <v>32082</v>
      </c>
      <c r="B97" s="7">
        <f>VLOOKUP($A97,[4]BASE_M!$A:$AZ,MATCH(B$2,[4]BASE_M!$4:$4,0),FALSE)</f>
        <v>6.3319999999999999</v>
      </c>
      <c r="C97" s="7">
        <f t="shared" si="1"/>
        <v>6.6356666666666664</v>
      </c>
    </row>
    <row r="98" spans="1:3" x14ac:dyDescent="0.35">
      <c r="A98" s="4">
        <v>32112</v>
      </c>
      <c r="B98" s="7">
        <f>VLOOKUP($A98,[4]BASE_M!$A:$AZ,MATCH(B$2,[4]BASE_M!$4:$4,0),FALSE)</f>
        <v>6.4279999999999999</v>
      </c>
      <c r="C98" s="7">
        <f t="shared" si="1"/>
        <v>6.5503333333333336</v>
      </c>
    </row>
    <row r="99" spans="1:3" x14ac:dyDescent="0.35">
      <c r="A99" s="4">
        <v>32143</v>
      </c>
      <c r="B99" s="7">
        <f>VLOOKUP($A99,[4]BASE_M!$A:$AZ,MATCH(B$2,[4]BASE_M!$4:$4,0),FALSE)</f>
        <v>6.4770000000000003</v>
      </c>
      <c r="C99" s="7">
        <f t="shared" si="1"/>
        <v>6.4123333333333337</v>
      </c>
    </row>
    <row r="100" spans="1:3" x14ac:dyDescent="0.35">
      <c r="A100" s="4">
        <v>32174</v>
      </c>
      <c r="B100" s="7">
        <f>VLOOKUP($A100,[4]BASE_M!$A:$AZ,MATCH(B$2,[4]BASE_M!$4:$4,0),FALSE)</f>
        <v>6.2720000000000002</v>
      </c>
      <c r="C100" s="7">
        <f t="shared" si="1"/>
        <v>6.3923333333333332</v>
      </c>
    </row>
    <row r="101" spans="1:3" x14ac:dyDescent="0.35">
      <c r="A101" s="4">
        <v>32203</v>
      </c>
      <c r="B101" s="7">
        <f>VLOOKUP($A101,[4]BASE_M!$A:$AZ,MATCH(B$2,[4]BASE_M!$4:$4,0),FALSE)</f>
        <v>6.2080000000000002</v>
      </c>
      <c r="C101" s="7">
        <f t="shared" si="1"/>
        <v>6.319</v>
      </c>
    </row>
    <row r="102" spans="1:3" x14ac:dyDescent="0.35">
      <c r="A102" s="4">
        <v>32234</v>
      </c>
      <c r="B102" s="7">
        <f>VLOOKUP($A102,[4]BASE_M!$A:$AZ,MATCH(B$2,[4]BASE_M!$4:$4,0),FALSE)</f>
        <v>6.2759999999999998</v>
      </c>
      <c r="C102" s="7">
        <f t="shared" si="1"/>
        <v>6.2519999999999998</v>
      </c>
    </row>
    <row r="103" spans="1:3" x14ac:dyDescent="0.35">
      <c r="A103" s="4">
        <v>32264</v>
      </c>
      <c r="B103" s="7">
        <f>VLOOKUP($A103,[4]BASE_M!$A:$AZ,MATCH(B$2,[4]BASE_M!$4:$4,0),FALSE)</f>
        <v>6.59</v>
      </c>
      <c r="C103" s="7">
        <f t="shared" si="1"/>
        <v>6.3579999999999997</v>
      </c>
    </row>
    <row r="104" spans="1:3" x14ac:dyDescent="0.35">
      <c r="A104" s="4">
        <v>32295</v>
      </c>
      <c r="B104" s="7">
        <f>VLOOKUP($A104,[4]BASE_M!$A:$AZ,MATCH(B$2,[4]BASE_M!$4:$4,0),FALSE)</f>
        <v>6.6059999999999999</v>
      </c>
      <c r="C104" s="7">
        <f t="shared" si="1"/>
        <v>6.4906666666666668</v>
      </c>
    </row>
    <row r="105" spans="1:3" x14ac:dyDescent="0.35">
      <c r="A105" s="4">
        <v>32325</v>
      </c>
      <c r="B105" s="7">
        <f>VLOOKUP($A105,[4]BASE_M!$A:$AZ,MATCH(B$2,[4]BASE_M!$4:$4,0),FALSE)</f>
        <v>6.7309999999999999</v>
      </c>
      <c r="C105" s="7">
        <f t="shared" si="1"/>
        <v>6.6423333333333332</v>
      </c>
    </row>
    <row r="106" spans="1:3" x14ac:dyDescent="0.35">
      <c r="A106" s="4">
        <v>32356</v>
      </c>
      <c r="B106" s="7">
        <f>VLOOKUP($A106,[4]BASE_M!$A:$AZ,MATCH(B$2,[4]BASE_M!$4:$4,0),FALSE)</f>
        <v>6.7859999999999996</v>
      </c>
      <c r="C106" s="7">
        <f t="shared" si="1"/>
        <v>6.7076666666666656</v>
      </c>
    </row>
    <row r="107" spans="1:3" x14ac:dyDescent="0.35">
      <c r="A107" s="4">
        <v>32387</v>
      </c>
      <c r="B107" s="7">
        <f>VLOOKUP($A107,[4]BASE_M!$A:$AZ,MATCH(B$2,[4]BASE_M!$4:$4,0),FALSE)</f>
        <v>6.633</v>
      </c>
      <c r="C107" s="7">
        <f t="shared" si="1"/>
        <v>6.7166666666666659</v>
      </c>
    </row>
    <row r="108" spans="1:3" x14ac:dyDescent="0.35">
      <c r="A108" s="4">
        <v>32417</v>
      </c>
      <c r="B108" s="7">
        <f>VLOOKUP($A108,[4]BASE_M!$A:$AZ,MATCH(B$2,[4]BASE_M!$4:$4,0),FALSE)</f>
        <v>6.4180000000000001</v>
      </c>
      <c r="C108" s="7">
        <f t="shared" si="1"/>
        <v>6.612333333333333</v>
      </c>
    </row>
    <row r="109" spans="1:3" x14ac:dyDescent="0.35">
      <c r="A109" s="4">
        <v>32448</v>
      </c>
      <c r="B109" s="7">
        <f>VLOOKUP($A109,[4]BASE_M!$A:$AZ,MATCH(B$2,[4]BASE_M!$4:$4,0),FALSE)</f>
        <v>6.3520000000000003</v>
      </c>
      <c r="C109" s="7">
        <f t="shared" si="1"/>
        <v>6.4676666666666662</v>
      </c>
    </row>
    <row r="110" spans="1:3" x14ac:dyDescent="0.35">
      <c r="A110" s="4">
        <v>32478</v>
      </c>
      <c r="B110" s="7">
        <f>VLOOKUP($A110,[4]BASE_M!$A:$AZ,MATCH(B$2,[4]BASE_M!$4:$4,0),FALSE)</f>
        <v>6.51</v>
      </c>
      <c r="C110" s="7">
        <f t="shared" si="1"/>
        <v>6.4266666666666667</v>
      </c>
    </row>
    <row r="111" spans="1:3" x14ac:dyDescent="0.35">
      <c r="A111" s="4">
        <v>32509</v>
      </c>
      <c r="B111" s="7">
        <f>VLOOKUP($A111,[4]BASE_M!$A:$AZ,MATCH(B$2,[4]BASE_M!$4:$4,0),FALSE)</f>
        <v>6.6360000000000001</v>
      </c>
      <c r="C111" s="7">
        <f t="shared" si="1"/>
        <v>6.4993333333333334</v>
      </c>
    </row>
    <row r="112" spans="1:3" x14ac:dyDescent="0.35">
      <c r="A112" s="4">
        <v>32540</v>
      </c>
      <c r="B112" s="7">
        <f>VLOOKUP($A112,[4]BASE_M!$A:$AZ,MATCH(B$2,[4]BASE_M!$4:$4,0),FALSE)</f>
        <v>6.8330000000000002</v>
      </c>
      <c r="C112" s="7">
        <f t="shared" si="1"/>
        <v>6.6596666666666664</v>
      </c>
    </row>
    <row r="113" spans="1:3" x14ac:dyDescent="0.35">
      <c r="A113" s="4">
        <v>32568</v>
      </c>
      <c r="B113" s="7">
        <f>VLOOKUP($A113,[4]BASE_M!$A:$AZ,MATCH(B$2,[4]BASE_M!$4:$4,0),FALSE)</f>
        <v>6.9349999999999996</v>
      </c>
      <c r="C113" s="7">
        <f t="shared" si="1"/>
        <v>6.801333333333333</v>
      </c>
    </row>
    <row r="114" spans="1:3" x14ac:dyDescent="0.35">
      <c r="A114" s="4">
        <v>32599</v>
      </c>
      <c r="B114" s="7">
        <f>VLOOKUP($A114,[4]BASE_M!$A:$AZ,MATCH(B$2,[4]BASE_M!$4:$4,0),FALSE)</f>
        <v>6.859</v>
      </c>
      <c r="C114" s="7">
        <f t="shared" si="1"/>
        <v>6.8756666666666675</v>
      </c>
    </row>
    <row r="115" spans="1:3" x14ac:dyDescent="0.35">
      <c r="A115" s="4">
        <v>32629</v>
      </c>
      <c r="B115" s="7">
        <f>VLOOKUP($A115,[4]BASE_M!$A:$AZ,MATCH(B$2,[4]BASE_M!$4:$4,0),FALSE)</f>
        <v>6.9589999999999996</v>
      </c>
      <c r="C115" s="7">
        <f t="shared" si="1"/>
        <v>6.9176666666666664</v>
      </c>
    </row>
    <row r="116" spans="1:3" x14ac:dyDescent="0.35">
      <c r="A116" s="4">
        <v>32660</v>
      </c>
      <c r="B116" s="7">
        <f>VLOOKUP($A116,[4]BASE_M!$A:$AZ,MATCH(B$2,[4]BASE_M!$4:$4,0),FALSE)</f>
        <v>6.774</v>
      </c>
      <c r="C116" s="7">
        <f t="shared" si="1"/>
        <v>6.8639999999999999</v>
      </c>
    </row>
    <row r="117" spans="1:3" x14ac:dyDescent="0.35">
      <c r="A117" s="4">
        <v>32690</v>
      </c>
      <c r="B117" s="7">
        <f>VLOOKUP($A117,[4]BASE_M!$A:$AZ,MATCH(B$2,[4]BASE_M!$4:$4,0),FALSE)</f>
        <v>6.6639999999999997</v>
      </c>
      <c r="C117" s="7">
        <f t="shared" si="1"/>
        <v>6.7989999999999995</v>
      </c>
    </row>
    <row r="118" spans="1:3" x14ac:dyDescent="0.35">
      <c r="A118" s="4">
        <v>32721</v>
      </c>
      <c r="B118" s="7">
        <f>VLOOKUP($A118,[4]BASE_M!$A:$AZ,MATCH(B$2,[4]BASE_M!$4:$4,0),FALSE)</f>
        <v>6.7009999999999996</v>
      </c>
      <c r="C118" s="7">
        <f t="shared" si="1"/>
        <v>6.7130000000000001</v>
      </c>
    </row>
    <row r="119" spans="1:3" x14ac:dyDescent="0.35">
      <c r="A119" s="4">
        <v>32752</v>
      </c>
      <c r="B119" s="7">
        <f>VLOOKUP($A119,[4]BASE_M!$A:$AZ,MATCH(B$2,[4]BASE_M!$4:$4,0),FALSE)</f>
        <v>6.907</v>
      </c>
      <c r="C119" s="7">
        <f t="shared" si="1"/>
        <v>6.7573333333333325</v>
      </c>
    </row>
    <row r="120" spans="1:3" x14ac:dyDescent="0.35">
      <c r="A120" s="4">
        <v>32782</v>
      </c>
      <c r="B120" s="7">
        <f>VLOOKUP($A120,[4]BASE_M!$A:$AZ,MATCH(B$2,[4]BASE_M!$4:$4,0),FALSE)</f>
        <v>7.0039999999999996</v>
      </c>
      <c r="C120" s="7">
        <f t="shared" si="1"/>
        <v>6.8706666666666676</v>
      </c>
    </row>
    <row r="121" spans="1:3" x14ac:dyDescent="0.35">
      <c r="A121" s="4">
        <v>32813</v>
      </c>
      <c r="B121" s="7">
        <f>VLOOKUP($A121,[4]BASE_M!$A:$AZ,MATCH(B$2,[4]BASE_M!$4:$4,0),FALSE)</f>
        <v>7.2789999999999999</v>
      </c>
      <c r="C121" s="7">
        <f t="shared" si="1"/>
        <v>7.0633333333333326</v>
      </c>
    </row>
    <row r="122" spans="1:3" x14ac:dyDescent="0.35">
      <c r="A122" s="4">
        <v>32843</v>
      </c>
      <c r="B122" s="7">
        <f>VLOOKUP($A122,[4]BASE_M!$A:$AZ,MATCH(B$2,[4]BASE_M!$4:$4,0),FALSE)</f>
        <v>7.2309999999999999</v>
      </c>
      <c r="C122" s="7">
        <f t="shared" si="1"/>
        <v>7.1713333333333331</v>
      </c>
    </row>
    <row r="123" spans="1:3" x14ac:dyDescent="0.35">
      <c r="A123" s="4">
        <v>32874</v>
      </c>
      <c r="B123" s="7">
        <f>VLOOKUP($A123,[4]BASE_M!$A:$AZ,MATCH(B$2,[4]BASE_M!$4:$4,0),FALSE)</f>
        <v>7.569</v>
      </c>
      <c r="C123" s="7">
        <f t="shared" si="1"/>
        <v>7.3596666666666666</v>
      </c>
    </row>
    <row r="124" spans="1:3" x14ac:dyDescent="0.35">
      <c r="A124" s="4">
        <v>32905</v>
      </c>
      <c r="B124" s="7">
        <f>VLOOKUP($A124,[4]BASE_M!$A:$AZ,MATCH(B$2,[4]BASE_M!$4:$4,0),FALSE)</f>
        <v>8.42</v>
      </c>
      <c r="C124" s="7">
        <f t="shared" si="1"/>
        <v>7.7399999999999993</v>
      </c>
    </row>
    <row r="125" spans="1:3" x14ac:dyDescent="0.35">
      <c r="A125" s="4">
        <v>32933</v>
      </c>
      <c r="B125" s="7">
        <f>VLOOKUP($A125,[4]BASE_M!$A:$AZ,MATCH(B$2,[4]BASE_M!$4:$4,0),FALSE)</f>
        <v>8.7370000000000001</v>
      </c>
      <c r="C125" s="7">
        <f t="shared" si="1"/>
        <v>8.2419999999999991</v>
      </c>
    </row>
    <row r="126" spans="1:3" x14ac:dyDescent="0.35">
      <c r="A126" s="4">
        <v>32964</v>
      </c>
      <c r="B126" s="7">
        <f>VLOOKUP($A126,[4]BASE_M!$A:$AZ,MATCH(B$2,[4]BASE_M!$4:$4,0),FALSE)</f>
        <v>8.6440000000000001</v>
      </c>
      <c r="C126" s="7">
        <f t="shared" si="1"/>
        <v>8.6003333333333334</v>
      </c>
    </row>
    <row r="127" spans="1:3" x14ac:dyDescent="0.35">
      <c r="A127" s="4">
        <v>32994</v>
      </c>
      <c r="B127" s="7">
        <f>VLOOKUP($A127,[4]BASE_M!$A:$AZ,MATCH(B$2,[4]BASE_M!$4:$4,0),FALSE)</f>
        <v>8.6609999999999996</v>
      </c>
      <c r="C127" s="7">
        <f t="shared" si="1"/>
        <v>8.6806666666666672</v>
      </c>
    </row>
    <row r="128" spans="1:3" x14ac:dyDescent="0.35">
      <c r="A128" s="4">
        <v>33025</v>
      </c>
      <c r="B128" s="7">
        <f>VLOOKUP($A128,[4]BASE_M!$A:$AZ,MATCH(B$2,[4]BASE_M!$4:$4,0),FALSE)</f>
        <v>8.7710000000000008</v>
      </c>
      <c r="C128" s="7">
        <f t="shared" si="1"/>
        <v>8.6920000000000002</v>
      </c>
    </row>
    <row r="129" spans="1:3" x14ac:dyDescent="0.35">
      <c r="A129" s="4">
        <v>33055</v>
      </c>
      <c r="B129" s="7">
        <f>VLOOKUP($A129,[4]BASE_M!$A:$AZ,MATCH(B$2,[4]BASE_M!$4:$4,0),FALSE)</f>
        <v>8.5429999999999993</v>
      </c>
      <c r="C129" s="7">
        <f t="shared" si="1"/>
        <v>8.6583333333333332</v>
      </c>
    </row>
    <row r="130" spans="1:3" x14ac:dyDescent="0.35">
      <c r="A130" s="4">
        <v>33086</v>
      </c>
      <c r="B130" s="7">
        <f>VLOOKUP($A130,[4]BASE_M!$A:$AZ,MATCH(B$2,[4]BASE_M!$4:$4,0),FALSE)</f>
        <v>8.8460000000000001</v>
      </c>
      <c r="C130" s="7">
        <f t="shared" si="1"/>
        <v>8.7200000000000006</v>
      </c>
    </row>
    <row r="131" spans="1:3" x14ac:dyDescent="0.35">
      <c r="A131" s="4">
        <v>33117</v>
      </c>
      <c r="B131" s="7">
        <f>VLOOKUP($A131,[4]BASE_M!$A:$AZ,MATCH(B$2,[4]BASE_M!$4:$4,0),FALSE)</f>
        <v>9.0150000000000006</v>
      </c>
      <c r="C131" s="7">
        <f t="shared" si="1"/>
        <v>8.8013333333333339</v>
      </c>
    </row>
    <row r="132" spans="1:3" x14ac:dyDescent="0.35">
      <c r="A132" s="4">
        <v>33147</v>
      </c>
      <c r="B132" s="7">
        <f>VLOOKUP($A132,[4]BASE_M!$A:$AZ,MATCH(B$2,[4]BASE_M!$4:$4,0),FALSE)</f>
        <v>9.0229999999999997</v>
      </c>
      <c r="C132" s="7">
        <f t="shared" si="1"/>
        <v>8.961333333333334</v>
      </c>
    </row>
    <row r="133" spans="1:3" x14ac:dyDescent="0.35">
      <c r="A133" s="4">
        <v>33178</v>
      </c>
      <c r="B133" s="7">
        <f>VLOOKUP($A133,[4]BASE_M!$A:$AZ,MATCH(B$2,[4]BASE_M!$4:$4,0),FALSE)</f>
        <v>8.9250000000000007</v>
      </c>
      <c r="C133" s="7">
        <f t="shared" si="1"/>
        <v>8.9876666666666676</v>
      </c>
    </row>
    <row r="134" spans="1:3" x14ac:dyDescent="0.35">
      <c r="A134" s="4">
        <v>33208</v>
      </c>
      <c r="B134" s="7">
        <f>VLOOKUP($A134,[4]BASE_M!$A:$AZ,MATCH(B$2,[4]BASE_M!$4:$4,0),FALSE)</f>
        <v>8.8170000000000002</v>
      </c>
      <c r="C134" s="7">
        <f t="shared" si="1"/>
        <v>8.9216666666666669</v>
      </c>
    </row>
    <row r="135" spans="1:3" x14ac:dyDescent="0.35">
      <c r="A135" s="4">
        <v>33239</v>
      </c>
      <c r="B135" s="7">
        <f>VLOOKUP($A135,[4]BASE_M!$A:$AZ,MATCH(B$2,[4]BASE_M!$4:$4,0),FALSE)</f>
        <v>8.8949999999999996</v>
      </c>
      <c r="C135" s="7">
        <f t="shared" ref="C135:C198" si="2">AVERAGE(B133:B135)</f>
        <v>8.8789999999999996</v>
      </c>
    </row>
    <row r="136" spans="1:3" x14ac:dyDescent="0.35">
      <c r="A136" s="4">
        <v>33270</v>
      </c>
      <c r="B136" s="7">
        <f>VLOOKUP($A136,[4]BASE_M!$A:$AZ,MATCH(B$2,[4]BASE_M!$4:$4,0),FALSE)</f>
        <v>8.3659999999999997</v>
      </c>
      <c r="C136" s="7">
        <f t="shared" si="2"/>
        <v>8.6926666666666659</v>
      </c>
    </row>
    <row r="137" spans="1:3" x14ac:dyDescent="0.35">
      <c r="A137" s="4">
        <v>33298</v>
      </c>
      <c r="B137" s="7">
        <f>VLOOKUP($A137,[4]BASE_M!$A:$AZ,MATCH(B$2,[4]BASE_M!$4:$4,0),FALSE)</f>
        <v>8.4019999999999992</v>
      </c>
      <c r="C137" s="7">
        <f t="shared" si="2"/>
        <v>8.5543333333333322</v>
      </c>
    </row>
    <row r="138" spans="1:3" x14ac:dyDescent="0.35">
      <c r="A138" s="4">
        <v>33329</v>
      </c>
      <c r="B138" s="7">
        <f>VLOOKUP($A138,[4]BASE_M!$A:$AZ,MATCH(B$2,[4]BASE_M!$4:$4,0),FALSE)</f>
        <v>8.3219999999999992</v>
      </c>
      <c r="C138" s="7">
        <f t="shared" si="2"/>
        <v>8.3633333333333333</v>
      </c>
    </row>
    <row r="139" spans="1:3" x14ac:dyDescent="0.35">
      <c r="A139" s="4">
        <v>33359</v>
      </c>
      <c r="B139" s="7">
        <f>VLOOKUP($A139,[4]BASE_M!$A:$AZ,MATCH(B$2,[4]BASE_M!$4:$4,0),FALSE)</f>
        <v>8.3490000000000002</v>
      </c>
      <c r="C139" s="7">
        <f t="shared" si="2"/>
        <v>8.357666666666665</v>
      </c>
    </row>
    <row r="140" spans="1:3" x14ac:dyDescent="0.35">
      <c r="A140" s="4">
        <v>33390</v>
      </c>
      <c r="B140" s="7">
        <f>VLOOKUP($A140,[4]BASE_M!$A:$AZ,MATCH(B$2,[4]BASE_M!$4:$4,0),FALSE)</f>
        <v>8.343</v>
      </c>
      <c r="C140" s="7">
        <f t="shared" si="2"/>
        <v>8.3379999999999992</v>
      </c>
    </row>
    <row r="141" spans="1:3" x14ac:dyDescent="0.35">
      <c r="A141" s="4">
        <v>33420</v>
      </c>
      <c r="B141" s="7">
        <f>VLOOKUP($A141,[4]BASE_M!$A:$AZ,MATCH(B$2,[4]BASE_M!$4:$4,0),FALSE)</f>
        <v>8.5909999999999993</v>
      </c>
      <c r="C141" s="7">
        <f t="shared" si="2"/>
        <v>8.4276666666666671</v>
      </c>
    </row>
    <row r="142" spans="1:3" x14ac:dyDescent="0.35">
      <c r="A142" s="4">
        <v>33451</v>
      </c>
      <c r="B142" s="7">
        <f>VLOOKUP($A142,[4]BASE_M!$A:$AZ,MATCH(B$2,[4]BASE_M!$4:$4,0),FALSE)</f>
        <v>8.5419999999999998</v>
      </c>
      <c r="C142" s="7">
        <f t="shared" si="2"/>
        <v>8.4919999999999991</v>
      </c>
    </row>
    <row r="143" spans="1:3" x14ac:dyDescent="0.35">
      <c r="A143" s="4">
        <v>33482</v>
      </c>
      <c r="B143" s="7">
        <f>VLOOKUP($A143,[4]BASE_M!$A:$AZ,MATCH(B$2,[4]BASE_M!$4:$4,0),FALSE)</f>
        <v>8.4130000000000003</v>
      </c>
      <c r="C143" s="7">
        <f t="shared" si="2"/>
        <v>8.5153333333333325</v>
      </c>
    </row>
    <row r="144" spans="1:3" x14ac:dyDescent="0.35">
      <c r="A144" s="4">
        <v>33512</v>
      </c>
      <c r="B144" s="7">
        <f>VLOOKUP($A144,[4]BASE_M!$A:$AZ,MATCH(B$2,[4]BASE_M!$4:$4,0),FALSE)</f>
        <v>8.3070000000000004</v>
      </c>
      <c r="C144" s="7">
        <f t="shared" si="2"/>
        <v>8.4206666666666674</v>
      </c>
    </row>
    <row r="145" spans="1:3" x14ac:dyDescent="0.35">
      <c r="A145" s="4">
        <v>33543</v>
      </c>
      <c r="B145" s="7">
        <f>VLOOKUP($A145,[4]BASE_M!$A:$AZ,MATCH(B$2,[4]BASE_M!$4:$4,0),FALSE)</f>
        <v>8.2759999999999998</v>
      </c>
      <c r="C145" s="7">
        <f t="shared" si="2"/>
        <v>8.331999999999999</v>
      </c>
    </row>
    <row r="146" spans="1:3" x14ac:dyDescent="0.35">
      <c r="A146" s="4">
        <v>33573</v>
      </c>
      <c r="B146" s="7">
        <f>VLOOKUP($A146,[4]BASE_M!$A:$AZ,MATCH(B$2,[4]BASE_M!$4:$4,0),FALSE)</f>
        <v>8.1959999999999997</v>
      </c>
      <c r="C146" s="7">
        <f t="shared" si="2"/>
        <v>8.259666666666666</v>
      </c>
    </row>
    <row r="147" spans="1:3" x14ac:dyDescent="0.35">
      <c r="A147" s="4">
        <v>33604</v>
      </c>
      <c r="B147" s="7">
        <f>VLOOKUP($A147,[4]BASE_M!$A:$AZ,MATCH(B$2,[4]BASE_M!$4:$4,0),FALSE)</f>
        <v>7.9349999999999996</v>
      </c>
      <c r="C147" s="7">
        <f t="shared" si="2"/>
        <v>8.1356666666666673</v>
      </c>
    </row>
    <row r="148" spans="1:3" x14ac:dyDescent="0.35">
      <c r="A148" s="4">
        <v>33635</v>
      </c>
      <c r="B148" s="7">
        <f>VLOOKUP($A148,[4]BASE_M!$A:$AZ,MATCH(B$2,[4]BASE_M!$4:$4,0),FALSE)</f>
        <v>7.8849999999999998</v>
      </c>
      <c r="C148" s="7">
        <f t="shared" si="2"/>
        <v>8.0053333333333327</v>
      </c>
    </row>
    <row r="149" spans="1:3" x14ac:dyDescent="0.35">
      <c r="A149" s="4">
        <v>33664</v>
      </c>
      <c r="B149" s="7">
        <f>VLOOKUP($A149,[4]BASE_M!$A:$AZ,MATCH(B$2,[4]BASE_M!$4:$4,0),FALSE)</f>
        <v>7.9409999999999998</v>
      </c>
      <c r="C149" s="7">
        <f t="shared" si="2"/>
        <v>7.9203333333333328</v>
      </c>
    </row>
    <row r="150" spans="1:3" x14ac:dyDescent="0.35">
      <c r="A150" s="4">
        <v>33695</v>
      </c>
      <c r="B150" s="7">
        <f>VLOOKUP($A150,[4]BASE_M!$A:$AZ,MATCH(B$2,[4]BASE_M!$4:$4,0),FALSE)</f>
        <v>7.9420000000000002</v>
      </c>
      <c r="C150" s="7">
        <f t="shared" si="2"/>
        <v>7.9226666666666672</v>
      </c>
    </row>
    <row r="151" spans="1:3" x14ac:dyDescent="0.35">
      <c r="A151" s="4">
        <v>33725</v>
      </c>
      <c r="B151" s="7">
        <f>VLOOKUP($A151,[4]BASE_M!$A:$AZ,MATCH(B$2,[4]BASE_M!$4:$4,0),FALSE)</f>
        <v>7.9610000000000003</v>
      </c>
      <c r="C151" s="7">
        <f t="shared" si="2"/>
        <v>7.9480000000000004</v>
      </c>
    </row>
    <row r="152" spans="1:3" x14ac:dyDescent="0.35">
      <c r="A152" s="4">
        <v>33756</v>
      </c>
      <c r="B152" s="7">
        <f>VLOOKUP($A152,[4]BASE_M!$A:$AZ,MATCH(B$2,[4]BASE_M!$4:$4,0),FALSE)</f>
        <v>8.1210000000000004</v>
      </c>
      <c r="C152" s="7">
        <f t="shared" si="2"/>
        <v>8.0080000000000009</v>
      </c>
    </row>
    <row r="153" spans="1:3" x14ac:dyDescent="0.35">
      <c r="A153" s="4">
        <v>33786</v>
      </c>
      <c r="B153" s="7">
        <f>VLOOKUP($A153,[4]BASE_M!$A:$AZ,MATCH(B$2,[4]BASE_M!$4:$4,0),FALSE)</f>
        <v>8.1379999999999999</v>
      </c>
      <c r="C153" s="7">
        <f t="shared" si="2"/>
        <v>8.0733333333333324</v>
      </c>
    </row>
    <row r="154" spans="1:3" x14ac:dyDescent="0.35">
      <c r="A154" s="4">
        <v>33817</v>
      </c>
      <c r="B154" s="7">
        <f>VLOOKUP($A154,[4]BASE_M!$A:$AZ,MATCH(B$2,[4]BASE_M!$4:$4,0),FALSE)</f>
        <v>7.9870000000000001</v>
      </c>
      <c r="C154" s="7">
        <f t="shared" si="2"/>
        <v>8.0820000000000007</v>
      </c>
    </row>
    <row r="155" spans="1:3" x14ac:dyDescent="0.35">
      <c r="A155" s="4">
        <v>33848</v>
      </c>
      <c r="B155" s="7">
        <f>VLOOKUP($A155,[4]BASE_M!$A:$AZ,MATCH(B$2,[4]BASE_M!$4:$4,0),FALSE)</f>
        <v>7.6470000000000002</v>
      </c>
      <c r="C155" s="7">
        <f t="shared" si="2"/>
        <v>7.9239999999999995</v>
      </c>
    </row>
    <row r="156" spans="1:3" x14ac:dyDescent="0.35">
      <c r="A156" s="4">
        <v>33878</v>
      </c>
      <c r="B156" s="7">
        <f>VLOOKUP($A156,[4]BASE_M!$A:$AZ,MATCH(B$2,[4]BASE_M!$4:$4,0),FALSE)</f>
        <v>7.383</v>
      </c>
      <c r="C156" s="7">
        <f t="shared" si="2"/>
        <v>7.6723333333333334</v>
      </c>
    </row>
    <row r="157" spans="1:3" x14ac:dyDescent="0.35">
      <c r="A157" s="4">
        <v>33909</v>
      </c>
      <c r="B157" s="7">
        <f>VLOOKUP($A157,[4]BASE_M!$A:$AZ,MATCH(B$2,[4]BASE_M!$4:$4,0),FALSE)</f>
        <v>7.3129999999999997</v>
      </c>
      <c r="C157" s="7">
        <f t="shared" si="2"/>
        <v>7.4476666666666667</v>
      </c>
    </row>
    <row r="158" spans="1:3" x14ac:dyDescent="0.35">
      <c r="A158" s="4">
        <v>33939</v>
      </c>
      <c r="B158" s="7">
        <f>VLOOKUP($A158,[4]BASE_M!$A:$AZ,MATCH(B$2,[4]BASE_M!$4:$4,0),FALSE)</f>
        <v>7.2930000000000001</v>
      </c>
      <c r="C158" s="7">
        <f t="shared" si="2"/>
        <v>7.3296666666666672</v>
      </c>
    </row>
    <row r="159" spans="1:3" x14ac:dyDescent="0.35">
      <c r="A159" s="4">
        <v>33970</v>
      </c>
      <c r="B159" s="7">
        <f>VLOOKUP($A159,[4]BASE_M!$A:$AZ,MATCH(B$2,[4]BASE_M!$4:$4,0),FALSE)</f>
        <v>7.1609999999999996</v>
      </c>
      <c r="C159" s="7">
        <f t="shared" si="2"/>
        <v>7.2556666666666665</v>
      </c>
    </row>
    <row r="160" spans="1:3" x14ac:dyDescent="0.35">
      <c r="A160" s="4">
        <v>34001</v>
      </c>
      <c r="B160" s="7">
        <f>VLOOKUP($A160,[4]BASE_M!$A:$AZ,MATCH(B$2,[4]BASE_M!$4:$4,0),FALSE)</f>
        <v>6.9320000000000004</v>
      </c>
      <c r="C160" s="7">
        <f t="shared" si="2"/>
        <v>7.1286666666666676</v>
      </c>
    </row>
    <row r="161" spans="1:3" x14ac:dyDescent="0.35">
      <c r="A161" s="4">
        <v>34029</v>
      </c>
      <c r="B161" s="7">
        <f>VLOOKUP($A161,[4]BASE_M!$A:$AZ,MATCH(B$2,[4]BASE_M!$4:$4,0),FALSE)</f>
        <v>6.6310000000000002</v>
      </c>
      <c r="C161" s="7">
        <f t="shared" si="2"/>
        <v>6.9080000000000004</v>
      </c>
    </row>
    <row r="162" spans="1:3" x14ac:dyDescent="0.35">
      <c r="A162" s="4">
        <v>34060</v>
      </c>
      <c r="B162" s="7">
        <f>VLOOKUP($A162,[4]BASE_M!$A:$AZ,MATCH(B$2,[4]BASE_M!$4:$4,0),FALSE)</f>
        <v>6.66</v>
      </c>
      <c r="C162" s="7">
        <f t="shared" si="2"/>
        <v>6.7409999999999997</v>
      </c>
    </row>
    <row r="163" spans="1:3" x14ac:dyDescent="0.35">
      <c r="A163" s="4">
        <v>34090</v>
      </c>
      <c r="B163" s="7">
        <f>VLOOKUP($A163,[4]BASE_M!$A:$AZ,MATCH(B$2,[4]BASE_M!$4:$4,0),FALSE)</f>
        <v>6.8019999999999996</v>
      </c>
      <c r="C163" s="7">
        <f t="shared" si="2"/>
        <v>6.6976666666666667</v>
      </c>
    </row>
    <row r="164" spans="1:3" x14ac:dyDescent="0.35">
      <c r="A164" s="4">
        <v>34121</v>
      </c>
      <c r="B164" s="7">
        <f>VLOOKUP($A164,[4]BASE_M!$A:$AZ,MATCH(B$2,[4]BASE_M!$4:$4,0),FALSE)</f>
        <v>6.7880000000000003</v>
      </c>
      <c r="C164" s="7">
        <f t="shared" si="2"/>
        <v>6.75</v>
      </c>
    </row>
    <row r="165" spans="1:3" x14ac:dyDescent="0.35">
      <c r="A165" s="4">
        <v>34151</v>
      </c>
      <c r="B165" s="7">
        <f>VLOOKUP($A165,[4]BASE_M!$A:$AZ,MATCH(B$2,[4]BASE_M!$4:$4,0),FALSE)</f>
        <v>6.609</v>
      </c>
      <c r="C165" s="7">
        <f t="shared" si="2"/>
        <v>6.7329999999999997</v>
      </c>
    </row>
    <row r="166" spans="1:3" x14ac:dyDescent="0.35">
      <c r="A166" s="4">
        <v>34182</v>
      </c>
      <c r="B166" s="7">
        <f>VLOOKUP($A166,[4]BASE_M!$A:$AZ,MATCH(B$2,[4]BASE_M!$4:$4,0),FALSE)</f>
        <v>6.3920000000000003</v>
      </c>
      <c r="C166" s="7">
        <f t="shared" si="2"/>
        <v>6.5963333333333338</v>
      </c>
    </row>
    <row r="167" spans="1:3" x14ac:dyDescent="0.35">
      <c r="A167" s="4">
        <v>34213</v>
      </c>
      <c r="B167" s="7">
        <f>VLOOKUP($A167,[4]BASE_M!$A:$AZ,MATCH(B$2,[4]BASE_M!$4:$4,0),FALSE)</f>
        <v>6.1210000000000004</v>
      </c>
      <c r="C167" s="7">
        <f t="shared" si="2"/>
        <v>6.3739999999999997</v>
      </c>
    </row>
    <row r="168" spans="1:3" x14ac:dyDescent="0.35">
      <c r="A168" s="4">
        <v>34243</v>
      </c>
      <c r="B168" s="7">
        <f>VLOOKUP($A168,[4]BASE_M!$A:$AZ,MATCH(B$2,[4]BASE_M!$4:$4,0),FALSE)</f>
        <v>5.9390000000000001</v>
      </c>
      <c r="C168" s="7">
        <f t="shared" si="2"/>
        <v>6.1506666666666669</v>
      </c>
    </row>
    <row r="169" spans="1:3" x14ac:dyDescent="0.35">
      <c r="A169" s="4">
        <v>34274</v>
      </c>
      <c r="B169" s="7">
        <f>VLOOKUP($A169,[4]BASE_M!$A:$AZ,MATCH(B$2,[4]BASE_M!$4:$4,0),FALSE)</f>
        <v>5.859</v>
      </c>
      <c r="C169" s="7">
        <f t="shared" si="2"/>
        <v>5.9729999999999999</v>
      </c>
    </row>
    <row r="170" spans="1:3" x14ac:dyDescent="0.35">
      <c r="A170" s="4">
        <v>34304</v>
      </c>
      <c r="B170" s="7">
        <f>VLOOKUP($A170,[4]BASE_M!$A:$AZ,MATCH(B$2,[4]BASE_M!$4:$4,0),FALSE)</f>
        <v>5.8339999999999996</v>
      </c>
      <c r="C170" s="7">
        <f t="shared" si="2"/>
        <v>5.8773333333333326</v>
      </c>
    </row>
    <row r="171" spans="1:3" x14ac:dyDescent="0.35">
      <c r="A171" s="4">
        <v>34335</v>
      </c>
      <c r="B171" s="7">
        <f>VLOOKUP($A171,[4]BASE_M!$A:$AZ,MATCH(B$2,[4]BASE_M!$4:$4,0),FALSE)</f>
        <v>5.77</v>
      </c>
      <c r="C171" s="7">
        <f t="shared" si="2"/>
        <v>5.8210000000000006</v>
      </c>
    </row>
    <row r="172" spans="1:3" x14ac:dyDescent="0.35">
      <c r="A172" s="4">
        <v>34366</v>
      </c>
      <c r="B172" s="7">
        <f>VLOOKUP($A172,[4]BASE_M!$A:$AZ,MATCH(B$2,[4]BASE_M!$4:$4,0),FALSE)</f>
        <v>5.9740000000000002</v>
      </c>
      <c r="C172" s="7">
        <f t="shared" si="2"/>
        <v>5.8593333333333328</v>
      </c>
    </row>
    <row r="173" spans="1:3" x14ac:dyDescent="0.35">
      <c r="A173" s="4">
        <v>34394</v>
      </c>
      <c r="B173" s="7">
        <f>VLOOKUP($A173,[4]BASE_M!$A:$AZ,MATCH(B$2,[4]BASE_M!$4:$4,0),FALSE)</f>
        <v>6.2919999999999998</v>
      </c>
      <c r="C173" s="7">
        <f t="shared" si="2"/>
        <v>6.0120000000000005</v>
      </c>
    </row>
    <row r="174" spans="1:3" x14ac:dyDescent="0.35">
      <c r="A174" s="4">
        <v>34425</v>
      </c>
      <c r="B174" s="7">
        <f>VLOOKUP($A174,[4]BASE_M!$A:$AZ,MATCH(B$2,[4]BASE_M!$4:$4,0),FALSE)</f>
        <v>6.4290000000000003</v>
      </c>
      <c r="C174" s="7">
        <f t="shared" si="2"/>
        <v>6.2316666666666665</v>
      </c>
    </row>
    <row r="175" spans="1:3" x14ac:dyDescent="0.35">
      <c r="A175" s="4">
        <v>34455</v>
      </c>
      <c r="B175" s="7">
        <f>VLOOKUP($A175,[4]BASE_M!$A:$AZ,MATCH(B$2,[4]BASE_M!$4:$4,0),FALSE)</f>
        <v>6.6319999999999997</v>
      </c>
      <c r="C175" s="7">
        <f t="shared" si="2"/>
        <v>6.4510000000000005</v>
      </c>
    </row>
    <row r="176" spans="1:3" x14ac:dyDescent="0.35">
      <c r="A176" s="4">
        <v>34486</v>
      </c>
      <c r="B176" s="7">
        <f>VLOOKUP($A176,[4]BASE_M!$A:$AZ,MATCH(B$2,[4]BASE_M!$4:$4,0),FALSE)</f>
        <v>7.0529999999999999</v>
      </c>
      <c r="C176" s="7">
        <f t="shared" si="2"/>
        <v>6.7046666666666672</v>
      </c>
    </row>
    <row r="177" spans="1:3" x14ac:dyDescent="0.35">
      <c r="A177" s="4">
        <v>34516</v>
      </c>
      <c r="B177" s="7">
        <f>VLOOKUP($A177,[4]BASE_M!$A:$AZ,MATCH(B$2,[4]BASE_M!$4:$4,0),FALSE)</f>
        <v>6.899</v>
      </c>
      <c r="C177" s="7">
        <f t="shared" si="2"/>
        <v>6.8613333333333335</v>
      </c>
    </row>
    <row r="178" spans="1:3" x14ac:dyDescent="0.35">
      <c r="A178" s="4">
        <v>34547</v>
      </c>
      <c r="B178" s="7">
        <f>VLOOKUP($A178,[4]BASE_M!$A:$AZ,MATCH(B$2,[4]BASE_M!$4:$4,0),FALSE)</f>
        <v>7.0960000000000001</v>
      </c>
      <c r="C178" s="7">
        <f t="shared" si="2"/>
        <v>7.0160000000000009</v>
      </c>
    </row>
    <row r="179" spans="1:3" x14ac:dyDescent="0.35">
      <c r="A179" s="4">
        <v>34578</v>
      </c>
      <c r="B179" s="7">
        <f>VLOOKUP($A179,[4]BASE_M!$A:$AZ,MATCH(B$2,[4]BASE_M!$4:$4,0),FALSE)</f>
        <v>7.53</v>
      </c>
      <c r="C179" s="7">
        <f t="shared" si="2"/>
        <v>7.1750000000000007</v>
      </c>
    </row>
    <row r="180" spans="1:3" x14ac:dyDescent="0.35">
      <c r="A180" s="4">
        <v>34608</v>
      </c>
      <c r="B180" s="7">
        <f>VLOOKUP($A180,[4]BASE_M!$A:$AZ,MATCH(B$2,[4]BASE_M!$4:$4,0),FALSE)</f>
        <v>7.5730000000000004</v>
      </c>
      <c r="C180" s="7">
        <f t="shared" si="2"/>
        <v>7.3996666666666675</v>
      </c>
    </row>
    <row r="181" spans="1:3" x14ac:dyDescent="0.35">
      <c r="A181" s="4">
        <v>34639</v>
      </c>
      <c r="B181" s="7">
        <f>VLOOKUP($A181,[4]BASE_M!$A:$AZ,MATCH(B$2,[4]BASE_M!$4:$4,0),FALSE)</f>
        <v>7.5030000000000001</v>
      </c>
      <c r="C181" s="7">
        <f t="shared" si="2"/>
        <v>7.5353333333333339</v>
      </c>
    </row>
    <row r="182" spans="1:3" x14ac:dyDescent="0.35">
      <c r="A182" s="4">
        <v>34669</v>
      </c>
      <c r="B182" s="7">
        <f>VLOOKUP($A182,[4]BASE_M!$A:$AZ,MATCH(B$2,[4]BASE_M!$4:$4,0),FALSE)</f>
        <v>7.4450000000000003</v>
      </c>
      <c r="C182" s="7">
        <f t="shared" si="2"/>
        <v>7.5070000000000006</v>
      </c>
    </row>
    <row r="183" spans="1:3" x14ac:dyDescent="0.35">
      <c r="A183" s="4">
        <v>34700</v>
      </c>
      <c r="B183" s="7">
        <f>VLOOKUP($A183,[4]BASE_M!$A:$AZ,MATCH(B$2,[4]BASE_M!$4:$4,0),FALSE)</f>
        <v>7.5759999999999996</v>
      </c>
      <c r="C183" s="7">
        <f t="shared" si="2"/>
        <v>7.508</v>
      </c>
    </row>
    <row r="184" spans="1:3" x14ac:dyDescent="0.35">
      <c r="A184" s="4">
        <v>34731</v>
      </c>
      <c r="B184" s="7">
        <f>VLOOKUP($A184,[4]BASE_M!$A:$AZ,MATCH(B$2,[4]BASE_M!$4:$4,0),FALSE)</f>
        <v>7.399</v>
      </c>
      <c r="C184" s="7">
        <f t="shared" si="2"/>
        <v>7.4733333333333336</v>
      </c>
    </row>
    <row r="185" spans="1:3" x14ac:dyDescent="0.35">
      <c r="A185" s="4">
        <v>34759</v>
      </c>
      <c r="B185" s="7">
        <f>VLOOKUP($A185,[4]BASE_M!$A:$AZ,MATCH(B$2,[4]BASE_M!$4:$4,0),FALSE)</f>
        <v>7.2549999999999999</v>
      </c>
      <c r="C185" s="7">
        <f t="shared" si="2"/>
        <v>7.41</v>
      </c>
    </row>
    <row r="186" spans="1:3" x14ac:dyDescent="0.35">
      <c r="A186" s="4">
        <v>34790</v>
      </c>
      <c r="B186" s="7">
        <f>VLOOKUP($A186,[4]BASE_M!$A:$AZ,MATCH(B$2,[4]BASE_M!$4:$4,0),FALSE)</f>
        <v>7.0659999999999998</v>
      </c>
      <c r="C186" s="7">
        <f t="shared" si="2"/>
        <v>7.2399999999999993</v>
      </c>
    </row>
    <row r="187" spans="1:3" x14ac:dyDescent="0.35">
      <c r="A187" s="4">
        <v>34820</v>
      </c>
      <c r="B187" s="7">
        <f>VLOOKUP($A187,[4]BASE_M!$A:$AZ,MATCH(B$2,[4]BASE_M!$4:$4,0),FALSE)</f>
        <v>6.85</v>
      </c>
      <c r="C187" s="7">
        <f t="shared" si="2"/>
        <v>7.0569999999999995</v>
      </c>
    </row>
    <row r="188" spans="1:3" x14ac:dyDescent="0.35">
      <c r="A188" s="4">
        <v>34851</v>
      </c>
      <c r="B188" s="7">
        <f>VLOOKUP($A188,[4]BASE_M!$A:$AZ,MATCH(B$2,[4]BASE_M!$4:$4,0),FALSE)</f>
        <v>6.7</v>
      </c>
      <c r="C188" s="7">
        <f t="shared" si="2"/>
        <v>6.8719999999999999</v>
      </c>
    </row>
    <row r="189" spans="1:3" x14ac:dyDescent="0.35">
      <c r="A189" s="4">
        <v>34881</v>
      </c>
      <c r="B189" s="7">
        <f>VLOOKUP($A189,[4]BASE_M!$A:$AZ,MATCH(B$2,[4]BASE_M!$4:$4,0),FALSE)</f>
        <v>6.7869999999999999</v>
      </c>
      <c r="C189" s="7">
        <f t="shared" si="2"/>
        <v>6.7789999999999999</v>
      </c>
    </row>
    <row r="190" spans="1:3" x14ac:dyDescent="0.35">
      <c r="A190" s="4">
        <v>34912</v>
      </c>
      <c r="B190" s="7">
        <f>VLOOKUP($A190,[4]BASE_M!$A:$AZ,MATCH(B$2,[4]BASE_M!$4:$4,0),FALSE)</f>
        <v>6.7060000000000004</v>
      </c>
      <c r="C190" s="7">
        <f t="shared" si="2"/>
        <v>6.7310000000000008</v>
      </c>
    </row>
    <row r="191" spans="1:3" x14ac:dyDescent="0.35">
      <c r="A191" s="4">
        <v>34943</v>
      </c>
      <c r="B191" s="7">
        <f>VLOOKUP($A191,[4]BASE_M!$A:$AZ,MATCH(B$2,[4]BASE_M!$4:$4,0),FALSE)</f>
        <v>6.5579999999999998</v>
      </c>
      <c r="C191" s="7">
        <f t="shared" si="2"/>
        <v>6.6836666666666673</v>
      </c>
    </row>
    <row r="192" spans="1:3" x14ac:dyDescent="0.35">
      <c r="A192" s="4">
        <v>34973</v>
      </c>
      <c r="B192" s="7">
        <f>VLOOKUP($A192,[4]BASE_M!$A:$AZ,MATCH(B$2,[4]BASE_M!$4:$4,0),FALSE)</f>
        <v>6.5449999999999999</v>
      </c>
      <c r="C192" s="7">
        <f t="shared" si="2"/>
        <v>6.6029999999999989</v>
      </c>
    </row>
    <row r="193" spans="1:3" x14ac:dyDescent="0.35">
      <c r="A193" s="4">
        <v>35004</v>
      </c>
      <c r="B193" s="7">
        <f>VLOOKUP($A193,[4]BASE_M!$A:$AZ,MATCH(B$2,[4]BASE_M!$4:$4,0),FALSE)</f>
        <v>6.32</v>
      </c>
      <c r="C193" s="7">
        <f t="shared" si="2"/>
        <v>6.4743333333333339</v>
      </c>
    </row>
    <row r="194" spans="1:3" x14ac:dyDescent="0.35">
      <c r="A194" s="4">
        <v>35034</v>
      </c>
      <c r="B194" s="7">
        <f>VLOOKUP($A194,[4]BASE_M!$A:$AZ,MATCH(B$2,[4]BASE_M!$4:$4,0),FALSE)</f>
        <v>6.0709999999999997</v>
      </c>
      <c r="C194" s="7">
        <f t="shared" si="2"/>
        <v>6.3120000000000003</v>
      </c>
    </row>
    <row r="195" spans="1:3" x14ac:dyDescent="0.35">
      <c r="A195" s="4">
        <v>35065</v>
      </c>
      <c r="B195" s="7">
        <f>VLOOKUP($A195,[4]BASE_M!$A:$AZ,MATCH(B$2,[4]BASE_M!$4:$4,0),FALSE)</f>
        <v>5.9020000000000001</v>
      </c>
      <c r="C195" s="7">
        <f t="shared" si="2"/>
        <v>6.0976666666666661</v>
      </c>
    </row>
    <row r="196" spans="1:3" x14ac:dyDescent="0.35">
      <c r="A196" s="4">
        <v>35096</v>
      </c>
      <c r="B196" s="7">
        <f>VLOOKUP($A196,[4]BASE_M!$A:$AZ,MATCH(B$2,[4]BASE_M!$4:$4,0),FALSE)</f>
        <v>6.1840000000000002</v>
      </c>
      <c r="C196" s="7">
        <f t="shared" si="2"/>
        <v>6.0523333333333333</v>
      </c>
    </row>
    <row r="197" spans="1:3" x14ac:dyDescent="0.35">
      <c r="A197" s="4">
        <v>35125</v>
      </c>
      <c r="B197" s="7">
        <f>VLOOKUP($A197,[4]BASE_M!$A:$AZ,MATCH(B$2,[4]BASE_M!$4:$4,0),FALSE)</f>
        <v>6.4420000000000002</v>
      </c>
      <c r="C197" s="7">
        <f t="shared" si="2"/>
        <v>6.1759999999999993</v>
      </c>
    </row>
    <row r="198" spans="1:3" x14ac:dyDescent="0.35">
      <c r="A198" s="4">
        <v>35156</v>
      </c>
      <c r="B198" s="7">
        <f>VLOOKUP($A198,[4]BASE_M!$A:$AZ,MATCH(B$2,[4]BASE_M!$4:$4,0),FALSE)</f>
        <v>6.3890000000000002</v>
      </c>
      <c r="C198" s="7">
        <f t="shared" si="2"/>
        <v>6.3383333333333338</v>
      </c>
    </row>
    <row r="199" spans="1:3" x14ac:dyDescent="0.35">
      <c r="A199" s="4">
        <v>35186</v>
      </c>
      <c r="B199" s="7">
        <f>VLOOKUP($A199,[4]BASE_M!$A:$AZ,MATCH(B$2,[4]BASE_M!$4:$4,0),FALSE)</f>
        <v>6.4489999999999998</v>
      </c>
      <c r="C199" s="7">
        <f t="shared" ref="C199:C262" si="3">AVERAGE(B197:B199)</f>
        <v>6.4266666666666667</v>
      </c>
    </row>
    <row r="200" spans="1:3" x14ac:dyDescent="0.35">
      <c r="A200" s="4">
        <v>35217</v>
      </c>
      <c r="B200" s="7">
        <f>VLOOKUP($A200,[4]BASE_M!$A:$AZ,MATCH(B$2,[4]BASE_M!$4:$4,0),FALSE)</f>
        <v>6.57</v>
      </c>
      <c r="C200" s="7">
        <f t="shared" si="3"/>
        <v>6.469333333333334</v>
      </c>
    </row>
    <row r="201" spans="1:3" x14ac:dyDescent="0.35">
      <c r="A201" s="4">
        <v>35247</v>
      </c>
      <c r="B201" s="7">
        <f>VLOOKUP($A201,[4]BASE_M!$A:$AZ,MATCH(B$2,[4]BASE_M!$4:$4,0),FALSE)</f>
        <v>6.4770000000000003</v>
      </c>
      <c r="C201" s="7">
        <f t="shared" si="3"/>
        <v>6.4986666666666677</v>
      </c>
    </row>
    <row r="202" spans="1:3" x14ac:dyDescent="0.35">
      <c r="A202" s="4">
        <v>35278</v>
      </c>
      <c r="B202" s="7">
        <f>VLOOKUP($A202,[4]BASE_M!$A:$AZ,MATCH(B$2,[4]BASE_M!$4:$4,0),FALSE)</f>
        <v>6.3040000000000003</v>
      </c>
      <c r="C202" s="7">
        <f t="shared" si="3"/>
        <v>6.450333333333333</v>
      </c>
    </row>
    <row r="203" spans="1:3" x14ac:dyDescent="0.35">
      <c r="A203" s="4">
        <v>35309</v>
      </c>
      <c r="B203" s="7">
        <f>VLOOKUP($A203,[4]BASE_M!$A:$AZ,MATCH(B$2,[4]BASE_M!$4:$4,0),FALSE)</f>
        <v>6.234</v>
      </c>
      <c r="C203" s="7">
        <f t="shared" si="3"/>
        <v>6.3383333333333338</v>
      </c>
    </row>
    <row r="204" spans="1:3" x14ac:dyDescent="0.35">
      <c r="A204" s="4">
        <v>35339</v>
      </c>
      <c r="B204" s="7">
        <f>VLOOKUP($A204,[4]BASE_M!$A:$AZ,MATCH(B$2,[4]BASE_M!$4:$4,0),FALSE)</f>
        <v>6.0039999999999996</v>
      </c>
      <c r="C204" s="7">
        <f t="shared" si="3"/>
        <v>6.1806666666666672</v>
      </c>
    </row>
    <row r="205" spans="1:3" x14ac:dyDescent="0.35">
      <c r="A205" s="4">
        <v>35370</v>
      </c>
      <c r="B205" s="7">
        <f>VLOOKUP($A205,[4]BASE_M!$A:$AZ,MATCH(B$2,[4]BASE_M!$4:$4,0),FALSE)</f>
        <v>5.8550000000000004</v>
      </c>
      <c r="C205" s="7">
        <f t="shared" si="3"/>
        <v>6.0309999999999997</v>
      </c>
    </row>
    <row r="206" spans="1:3" x14ac:dyDescent="0.35">
      <c r="A206" s="4">
        <v>35400</v>
      </c>
      <c r="B206" s="7">
        <f>VLOOKUP($A206,[4]BASE_M!$A:$AZ,MATCH(B$2,[4]BASE_M!$4:$4,0),FALSE)</f>
        <v>5.79</v>
      </c>
      <c r="C206" s="7">
        <f t="shared" si="3"/>
        <v>5.883</v>
      </c>
    </row>
    <row r="207" spans="1:3" x14ac:dyDescent="0.35">
      <c r="A207" s="4">
        <v>35431</v>
      </c>
      <c r="B207" s="7">
        <f>VLOOKUP($A207,[4]BASE_M!$A:$AZ,MATCH(B$2,[4]BASE_M!$4:$4,0),FALSE)</f>
        <v>5.7939999999999996</v>
      </c>
      <c r="C207" s="7">
        <f t="shared" si="3"/>
        <v>5.8129999999999997</v>
      </c>
    </row>
    <row r="208" spans="1:3" x14ac:dyDescent="0.35">
      <c r="A208" s="4">
        <v>35462</v>
      </c>
      <c r="B208" s="7">
        <f>VLOOKUP($A208,[4]BASE_M!$A:$AZ,MATCH(B$2,[4]BASE_M!$4:$4,0),FALSE)</f>
        <v>5.5759999999999996</v>
      </c>
      <c r="C208" s="7">
        <f t="shared" si="3"/>
        <v>5.72</v>
      </c>
    </row>
    <row r="209" spans="1:3" x14ac:dyDescent="0.35">
      <c r="A209" s="4">
        <v>35490</v>
      </c>
      <c r="B209" s="7">
        <f>VLOOKUP($A209,[4]BASE_M!$A:$AZ,MATCH(B$2,[4]BASE_M!$4:$4,0),FALSE)</f>
        <v>5.7619999999999996</v>
      </c>
      <c r="C209" s="7">
        <f t="shared" si="3"/>
        <v>5.7106666666666657</v>
      </c>
    </row>
    <row r="210" spans="1:3" x14ac:dyDescent="0.35">
      <c r="A210" s="4">
        <v>35521</v>
      </c>
      <c r="B210" s="7">
        <f>VLOOKUP($A210,[4]BASE_M!$A:$AZ,MATCH(B$2,[4]BASE_M!$4:$4,0),FALSE)</f>
        <v>5.8959999999999999</v>
      </c>
      <c r="C210" s="7">
        <f t="shared" si="3"/>
        <v>5.7446666666666664</v>
      </c>
    </row>
    <row r="211" spans="1:3" x14ac:dyDescent="0.35">
      <c r="A211" s="4">
        <v>35551</v>
      </c>
      <c r="B211" s="7">
        <f>VLOOKUP($A211,[4]BASE_M!$A:$AZ,MATCH(B$2,[4]BASE_M!$4:$4,0),FALSE)</f>
        <v>5.8</v>
      </c>
      <c r="C211" s="7">
        <f t="shared" si="3"/>
        <v>5.8193333333333328</v>
      </c>
    </row>
    <row r="212" spans="1:3" x14ac:dyDescent="0.35">
      <c r="A212" s="4">
        <v>35582</v>
      </c>
      <c r="B212" s="7">
        <f>VLOOKUP($A212,[4]BASE_M!$A:$AZ,MATCH(B$2,[4]BASE_M!$4:$4,0),FALSE)</f>
        <v>5.7530000000000001</v>
      </c>
      <c r="C212" s="7">
        <f t="shared" si="3"/>
        <v>5.8163333333333327</v>
      </c>
    </row>
    <row r="213" spans="1:3" x14ac:dyDescent="0.35">
      <c r="A213" s="4">
        <v>35612</v>
      </c>
      <c r="B213" s="7">
        <f>VLOOKUP($A213,[4]BASE_M!$A:$AZ,MATCH(B$2,[4]BASE_M!$4:$4,0),FALSE)</f>
        <v>5.5640000000000001</v>
      </c>
      <c r="C213" s="7">
        <f t="shared" si="3"/>
        <v>5.7056666666666667</v>
      </c>
    </row>
    <row r="214" spans="1:3" x14ac:dyDescent="0.35">
      <c r="A214" s="4">
        <v>35643</v>
      </c>
      <c r="B214" s="7">
        <f>VLOOKUP($A214,[4]BASE_M!$A:$AZ,MATCH(B$2,[4]BASE_M!$4:$4,0),FALSE)</f>
        <v>5.6589999999999998</v>
      </c>
      <c r="C214" s="7">
        <f t="shared" si="3"/>
        <v>5.6586666666666661</v>
      </c>
    </row>
    <row r="215" spans="1:3" x14ac:dyDescent="0.35">
      <c r="A215" s="4">
        <v>35674</v>
      </c>
      <c r="B215" s="7">
        <f>VLOOKUP($A215,[4]BASE_M!$A:$AZ,MATCH(B$2,[4]BASE_M!$4:$4,0),FALSE)</f>
        <v>5.601</v>
      </c>
      <c r="C215" s="7">
        <f t="shared" si="3"/>
        <v>5.6079999999999997</v>
      </c>
    </row>
    <row r="216" spans="1:3" x14ac:dyDescent="0.35">
      <c r="A216" s="4">
        <v>35704</v>
      </c>
      <c r="B216" s="7">
        <f>VLOOKUP($A216,[4]BASE_M!$A:$AZ,MATCH(B$2,[4]BASE_M!$4:$4,0),FALSE)</f>
        <v>5.5750000000000002</v>
      </c>
      <c r="C216" s="7">
        <f t="shared" si="3"/>
        <v>5.6116666666666672</v>
      </c>
    </row>
    <row r="217" spans="1:3" x14ac:dyDescent="0.35">
      <c r="A217" s="4">
        <v>35735</v>
      </c>
      <c r="B217" s="7">
        <f>VLOOKUP($A217,[4]BASE_M!$A:$AZ,MATCH(B$2,[4]BASE_M!$4:$4,0),FALSE)</f>
        <v>5.5609999999999999</v>
      </c>
      <c r="C217" s="7">
        <f t="shared" si="3"/>
        <v>5.5790000000000006</v>
      </c>
    </row>
    <row r="218" spans="1:3" x14ac:dyDescent="0.35">
      <c r="A218" s="4">
        <v>35765</v>
      </c>
      <c r="B218" s="7">
        <f>VLOOKUP($A218,[4]BASE_M!$A:$AZ,MATCH(B$2,[4]BASE_M!$4:$4,0),FALSE)</f>
        <v>5.3159999999999998</v>
      </c>
      <c r="C218" s="7">
        <f t="shared" si="3"/>
        <v>5.4839999999999991</v>
      </c>
    </row>
    <row r="219" spans="1:3" x14ac:dyDescent="0.35">
      <c r="A219" s="4">
        <v>35796</v>
      </c>
      <c r="B219" s="7">
        <f>VLOOKUP($A219,[4]BASE_M!$A:$AZ,MATCH(B$2,[4]BASE_M!$4:$4,0),FALSE)</f>
        <v>5.1239999999999997</v>
      </c>
      <c r="C219" s="7">
        <f t="shared" si="3"/>
        <v>5.3336666666666659</v>
      </c>
    </row>
    <row r="220" spans="1:3" x14ac:dyDescent="0.35">
      <c r="A220" s="4">
        <v>35827</v>
      </c>
      <c r="B220" s="7">
        <f>VLOOKUP($A220,[4]BASE_M!$A:$AZ,MATCH(B$2,[4]BASE_M!$4:$4,0),FALSE)</f>
        <v>4.9939999999999998</v>
      </c>
      <c r="C220" s="7">
        <f t="shared" si="3"/>
        <v>5.1446666666666667</v>
      </c>
    </row>
    <row r="221" spans="1:3" x14ac:dyDescent="0.35">
      <c r="A221" s="4">
        <v>35855</v>
      </c>
      <c r="B221" s="7">
        <f>VLOOKUP($A221,[4]BASE_M!$A:$AZ,MATCH(B$2,[4]BASE_M!$4:$4,0),FALSE)</f>
        <v>4.9009999999999998</v>
      </c>
      <c r="C221" s="7">
        <f t="shared" si="3"/>
        <v>5.0063333333333331</v>
      </c>
    </row>
    <row r="222" spans="1:3" x14ac:dyDescent="0.35">
      <c r="A222" s="4">
        <v>35886</v>
      </c>
      <c r="B222" s="7">
        <f>VLOOKUP($A222,[4]BASE_M!$A:$AZ,MATCH(B$2,[4]BASE_M!$4:$4,0),FALSE)</f>
        <v>4.8970000000000002</v>
      </c>
      <c r="C222" s="7">
        <f t="shared" si="3"/>
        <v>4.9306666666666663</v>
      </c>
    </row>
    <row r="223" spans="1:3" x14ac:dyDescent="0.35">
      <c r="A223" s="4">
        <v>35916</v>
      </c>
      <c r="B223" s="7">
        <f>VLOOKUP($A223,[4]BASE_M!$A:$AZ,MATCH(B$2,[4]BASE_M!$4:$4,0),FALSE)</f>
        <v>4.9610000000000003</v>
      </c>
      <c r="C223" s="7">
        <f t="shared" si="3"/>
        <v>4.9196666666666671</v>
      </c>
    </row>
    <row r="224" spans="1:3" x14ac:dyDescent="0.35">
      <c r="A224" s="4">
        <v>35947</v>
      </c>
      <c r="B224" s="7">
        <f>VLOOKUP($A224,[4]BASE_M!$A:$AZ,MATCH(B$2,[4]BASE_M!$4:$4,0),FALSE)</f>
        <v>4.8019999999999996</v>
      </c>
      <c r="C224" s="7">
        <f t="shared" si="3"/>
        <v>4.8866666666666667</v>
      </c>
    </row>
    <row r="225" spans="1:3" x14ac:dyDescent="0.35">
      <c r="A225" s="4">
        <v>35977</v>
      </c>
      <c r="B225" s="7">
        <f>VLOOKUP($A225,[4]BASE_M!$A:$AZ,MATCH(B$2,[4]BASE_M!$4:$4,0),FALSE)</f>
        <v>4.6909999999999998</v>
      </c>
      <c r="C225" s="7">
        <f t="shared" si="3"/>
        <v>4.8180000000000005</v>
      </c>
    </row>
    <row r="226" spans="1:3" x14ac:dyDescent="0.35">
      <c r="A226" s="4">
        <v>36008</v>
      </c>
      <c r="B226" s="7">
        <f>VLOOKUP($A226,[4]BASE_M!$A:$AZ,MATCH(B$2,[4]BASE_M!$4:$4,0),FALSE)</f>
        <v>4.4160000000000004</v>
      </c>
      <c r="C226" s="7">
        <f t="shared" si="3"/>
        <v>4.636333333333333</v>
      </c>
    </row>
    <row r="227" spans="1:3" x14ac:dyDescent="0.35">
      <c r="A227" s="4">
        <v>36039</v>
      </c>
      <c r="B227" s="7">
        <f>VLOOKUP($A227,[4]BASE_M!$A:$AZ,MATCH(B$2,[4]BASE_M!$4:$4,0),FALSE)</f>
        <v>4.0449999999999999</v>
      </c>
      <c r="C227" s="7">
        <f t="shared" si="3"/>
        <v>4.3839999999999995</v>
      </c>
    </row>
    <row r="228" spans="1:3" x14ac:dyDescent="0.35">
      <c r="A228" s="4">
        <v>36069</v>
      </c>
      <c r="B228" s="7">
        <f>VLOOKUP($A228,[4]BASE_M!$A:$AZ,MATCH(B$2,[4]BASE_M!$4:$4,0),FALSE)</f>
        <v>4.0289999999999999</v>
      </c>
      <c r="C228" s="7">
        <f t="shared" si="3"/>
        <v>4.1633333333333331</v>
      </c>
    </row>
    <row r="229" spans="1:3" x14ac:dyDescent="0.35">
      <c r="A229" s="4">
        <v>36100</v>
      </c>
      <c r="B229" s="7">
        <f>VLOOKUP($A229,[4]BASE_M!$A:$AZ,MATCH(B$2,[4]BASE_M!$4:$4,0),FALSE)</f>
        <v>4.1029999999999998</v>
      </c>
      <c r="C229" s="7">
        <f t="shared" si="3"/>
        <v>4.0590000000000002</v>
      </c>
    </row>
    <row r="230" spans="1:3" x14ac:dyDescent="0.35">
      <c r="A230" s="4">
        <v>36130</v>
      </c>
      <c r="B230" s="7">
        <f>VLOOKUP($A230,[4]BASE_M!$A:$AZ,MATCH(B$2,[4]BASE_M!$4:$4,0),FALSE)</f>
        <v>3.871</v>
      </c>
      <c r="C230" s="7">
        <f t="shared" si="3"/>
        <v>4.0010000000000003</v>
      </c>
    </row>
    <row r="231" spans="1:3" x14ac:dyDescent="0.35">
      <c r="A231" s="4">
        <v>36161</v>
      </c>
      <c r="B231" s="7">
        <f>VLOOKUP($A231,[4]BASE_M!$A:$AZ,MATCH(B$2,[4]BASE_M!$4:$4,0),FALSE)</f>
        <v>3.7160000000000002</v>
      </c>
      <c r="C231" s="7">
        <f t="shared" si="3"/>
        <v>3.8966666666666669</v>
      </c>
    </row>
    <row r="232" spans="1:3" x14ac:dyDescent="0.35">
      <c r="A232" s="4">
        <v>36192</v>
      </c>
      <c r="B232" s="7">
        <f>VLOOKUP($A232,[4]BASE_M!$A:$AZ,MATCH(B$2,[4]BASE_M!$4:$4,0),FALSE)</f>
        <v>3.83</v>
      </c>
      <c r="C232" s="7">
        <f t="shared" si="3"/>
        <v>3.8056666666666668</v>
      </c>
    </row>
    <row r="233" spans="1:3" x14ac:dyDescent="0.35">
      <c r="A233" s="4">
        <v>36220</v>
      </c>
      <c r="B233" s="7">
        <f>VLOOKUP($A233,[4]BASE_M!$A:$AZ,MATCH(B$2,[4]BASE_M!$4:$4,0),FALSE)</f>
        <v>4.0220000000000002</v>
      </c>
      <c r="C233" s="7">
        <f t="shared" si="3"/>
        <v>3.8560000000000003</v>
      </c>
    </row>
    <row r="234" spans="1:3" x14ac:dyDescent="0.35">
      <c r="A234" s="4">
        <v>36251</v>
      </c>
      <c r="B234" s="7">
        <f>VLOOKUP($A234,[4]BASE_M!$A:$AZ,MATCH(B$2,[4]BASE_M!$4:$4,0),FALSE)</f>
        <v>3.871</v>
      </c>
      <c r="C234" s="7">
        <f t="shared" si="3"/>
        <v>3.9076666666666671</v>
      </c>
    </row>
    <row r="235" spans="1:3" x14ac:dyDescent="0.35">
      <c r="A235" s="4">
        <v>36281</v>
      </c>
      <c r="B235" s="7">
        <f>VLOOKUP($A235,[4]BASE_M!$A:$AZ,MATCH(B$2,[4]BASE_M!$4:$4,0),FALSE)</f>
        <v>4.0430000000000001</v>
      </c>
      <c r="C235" s="7">
        <f t="shared" si="3"/>
        <v>3.9786666666666668</v>
      </c>
    </row>
    <row r="236" spans="1:3" x14ac:dyDescent="0.35">
      <c r="A236" s="4">
        <v>36312</v>
      </c>
      <c r="B236" s="7">
        <f>VLOOKUP($A236,[4]BASE_M!$A:$AZ,MATCH(B$2,[4]BASE_M!$4:$4,0),FALSE)</f>
        <v>4.3360000000000003</v>
      </c>
      <c r="C236" s="7">
        <f t="shared" si="3"/>
        <v>4.083333333333333</v>
      </c>
    </row>
    <row r="237" spans="1:3" x14ac:dyDescent="0.35">
      <c r="A237" s="4">
        <v>36342</v>
      </c>
      <c r="B237" s="7">
        <f>VLOOKUP($A237,[4]BASE_M!$A:$AZ,MATCH(B$2,[4]BASE_M!$4:$4,0),FALSE)</f>
        <v>4.665</v>
      </c>
      <c r="C237" s="7">
        <f t="shared" si="3"/>
        <v>4.3479999999999999</v>
      </c>
    </row>
    <row r="238" spans="1:3" x14ac:dyDescent="0.35">
      <c r="A238" s="4">
        <v>36373</v>
      </c>
      <c r="B238" s="7">
        <f>VLOOKUP($A238,[4]BASE_M!$A:$AZ,MATCH(B$2,[4]BASE_M!$4:$4,0),FALSE)</f>
        <v>4.8860000000000001</v>
      </c>
      <c r="C238" s="7">
        <f t="shared" si="3"/>
        <v>4.6290000000000004</v>
      </c>
    </row>
    <row r="239" spans="1:3" x14ac:dyDescent="0.35">
      <c r="A239" s="4">
        <v>36404</v>
      </c>
      <c r="B239" s="7">
        <f>VLOOKUP($A239,[4]BASE_M!$A:$AZ,MATCH(B$2,[4]BASE_M!$4:$4,0),FALSE)</f>
        <v>5.0490000000000004</v>
      </c>
      <c r="C239" s="7">
        <f t="shared" si="3"/>
        <v>4.8666666666666671</v>
      </c>
    </row>
    <row r="240" spans="1:3" x14ac:dyDescent="0.35">
      <c r="A240" s="4">
        <v>36434</v>
      </c>
      <c r="B240" s="7">
        <f>VLOOKUP($A240,[4]BASE_M!$A:$AZ,MATCH(B$2,[4]BASE_M!$4:$4,0),FALSE)</f>
        <v>5.3090000000000002</v>
      </c>
      <c r="C240" s="7">
        <f t="shared" si="3"/>
        <v>5.0813333333333333</v>
      </c>
    </row>
    <row r="241" spans="1:3" x14ac:dyDescent="0.35">
      <c r="A241" s="4">
        <v>36465</v>
      </c>
      <c r="B241" s="7">
        <f>VLOOKUP($A241,[4]BASE_M!$A:$AZ,MATCH(B$2,[4]BASE_M!$4:$4,0),FALSE)</f>
        <v>5.048</v>
      </c>
      <c r="C241" s="7">
        <f t="shared" si="3"/>
        <v>5.1353333333333335</v>
      </c>
    </row>
    <row r="242" spans="1:3" x14ac:dyDescent="0.35">
      <c r="A242" s="4">
        <v>36495</v>
      </c>
      <c r="B242" s="7">
        <f>VLOOKUP($A242,[4]BASE_M!$A:$AZ,MATCH(B$2,[4]BASE_M!$4:$4,0),FALSE)</f>
        <v>5.1689999999999996</v>
      </c>
      <c r="C242" s="7">
        <f t="shared" si="3"/>
        <v>5.1753333333333336</v>
      </c>
    </row>
    <row r="243" spans="1:3" x14ac:dyDescent="0.35">
      <c r="A243" s="4">
        <v>36526</v>
      </c>
      <c r="B243" s="7">
        <f>VLOOKUP($A243,[4]BASE_M!$A:$AZ,MATCH(B$2,[4]BASE_M!$4:$4,0),FALSE)</f>
        <v>5.5369999999999999</v>
      </c>
      <c r="C243" s="7">
        <f t="shared" si="3"/>
        <v>5.2513333333333323</v>
      </c>
    </row>
    <row r="244" spans="1:3" x14ac:dyDescent="0.35">
      <c r="A244" s="4">
        <v>36557</v>
      </c>
      <c r="B244" s="7">
        <f>VLOOKUP($A244,[4]BASE_M!$A:$AZ,MATCH(B$2,[4]BASE_M!$4:$4,0),FALSE)</f>
        <v>5.5069999999999997</v>
      </c>
      <c r="C244" s="7">
        <f t="shared" si="3"/>
        <v>5.4043333333333337</v>
      </c>
    </row>
    <row r="245" spans="1:3" x14ac:dyDescent="0.35">
      <c r="A245" s="4">
        <v>36586</v>
      </c>
      <c r="B245" s="7">
        <f>VLOOKUP($A245,[4]BASE_M!$A:$AZ,MATCH(B$2,[4]BASE_M!$4:$4,0),FALSE)</f>
        <v>5.33</v>
      </c>
      <c r="C245" s="7">
        <f t="shared" si="3"/>
        <v>5.4580000000000011</v>
      </c>
    </row>
    <row r="246" spans="1:3" x14ac:dyDescent="0.35">
      <c r="A246" s="4">
        <v>36617</v>
      </c>
      <c r="B246" s="7">
        <f>VLOOKUP($A246,[4]BASE_M!$A:$AZ,MATCH(B$2,[4]BASE_M!$4:$4,0),FALSE)</f>
        <v>5.2350000000000003</v>
      </c>
      <c r="C246" s="7">
        <f t="shared" si="3"/>
        <v>5.3573333333333331</v>
      </c>
    </row>
    <row r="247" spans="1:3" x14ac:dyDescent="0.35">
      <c r="A247" s="4">
        <v>36647</v>
      </c>
      <c r="B247" s="7">
        <f>VLOOKUP($A247,[4]BASE_M!$A:$AZ,MATCH(B$2,[4]BASE_M!$4:$4,0),FALSE)</f>
        <v>5.3419999999999996</v>
      </c>
      <c r="C247" s="7">
        <f t="shared" si="3"/>
        <v>5.3023333333333333</v>
      </c>
    </row>
    <row r="248" spans="1:3" x14ac:dyDescent="0.35">
      <c r="A248" s="4">
        <v>36678</v>
      </c>
      <c r="B248" s="7">
        <f>VLOOKUP($A248,[4]BASE_M!$A:$AZ,MATCH(B$2,[4]BASE_M!$4:$4,0),FALSE)</f>
        <v>5.165</v>
      </c>
      <c r="C248" s="7">
        <f t="shared" si="3"/>
        <v>5.2473333333333336</v>
      </c>
    </row>
    <row r="249" spans="1:3" x14ac:dyDescent="0.35">
      <c r="A249" s="4">
        <v>36708</v>
      </c>
      <c r="B249" s="7">
        <f>VLOOKUP($A249,[4]BASE_M!$A:$AZ,MATCH(B$2,[4]BASE_M!$4:$4,0),FALSE)</f>
        <v>5.2569999999999997</v>
      </c>
      <c r="C249" s="7">
        <f t="shared" si="3"/>
        <v>5.2546666666666662</v>
      </c>
    </row>
    <row r="250" spans="1:3" x14ac:dyDescent="0.35">
      <c r="A250" s="4">
        <v>36739</v>
      </c>
      <c r="B250" s="7">
        <f>VLOOKUP($A250,[4]BASE_M!$A:$AZ,MATCH(B$2,[4]BASE_M!$4:$4,0),FALSE)</f>
        <v>5.2089999999999996</v>
      </c>
      <c r="C250" s="7">
        <f t="shared" si="3"/>
        <v>5.2103333333333337</v>
      </c>
    </row>
    <row r="251" spans="1:3" x14ac:dyDescent="0.35">
      <c r="A251" s="4">
        <v>36770</v>
      </c>
      <c r="B251" s="7">
        <f>VLOOKUP($A251,[4]BASE_M!$A:$AZ,MATCH(B$2,[4]BASE_M!$4:$4,0),FALSE)</f>
        <v>5.2640000000000002</v>
      </c>
      <c r="C251" s="7">
        <f t="shared" si="3"/>
        <v>5.2433333333333332</v>
      </c>
    </row>
    <row r="252" spans="1:3" x14ac:dyDescent="0.35">
      <c r="A252" s="4">
        <v>36800</v>
      </c>
      <c r="B252" s="7">
        <f>VLOOKUP($A252,[4]BASE_M!$A:$AZ,MATCH(B$2,[4]BASE_M!$4:$4,0),FALSE)</f>
        <v>5.218</v>
      </c>
      <c r="C252" s="7">
        <f t="shared" si="3"/>
        <v>5.2303333333333333</v>
      </c>
    </row>
    <row r="253" spans="1:3" x14ac:dyDescent="0.35">
      <c r="A253" s="4">
        <v>36831</v>
      </c>
      <c r="B253" s="7">
        <f>VLOOKUP($A253,[4]BASE_M!$A:$AZ,MATCH(B$2,[4]BASE_M!$4:$4,0),FALSE)</f>
        <v>5.1689999999999996</v>
      </c>
      <c r="C253" s="7">
        <f t="shared" si="3"/>
        <v>5.2169999999999996</v>
      </c>
    </row>
    <row r="254" spans="1:3" x14ac:dyDescent="0.35">
      <c r="A254" s="4">
        <v>36861</v>
      </c>
      <c r="B254" s="7">
        <f>VLOOKUP($A254,[4]BASE_M!$A:$AZ,MATCH(B$2,[4]BASE_M!$4:$4,0),FALSE)</f>
        <v>4.9080000000000004</v>
      </c>
      <c r="C254" s="7">
        <f t="shared" si="3"/>
        <v>5.0983333333333336</v>
      </c>
    </row>
    <row r="255" spans="1:3" x14ac:dyDescent="0.35">
      <c r="A255" s="4">
        <v>36892</v>
      </c>
      <c r="B255" s="7">
        <f>VLOOKUP($A255,[4]BASE_M!$A:$AZ,MATCH(B$2,[4]BASE_M!$4:$4,0),FALSE)</f>
        <v>4.8040000000000003</v>
      </c>
      <c r="C255" s="7">
        <f t="shared" si="3"/>
        <v>4.9603333333333337</v>
      </c>
    </row>
    <row r="256" spans="1:3" x14ac:dyDescent="0.35">
      <c r="A256" s="4">
        <v>36923</v>
      </c>
      <c r="B256" s="7">
        <f>VLOOKUP($A256,[4]BASE_M!$A:$AZ,MATCH(B$2,[4]BASE_M!$4:$4,0),FALSE)</f>
        <v>4.7939999999999996</v>
      </c>
      <c r="C256" s="7">
        <f t="shared" si="3"/>
        <v>4.8353333333333337</v>
      </c>
    </row>
    <row r="257" spans="1:3" x14ac:dyDescent="0.35">
      <c r="A257" s="4">
        <v>36951</v>
      </c>
      <c r="B257" s="7">
        <f>VLOOKUP($A257,[4]BASE_M!$A:$AZ,MATCH(B$2,[4]BASE_M!$4:$4,0),FALSE)</f>
        <v>4.6959999999999997</v>
      </c>
      <c r="C257" s="7">
        <f t="shared" si="3"/>
        <v>4.7646666666666659</v>
      </c>
    </row>
    <row r="258" spans="1:3" x14ac:dyDescent="0.35">
      <c r="A258" s="4">
        <v>36982</v>
      </c>
      <c r="B258" s="7">
        <f>VLOOKUP($A258,[4]BASE_M!$A:$AZ,MATCH(B$2,[4]BASE_M!$4:$4,0),FALSE)</f>
        <v>4.8579999999999997</v>
      </c>
      <c r="C258" s="7">
        <f t="shared" si="3"/>
        <v>4.7826666666666666</v>
      </c>
    </row>
    <row r="259" spans="1:3" x14ac:dyDescent="0.35">
      <c r="A259" s="4">
        <v>37012</v>
      </c>
      <c r="B259" s="7">
        <f>VLOOKUP($A259,[4]BASE_M!$A:$AZ,MATCH(B$2,[4]BASE_M!$4:$4,0),FALSE)</f>
        <v>5.0670000000000002</v>
      </c>
      <c r="C259" s="7">
        <f t="shared" si="3"/>
        <v>4.8736666666666659</v>
      </c>
    </row>
    <row r="260" spans="1:3" x14ac:dyDescent="0.35">
      <c r="A260" s="4">
        <v>37043</v>
      </c>
      <c r="B260" s="7">
        <f>VLOOKUP($A260,[4]BASE_M!$A:$AZ,MATCH(B$2,[4]BASE_M!$4:$4,0),FALSE)</f>
        <v>5.0259999999999998</v>
      </c>
      <c r="C260" s="7">
        <f t="shared" si="3"/>
        <v>4.9836666666666671</v>
      </c>
    </row>
    <row r="261" spans="1:3" x14ac:dyDescent="0.35">
      <c r="A261" s="4">
        <v>37073</v>
      </c>
      <c r="B261" s="7">
        <f>VLOOKUP($A261,[4]BASE_M!$A:$AZ,MATCH(B$2,[4]BASE_M!$4:$4,0),FALSE)</f>
        <v>5.0220000000000002</v>
      </c>
      <c r="C261" s="7">
        <f t="shared" si="3"/>
        <v>5.0383333333333331</v>
      </c>
    </row>
    <row r="262" spans="1:3" x14ac:dyDescent="0.35">
      <c r="A262" s="4">
        <v>37104</v>
      </c>
      <c r="B262" s="7">
        <f>VLOOKUP($A262,[4]BASE_M!$A:$AZ,MATCH(B$2,[4]BASE_M!$4:$4,0),FALSE)</f>
        <v>4.835</v>
      </c>
      <c r="C262" s="7">
        <f t="shared" si="3"/>
        <v>4.9609999999999994</v>
      </c>
    </row>
    <row r="263" spans="1:3" x14ac:dyDescent="0.35">
      <c r="A263" s="4">
        <v>37135</v>
      </c>
      <c r="B263" s="7">
        <f>VLOOKUP($A263,[4]BASE_M!$A:$AZ,MATCH(B$2,[4]BASE_M!$4:$4,0),FALSE)</f>
        <v>4.8360000000000003</v>
      </c>
      <c r="C263" s="7">
        <f t="shared" ref="C263:C326" si="4">AVERAGE(B261:B263)</f>
        <v>4.8976666666666668</v>
      </c>
    </row>
    <row r="264" spans="1:3" x14ac:dyDescent="0.35">
      <c r="A264" s="4">
        <v>37165</v>
      </c>
      <c r="B264" s="7">
        <f>VLOOKUP($A264,[4]BASE_M!$A:$AZ,MATCH(B$2,[4]BASE_M!$4:$4,0),FALSE)</f>
        <v>4.6180000000000003</v>
      </c>
      <c r="C264" s="7">
        <f t="shared" si="4"/>
        <v>4.7629999999999999</v>
      </c>
    </row>
    <row r="265" spans="1:3" x14ac:dyDescent="0.35">
      <c r="A265" s="4">
        <v>37196</v>
      </c>
      <c r="B265" s="7">
        <f>VLOOKUP($A265,[4]BASE_M!$A:$AZ,MATCH(B$2,[4]BASE_M!$4:$4,0),FALSE)</f>
        <v>4.4729999999999999</v>
      </c>
      <c r="C265" s="7">
        <f t="shared" si="4"/>
        <v>4.6423333333333332</v>
      </c>
    </row>
    <row r="266" spans="1:3" x14ac:dyDescent="0.35">
      <c r="A266" s="4">
        <v>37226</v>
      </c>
      <c r="B266" s="7">
        <f>VLOOKUP($A266,[4]BASE_M!$A:$AZ,MATCH(B$2,[4]BASE_M!$4:$4,0),FALSE)</f>
        <v>4.8049999999999997</v>
      </c>
      <c r="C266" s="7">
        <f t="shared" si="4"/>
        <v>4.6320000000000006</v>
      </c>
    </row>
    <row r="267" spans="1:3" x14ac:dyDescent="0.35">
      <c r="A267" s="4">
        <v>37257</v>
      </c>
      <c r="B267" s="7">
        <f>VLOOKUP($A267,[4]BASE_M!$A:$AZ,MATCH(B$2,[4]BASE_M!$4:$4,0),FALSE)</f>
        <v>4.8780000000000001</v>
      </c>
      <c r="C267" s="7">
        <f t="shared" si="4"/>
        <v>4.7186666666666666</v>
      </c>
    </row>
    <row r="268" spans="1:3" x14ac:dyDescent="0.35">
      <c r="A268" s="4">
        <v>37288</v>
      </c>
      <c r="B268" s="7">
        <f>VLOOKUP($A268,[4]BASE_M!$A:$AZ,MATCH(B$2,[4]BASE_M!$4:$4,0),FALSE)</f>
        <v>4.9269999999999996</v>
      </c>
      <c r="C268" s="7">
        <f t="shared" si="4"/>
        <v>4.87</v>
      </c>
    </row>
    <row r="269" spans="1:3" x14ac:dyDescent="0.35">
      <c r="A269" s="4">
        <v>37316</v>
      </c>
      <c r="B269" s="7">
        <f>VLOOKUP($A269,[4]BASE_M!$A:$AZ,MATCH(B$2,[4]BASE_M!$4:$4,0),FALSE)</f>
        <v>5.1870000000000003</v>
      </c>
      <c r="C269" s="7">
        <f t="shared" si="4"/>
        <v>4.9973333333333336</v>
      </c>
    </row>
    <row r="270" spans="1:3" x14ac:dyDescent="0.35">
      <c r="A270" s="4">
        <v>37347</v>
      </c>
      <c r="B270" s="7">
        <f>VLOOKUP($A270,[4]BASE_M!$A:$AZ,MATCH(B$2,[4]BASE_M!$4:$4,0),FALSE)</f>
        <v>5.1660000000000004</v>
      </c>
      <c r="C270" s="7">
        <f t="shared" si="4"/>
        <v>5.0933333333333337</v>
      </c>
    </row>
    <row r="271" spans="1:3" x14ac:dyDescent="0.35">
      <c r="A271" s="4">
        <v>37377</v>
      </c>
      <c r="B271" s="7">
        <f>VLOOKUP($A271,[4]BASE_M!$A:$AZ,MATCH(B$2,[4]BASE_M!$4:$4,0),FALSE)</f>
        <v>5.1760000000000002</v>
      </c>
      <c r="C271" s="7">
        <f t="shared" si="4"/>
        <v>5.1763333333333339</v>
      </c>
    </row>
    <row r="272" spans="1:3" x14ac:dyDescent="0.35">
      <c r="A272" s="4">
        <v>37408</v>
      </c>
      <c r="B272" s="7">
        <f>VLOOKUP($A272,[4]BASE_M!$A:$AZ,MATCH(B$2,[4]BASE_M!$4:$4,0),FALSE)</f>
        <v>5.0270000000000001</v>
      </c>
      <c r="C272" s="7">
        <f t="shared" si="4"/>
        <v>5.1230000000000002</v>
      </c>
    </row>
    <row r="273" spans="1:3" x14ac:dyDescent="0.35">
      <c r="A273" s="4">
        <v>37438</v>
      </c>
      <c r="B273" s="7">
        <f>VLOOKUP($A273,[4]BASE_M!$A:$AZ,MATCH(B$2,[4]BASE_M!$4:$4,0),FALSE)</f>
        <v>4.8710000000000004</v>
      </c>
      <c r="C273" s="7">
        <f t="shared" si="4"/>
        <v>5.0246666666666666</v>
      </c>
    </row>
    <row r="274" spans="1:3" x14ac:dyDescent="0.35">
      <c r="A274" s="4">
        <v>37469</v>
      </c>
      <c r="B274" s="7">
        <f>VLOOKUP($A274,[4]BASE_M!$A:$AZ,MATCH(B$2,[4]BASE_M!$4:$4,0),FALSE)</f>
        <v>4.5919999999999996</v>
      </c>
      <c r="C274" s="7">
        <f t="shared" si="4"/>
        <v>4.8299999999999992</v>
      </c>
    </row>
    <row r="275" spans="1:3" x14ac:dyDescent="0.35">
      <c r="A275" s="4">
        <v>37500</v>
      </c>
      <c r="B275" s="7">
        <f>VLOOKUP($A275,[4]BASE_M!$A:$AZ,MATCH(B$2,[4]BASE_M!$4:$4,0),FALSE)</f>
        <v>4.3819999999999997</v>
      </c>
      <c r="C275" s="7">
        <f t="shared" si="4"/>
        <v>4.6150000000000002</v>
      </c>
    </row>
    <row r="276" spans="1:3" x14ac:dyDescent="0.35">
      <c r="A276" s="4">
        <v>37530</v>
      </c>
      <c r="B276" s="7">
        <f>VLOOKUP($A276,[4]BASE_M!$A:$AZ,MATCH(B$2,[4]BASE_M!$4:$4,0),FALSE)</f>
        <v>4.4850000000000003</v>
      </c>
      <c r="C276" s="7">
        <f t="shared" si="4"/>
        <v>4.4863333333333335</v>
      </c>
    </row>
    <row r="277" spans="1:3" x14ac:dyDescent="0.35">
      <c r="A277" s="4">
        <v>37561</v>
      </c>
      <c r="B277" s="7">
        <f>VLOOKUP($A277,[4]BASE_M!$A:$AZ,MATCH(B$2,[4]BASE_M!$4:$4,0),FALSE)</f>
        <v>4.4969999999999999</v>
      </c>
      <c r="C277" s="7">
        <f t="shared" si="4"/>
        <v>4.4546666666666672</v>
      </c>
    </row>
    <row r="278" spans="1:3" x14ac:dyDescent="0.35">
      <c r="A278" s="4">
        <v>37591</v>
      </c>
      <c r="B278" s="7">
        <f>VLOOKUP($A278,[4]BASE_M!$A:$AZ,MATCH(B$2,[4]BASE_M!$4:$4,0),FALSE)</f>
        <v>4.3360000000000003</v>
      </c>
      <c r="C278" s="7">
        <f t="shared" si="4"/>
        <v>4.4393333333333329</v>
      </c>
    </row>
    <row r="279" spans="1:3" x14ac:dyDescent="0.35">
      <c r="A279" s="4">
        <v>37622</v>
      </c>
      <c r="B279" s="7">
        <f>VLOOKUP($A279,[4]BASE_M!$A:$AZ,MATCH(B$2,[4]BASE_M!$4:$4,0),FALSE)</f>
        <v>4.1879999999999997</v>
      </c>
      <c r="C279" s="7">
        <f t="shared" si="4"/>
        <v>4.3403333333333336</v>
      </c>
    </row>
    <row r="280" spans="1:3" x14ac:dyDescent="0.35">
      <c r="A280" s="4">
        <v>37653</v>
      </c>
      <c r="B280" s="7">
        <f>VLOOKUP($A280,[4]BASE_M!$A:$AZ,MATCH(B$2,[4]BASE_M!$4:$4,0),FALSE)</f>
        <v>3.9660000000000002</v>
      </c>
      <c r="C280" s="7">
        <f t="shared" si="4"/>
        <v>4.163333333333334</v>
      </c>
    </row>
    <row r="281" spans="1:3" x14ac:dyDescent="0.35">
      <c r="A281" s="4">
        <v>37681</v>
      </c>
      <c r="B281" s="7">
        <f>VLOOKUP($A281,[4]BASE_M!$A:$AZ,MATCH(B$2,[4]BASE_M!$4:$4,0),FALSE)</f>
        <v>4.0359999999999996</v>
      </c>
      <c r="C281" s="7">
        <f t="shared" si="4"/>
        <v>4.0633333333333335</v>
      </c>
    </row>
    <row r="282" spans="1:3" x14ac:dyDescent="0.35">
      <c r="A282" s="4">
        <v>37712</v>
      </c>
      <c r="B282" s="7">
        <f>VLOOKUP($A282,[4]BASE_M!$A:$AZ,MATCH(B$2,[4]BASE_M!$4:$4,0),FALSE)</f>
        <v>4.1609999999999996</v>
      </c>
      <c r="C282" s="7">
        <f t="shared" si="4"/>
        <v>4.0543333333333331</v>
      </c>
    </row>
    <row r="283" spans="1:3" x14ac:dyDescent="0.35">
      <c r="A283" s="4">
        <v>37742</v>
      </c>
      <c r="B283" s="7">
        <f>VLOOKUP($A283,[4]BASE_M!$A:$AZ,MATCH(B$2,[4]BASE_M!$4:$4,0),FALSE)</f>
        <v>3.847</v>
      </c>
      <c r="C283" s="7">
        <f t="shared" si="4"/>
        <v>4.0146666666666659</v>
      </c>
    </row>
    <row r="284" spans="1:3" x14ac:dyDescent="0.35">
      <c r="A284" s="4">
        <v>37773</v>
      </c>
      <c r="B284" s="7">
        <f>VLOOKUP($A284,[4]BASE_M!$A:$AZ,MATCH(B$2,[4]BASE_M!$4:$4,0),FALSE)</f>
        <v>3.6469999999999998</v>
      </c>
      <c r="C284" s="7">
        <f t="shared" si="4"/>
        <v>3.8849999999999998</v>
      </c>
    </row>
    <row r="285" spans="1:3" x14ac:dyDescent="0.35">
      <c r="A285" s="4">
        <v>37803</v>
      </c>
      <c r="B285" s="7">
        <f>VLOOKUP($A285,[4]BASE_M!$A:$AZ,MATCH(B$2,[4]BASE_M!$4:$4,0),FALSE)</f>
        <v>4.01</v>
      </c>
      <c r="C285" s="7">
        <f t="shared" si="4"/>
        <v>3.8346666666666667</v>
      </c>
    </row>
    <row r="286" spans="1:3" x14ac:dyDescent="0.35">
      <c r="A286" s="4">
        <v>37834</v>
      </c>
      <c r="B286" s="7">
        <f>VLOOKUP($A286,[4]BASE_M!$A:$AZ,MATCH(B$2,[4]BASE_M!$4:$4,0),FALSE)</f>
        <v>4.1559999999999997</v>
      </c>
      <c r="C286" s="7">
        <f t="shared" si="4"/>
        <v>3.9376666666666664</v>
      </c>
    </row>
    <row r="287" spans="1:3" x14ac:dyDescent="0.35">
      <c r="A287" s="4">
        <v>37865</v>
      </c>
      <c r="B287" s="7">
        <f>VLOOKUP($A287,[4]BASE_M!$A:$AZ,MATCH(B$2,[4]BASE_M!$4:$4,0),FALSE)</f>
        <v>4.194</v>
      </c>
      <c r="C287" s="7">
        <f t="shared" si="4"/>
        <v>4.12</v>
      </c>
    </row>
    <row r="288" spans="1:3" x14ac:dyDescent="0.35">
      <c r="A288" s="4">
        <v>37895</v>
      </c>
      <c r="B288" s="7">
        <f>VLOOKUP($A288,[4]BASE_M!$A:$AZ,MATCH(B$2,[4]BASE_M!$4:$4,0),FALSE)</f>
        <v>4.2549999999999999</v>
      </c>
      <c r="C288" s="7">
        <f t="shared" si="4"/>
        <v>4.2016666666666671</v>
      </c>
    </row>
    <row r="289" spans="1:3" x14ac:dyDescent="0.35">
      <c r="A289" s="4">
        <v>37926</v>
      </c>
      <c r="B289" s="7">
        <f>VLOOKUP($A289,[4]BASE_M!$A:$AZ,MATCH(B$2,[4]BASE_M!$4:$4,0),FALSE)</f>
        <v>4.407</v>
      </c>
      <c r="C289" s="7">
        <f t="shared" si="4"/>
        <v>4.285333333333333</v>
      </c>
    </row>
    <row r="290" spans="1:3" x14ac:dyDescent="0.35">
      <c r="A290" s="4">
        <v>37956</v>
      </c>
      <c r="B290" s="7">
        <f>VLOOKUP($A290,[4]BASE_M!$A:$AZ,MATCH(B$2,[4]BASE_M!$4:$4,0),FALSE)</f>
        <v>4.327</v>
      </c>
      <c r="C290" s="7">
        <f t="shared" si="4"/>
        <v>4.3296666666666663</v>
      </c>
    </row>
    <row r="291" spans="1:3" x14ac:dyDescent="0.35">
      <c r="A291" s="4">
        <v>37987</v>
      </c>
      <c r="B291" s="7">
        <f>VLOOKUP($A291,[4]BASE_M!$A:$AZ,MATCH(B$2,[4]BASE_M!$4:$4,0),FALSE)</f>
        <v>4.1909999999999998</v>
      </c>
      <c r="C291" s="7">
        <f t="shared" si="4"/>
        <v>4.3083333333333336</v>
      </c>
    </row>
    <row r="292" spans="1:3" x14ac:dyDescent="0.35">
      <c r="A292" s="4">
        <v>38018</v>
      </c>
      <c r="B292" s="7">
        <f>VLOOKUP($A292,[4]BASE_M!$A:$AZ,MATCH(B$2,[4]BASE_M!$4:$4,0),FALSE)</f>
        <v>4.1260000000000003</v>
      </c>
      <c r="C292" s="7">
        <f t="shared" si="4"/>
        <v>4.214666666666667</v>
      </c>
    </row>
    <row r="293" spans="1:3" x14ac:dyDescent="0.35">
      <c r="A293" s="4">
        <v>38047</v>
      </c>
      <c r="B293" s="7">
        <f>VLOOKUP($A293,[4]BASE_M!$A:$AZ,MATCH(B$2,[4]BASE_M!$4:$4,0),FALSE)</f>
        <v>3.9359999999999999</v>
      </c>
      <c r="C293" s="7">
        <f t="shared" si="4"/>
        <v>4.0843333333333334</v>
      </c>
    </row>
    <row r="294" spans="1:3" x14ac:dyDescent="0.35">
      <c r="A294" s="4">
        <v>38078</v>
      </c>
      <c r="B294" s="7">
        <f>VLOOKUP($A294,[4]BASE_M!$A:$AZ,MATCH(B$2,[4]BASE_M!$4:$4,0),FALSE)</f>
        <v>4.1260000000000003</v>
      </c>
      <c r="C294" s="7">
        <f t="shared" si="4"/>
        <v>4.0626666666666678</v>
      </c>
    </row>
    <row r="295" spans="1:3" x14ac:dyDescent="0.35">
      <c r="A295" s="4">
        <v>38108</v>
      </c>
      <c r="B295" s="7">
        <f>VLOOKUP($A295,[4]BASE_M!$A:$AZ,MATCH(B$2,[4]BASE_M!$4:$4,0),FALSE)</f>
        <v>4.2889999999999997</v>
      </c>
      <c r="C295" s="7">
        <f t="shared" si="4"/>
        <v>4.117</v>
      </c>
    </row>
    <row r="296" spans="1:3" x14ac:dyDescent="0.35">
      <c r="A296" s="4">
        <v>38139</v>
      </c>
      <c r="B296" s="7">
        <f>VLOOKUP($A296,[4]BASE_M!$A:$AZ,MATCH(B$2,[4]BASE_M!$4:$4,0),FALSE)</f>
        <v>4.37</v>
      </c>
      <c r="C296" s="7">
        <f t="shared" si="4"/>
        <v>4.2616666666666667</v>
      </c>
    </row>
    <row r="297" spans="1:3" x14ac:dyDescent="0.35">
      <c r="A297" s="4">
        <v>38169</v>
      </c>
      <c r="B297" s="7">
        <f>VLOOKUP($A297,[4]BASE_M!$A:$AZ,MATCH(B$2,[4]BASE_M!$4:$4,0),FALSE)</f>
        <v>4.2519999999999998</v>
      </c>
      <c r="C297" s="7">
        <f t="shared" si="4"/>
        <v>4.3036666666666656</v>
      </c>
    </row>
    <row r="298" spans="1:3" x14ac:dyDescent="0.35">
      <c r="A298" s="4">
        <v>38200</v>
      </c>
      <c r="B298" s="7">
        <f>VLOOKUP($A298,[4]BASE_M!$A:$AZ,MATCH(B$2,[4]BASE_M!$4:$4,0),FALSE)</f>
        <v>4.0940000000000003</v>
      </c>
      <c r="C298" s="7">
        <f t="shared" si="4"/>
        <v>4.238666666666667</v>
      </c>
    </row>
    <row r="299" spans="1:3" x14ac:dyDescent="0.35">
      <c r="A299" s="4">
        <v>38231</v>
      </c>
      <c r="B299" s="7">
        <f>VLOOKUP($A299,[4]BASE_M!$A:$AZ,MATCH(B$2,[4]BASE_M!$4:$4,0),FALSE)</f>
        <v>4.04</v>
      </c>
      <c r="C299" s="7">
        <f t="shared" si="4"/>
        <v>4.1286666666666667</v>
      </c>
    </row>
    <row r="300" spans="1:3" x14ac:dyDescent="0.35">
      <c r="A300" s="4">
        <v>38261</v>
      </c>
      <c r="B300" s="7">
        <f>VLOOKUP($A300,[4]BASE_M!$A:$AZ,MATCH(B$2,[4]BASE_M!$4:$4,0),FALSE)</f>
        <v>3.9159999999999999</v>
      </c>
      <c r="C300" s="7">
        <f t="shared" si="4"/>
        <v>4.0166666666666666</v>
      </c>
    </row>
    <row r="301" spans="1:3" x14ac:dyDescent="0.35">
      <c r="A301" s="4">
        <v>38292</v>
      </c>
      <c r="B301" s="7">
        <f>VLOOKUP($A301,[4]BASE_M!$A:$AZ,MATCH(B$2,[4]BASE_M!$4:$4,0),FALSE)</f>
        <v>3.819</v>
      </c>
      <c r="C301" s="7">
        <f t="shared" si="4"/>
        <v>3.9249999999999994</v>
      </c>
    </row>
    <row r="302" spans="1:3" x14ac:dyDescent="0.35">
      <c r="A302" s="4">
        <v>38322</v>
      </c>
      <c r="B302" s="7">
        <f>VLOOKUP($A302,[4]BASE_M!$A:$AZ,MATCH(B$2,[4]BASE_M!$4:$4,0),FALSE)</f>
        <v>3.6509999999999998</v>
      </c>
      <c r="C302" s="7">
        <f t="shared" si="4"/>
        <v>3.7953333333333332</v>
      </c>
    </row>
    <row r="303" spans="1:3" x14ac:dyDescent="0.35">
      <c r="A303" s="4">
        <v>38353</v>
      </c>
      <c r="B303" s="7">
        <f>VLOOKUP($A303,[4]BASE_M!$A:$AZ,MATCH(B$2,[4]BASE_M!$4:$4,0),FALSE)</f>
        <v>3.581</v>
      </c>
      <c r="C303" s="7">
        <f t="shared" si="4"/>
        <v>3.6836666666666669</v>
      </c>
    </row>
    <row r="304" spans="1:3" x14ac:dyDescent="0.35">
      <c r="A304" s="4">
        <v>38384</v>
      </c>
      <c r="B304" s="7">
        <f>VLOOKUP($A304,[4]BASE_M!$A:$AZ,MATCH(B$2,[4]BASE_M!$4:$4,0),FALSE)</f>
        <v>3.573</v>
      </c>
      <c r="C304" s="7">
        <f t="shared" si="4"/>
        <v>3.6016666666666666</v>
      </c>
    </row>
    <row r="305" spans="1:3" x14ac:dyDescent="0.35">
      <c r="A305" s="4">
        <v>38412</v>
      </c>
      <c r="B305" s="7">
        <f>VLOOKUP($A305,[4]BASE_M!$A:$AZ,MATCH(B$2,[4]BASE_M!$4:$4,0),FALSE)</f>
        <v>3.7160000000000002</v>
      </c>
      <c r="C305" s="7">
        <f t="shared" si="4"/>
        <v>3.6233333333333335</v>
      </c>
    </row>
    <row r="306" spans="1:3" x14ac:dyDescent="0.35">
      <c r="A306" s="4">
        <v>38443</v>
      </c>
      <c r="B306" s="7">
        <f>VLOOKUP($A306,[4]BASE_M!$A:$AZ,MATCH(B$2,[4]BASE_M!$4:$4,0),FALSE)</f>
        <v>3.5030000000000001</v>
      </c>
      <c r="C306" s="7">
        <f t="shared" si="4"/>
        <v>3.5973333333333333</v>
      </c>
    </row>
    <row r="307" spans="1:3" x14ac:dyDescent="0.35">
      <c r="A307" s="4">
        <v>38473</v>
      </c>
      <c r="B307" s="7">
        <f>VLOOKUP($A307,[4]BASE_M!$A:$AZ,MATCH(B$2,[4]BASE_M!$4:$4,0),FALSE)</f>
        <v>3.3479999999999999</v>
      </c>
      <c r="C307" s="7">
        <f t="shared" si="4"/>
        <v>3.5223333333333335</v>
      </c>
    </row>
    <row r="308" spans="1:3" x14ac:dyDescent="0.35">
      <c r="A308" s="4">
        <v>38504</v>
      </c>
      <c r="B308" s="7">
        <f>VLOOKUP($A308,[4]BASE_M!$A:$AZ,MATCH(B$2,[4]BASE_M!$4:$4,0),FALSE)</f>
        <v>3.1960000000000002</v>
      </c>
      <c r="C308" s="7">
        <f t="shared" si="4"/>
        <v>3.3490000000000002</v>
      </c>
    </row>
    <row r="309" spans="1:3" x14ac:dyDescent="0.35">
      <c r="A309" s="4">
        <v>38534</v>
      </c>
      <c r="B309" s="7">
        <f>VLOOKUP($A309,[4]BASE_M!$A:$AZ,MATCH(B$2,[4]BASE_M!$4:$4,0),FALSE)</f>
        <v>3.234</v>
      </c>
      <c r="C309" s="7">
        <f t="shared" si="4"/>
        <v>3.2593333333333336</v>
      </c>
    </row>
    <row r="310" spans="1:3" x14ac:dyDescent="0.35">
      <c r="A310" s="4">
        <v>38565</v>
      </c>
      <c r="B310" s="7">
        <f>VLOOKUP($A310,[4]BASE_M!$A:$AZ,MATCH(B$2,[4]BASE_M!$4:$4,0),FALSE)</f>
        <v>3.2519999999999998</v>
      </c>
      <c r="C310" s="7">
        <f t="shared" si="4"/>
        <v>3.2273333333333327</v>
      </c>
    </row>
    <row r="311" spans="1:3" x14ac:dyDescent="0.35">
      <c r="A311" s="4">
        <v>38596</v>
      </c>
      <c r="B311" s="7">
        <f>VLOOKUP($A311,[4]BASE_M!$A:$AZ,MATCH(B$2,[4]BASE_M!$4:$4,0),FALSE)</f>
        <v>3.09</v>
      </c>
      <c r="C311" s="7">
        <f t="shared" si="4"/>
        <v>3.1920000000000002</v>
      </c>
    </row>
    <row r="312" spans="1:3" x14ac:dyDescent="0.35">
      <c r="A312" s="4">
        <v>38626</v>
      </c>
      <c r="B312" s="7">
        <f>VLOOKUP($A312,[4]BASE_M!$A:$AZ,MATCH(B$2,[4]BASE_M!$4:$4,0),FALSE)</f>
        <v>3.2639999999999998</v>
      </c>
      <c r="C312" s="7">
        <f t="shared" si="4"/>
        <v>3.202</v>
      </c>
    </row>
    <row r="313" spans="1:3" x14ac:dyDescent="0.35">
      <c r="A313" s="4">
        <v>38657</v>
      </c>
      <c r="B313" s="7">
        <f>VLOOKUP($A313,[4]BASE_M!$A:$AZ,MATCH(B$2,[4]BASE_M!$4:$4,0),FALSE)</f>
        <v>3.476</v>
      </c>
      <c r="C313" s="7">
        <f t="shared" si="4"/>
        <v>3.276666666666666</v>
      </c>
    </row>
    <row r="314" spans="1:3" x14ac:dyDescent="0.35">
      <c r="A314" s="4">
        <v>38687</v>
      </c>
      <c r="B314" s="7">
        <f>VLOOKUP($A314,[4]BASE_M!$A:$AZ,MATCH(B$2,[4]BASE_M!$4:$4,0),FALSE)</f>
        <v>3.3679999999999999</v>
      </c>
      <c r="C314" s="7">
        <f t="shared" si="4"/>
        <v>3.3693333333333335</v>
      </c>
    </row>
    <row r="315" spans="1:3" x14ac:dyDescent="0.35">
      <c r="A315" s="4">
        <v>38718</v>
      </c>
      <c r="B315" s="7">
        <f>VLOOKUP($A315,[4]BASE_M!$A:$AZ,MATCH(B$2,[4]BASE_M!$4:$4,0),FALSE)</f>
        <v>3.3410000000000002</v>
      </c>
      <c r="C315" s="7">
        <f t="shared" si="4"/>
        <v>3.3949999999999996</v>
      </c>
    </row>
    <row r="316" spans="1:3" x14ac:dyDescent="0.35">
      <c r="A316" s="4">
        <v>38749</v>
      </c>
      <c r="B316" s="7">
        <f>VLOOKUP($A316,[4]BASE_M!$A:$AZ,MATCH(B$2,[4]BASE_M!$4:$4,0),FALSE)</f>
        <v>3.4860000000000002</v>
      </c>
      <c r="C316" s="7">
        <f t="shared" si="4"/>
        <v>3.3983333333333334</v>
      </c>
    </row>
    <row r="317" spans="1:3" x14ac:dyDescent="0.35">
      <c r="A317" s="4">
        <v>38777</v>
      </c>
      <c r="B317" s="7">
        <f>VLOOKUP($A317,[4]BASE_M!$A:$AZ,MATCH(B$2,[4]BASE_M!$4:$4,0),FALSE)</f>
        <v>3.661</v>
      </c>
      <c r="C317" s="7">
        <f t="shared" si="4"/>
        <v>3.496</v>
      </c>
    </row>
    <row r="318" spans="1:3" x14ac:dyDescent="0.35">
      <c r="A318" s="4">
        <v>38808</v>
      </c>
      <c r="B318" s="7">
        <f>VLOOKUP($A318,[4]BASE_M!$A:$AZ,MATCH(B$2,[4]BASE_M!$4:$4,0),FALSE)</f>
        <v>3.9220000000000002</v>
      </c>
      <c r="C318" s="7">
        <f t="shared" si="4"/>
        <v>3.6896666666666671</v>
      </c>
    </row>
    <row r="319" spans="1:3" x14ac:dyDescent="0.35">
      <c r="A319" s="4">
        <v>38838</v>
      </c>
      <c r="B319" s="7">
        <f>VLOOKUP($A319,[4]BASE_M!$A:$AZ,MATCH(B$2,[4]BASE_M!$4:$4,0),FALSE)</f>
        <v>3.9809999999999999</v>
      </c>
      <c r="C319" s="7">
        <f t="shared" si="4"/>
        <v>3.8546666666666667</v>
      </c>
    </row>
    <row r="320" spans="1:3" x14ac:dyDescent="0.35">
      <c r="A320" s="4">
        <v>38869</v>
      </c>
      <c r="B320" s="7">
        <f>VLOOKUP($A320,[4]BASE_M!$A:$AZ,MATCH(B$2,[4]BASE_M!$4:$4,0),FALSE)</f>
        <v>3.9940000000000002</v>
      </c>
      <c r="C320" s="7">
        <f t="shared" si="4"/>
        <v>3.9656666666666669</v>
      </c>
    </row>
    <row r="321" spans="1:3" x14ac:dyDescent="0.35">
      <c r="A321" s="4">
        <v>38899</v>
      </c>
      <c r="B321" s="7">
        <f>VLOOKUP($A321,[4]BASE_M!$A:$AZ,MATCH(B$2,[4]BASE_M!$4:$4,0),FALSE)</f>
        <v>4.0170000000000003</v>
      </c>
      <c r="C321" s="7">
        <f t="shared" si="4"/>
        <v>3.9973333333333336</v>
      </c>
    </row>
    <row r="322" spans="1:3" x14ac:dyDescent="0.35">
      <c r="A322" s="4">
        <v>38930</v>
      </c>
      <c r="B322" s="7">
        <f>VLOOKUP($A322,[4]BASE_M!$A:$AZ,MATCH(B$2,[4]BASE_M!$4:$4,0),FALSE)</f>
        <v>3.8879999999999999</v>
      </c>
      <c r="C322" s="7">
        <f t="shared" si="4"/>
        <v>3.9663333333333335</v>
      </c>
    </row>
    <row r="323" spans="1:3" x14ac:dyDescent="0.35">
      <c r="A323" s="4">
        <v>38961</v>
      </c>
      <c r="B323" s="7">
        <f>VLOOKUP($A323,[4]BASE_M!$A:$AZ,MATCH(B$2,[4]BASE_M!$4:$4,0),FALSE)</f>
        <v>3.7589999999999999</v>
      </c>
      <c r="C323" s="7">
        <f t="shared" si="4"/>
        <v>3.8879999999999999</v>
      </c>
    </row>
    <row r="324" spans="1:3" x14ac:dyDescent="0.35">
      <c r="A324" s="4">
        <v>38991</v>
      </c>
      <c r="B324" s="7">
        <f>VLOOKUP($A324,[4]BASE_M!$A:$AZ,MATCH(B$2,[4]BASE_M!$4:$4,0),FALSE)</f>
        <v>3.798</v>
      </c>
      <c r="C324" s="7">
        <f t="shared" si="4"/>
        <v>3.8149999999999999</v>
      </c>
    </row>
    <row r="325" spans="1:3" x14ac:dyDescent="0.35">
      <c r="A325" s="4">
        <v>39022</v>
      </c>
      <c r="B325" s="7">
        <f>VLOOKUP($A325,[4]BASE_M!$A:$AZ,MATCH(B$2,[4]BASE_M!$4:$4,0),FALSE)</f>
        <v>3.7309999999999999</v>
      </c>
      <c r="C325" s="7">
        <f t="shared" si="4"/>
        <v>3.7626666666666666</v>
      </c>
    </row>
    <row r="326" spans="1:3" x14ac:dyDescent="0.35">
      <c r="A326" s="4">
        <v>39052</v>
      </c>
      <c r="B326" s="7">
        <f>VLOOKUP($A326,[4]BASE_M!$A:$AZ,MATCH(B$2,[4]BASE_M!$4:$4,0),FALSE)</f>
        <v>3.802</v>
      </c>
      <c r="C326" s="7">
        <f t="shared" si="4"/>
        <v>3.7769999999999997</v>
      </c>
    </row>
    <row r="327" spans="1:3" x14ac:dyDescent="0.35">
      <c r="A327" s="4">
        <v>39083</v>
      </c>
      <c r="B327" s="7">
        <f>VLOOKUP($A327,[4]BASE_M!$A:$AZ,MATCH(B$2,[4]BASE_M!$4:$4,0),FALSE)</f>
        <v>4.0279999999999996</v>
      </c>
      <c r="C327" s="7">
        <f t="shared" ref="C327:C390" si="5">AVERAGE(B325:B327)</f>
        <v>3.8536666666666668</v>
      </c>
    </row>
    <row r="328" spans="1:3" x14ac:dyDescent="0.35">
      <c r="A328" s="4">
        <v>39114</v>
      </c>
      <c r="B328" s="7">
        <f>VLOOKUP($A328,[4]BASE_M!$A:$AZ,MATCH(B$2,[4]BASE_M!$4:$4,0),FALSE)</f>
        <v>4.0519999999999996</v>
      </c>
      <c r="C328" s="7">
        <f t="shared" si="5"/>
        <v>3.9606666666666666</v>
      </c>
    </row>
    <row r="329" spans="1:3" x14ac:dyDescent="0.35">
      <c r="A329" s="4">
        <v>39142</v>
      </c>
      <c r="B329" s="7">
        <f>VLOOKUP($A329,[4]BASE_M!$A:$AZ,MATCH(B$2,[4]BASE_M!$4:$4,0),FALSE)</f>
        <v>3.952</v>
      </c>
      <c r="C329" s="7">
        <f t="shared" si="5"/>
        <v>4.0106666666666664</v>
      </c>
    </row>
    <row r="330" spans="1:3" x14ac:dyDescent="0.35">
      <c r="A330" s="4">
        <v>39173</v>
      </c>
      <c r="B330" s="7">
        <f>VLOOKUP($A330,[4]BASE_M!$A:$AZ,MATCH(B$2,[4]BASE_M!$4:$4,0),FALSE)</f>
        <v>4.1559999999999997</v>
      </c>
      <c r="C330" s="7">
        <f t="shared" si="5"/>
        <v>4.0533333333333337</v>
      </c>
    </row>
    <row r="331" spans="1:3" x14ac:dyDescent="0.35">
      <c r="A331" s="4">
        <v>39203</v>
      </c>
      <c r="B331" s="7">
        <f>VLOOKUP($A331,[4]BASE_M!$A:$AZ,MATCH(B$2,[4]BASE_M!$4:$4,0),FALSE)</f>
        <v>4.2919999999999998</v>
      </c>
      <c r="C331" s="7">
        <f t="shared" si="5"/>
        <v>4.1333333333333337</v>
      </c>
    </row>
    <row r="332" spans="1:3" x14ac:dyDescent="0.35">
      <c r="A332" s="4">
        <v>39234</v>
      </c>
      <c r="B332" s="7">
        <f>VLOOKUP($A332,[4]BASE_M!$A:$AZ,MATCH(B$2,[4]BASE_M!$4:$4,0),FALSE)</f>
        <v>4.5830000000000002</v>
      </c>
      <c r="C332" s="7">
        <f t="shared" si="5"/>
        <v>4.3436666666666666</v>
      </c>
    </row>
    <row r="333" spans="1:3" x14ac:dyDescent="0.35">
      <c r="A333" s="4">
        <v>39264</v>
      </c>
      <c r="B333" s="7">
        <f>VLOOKUP($A333,[4]BASE_M!$A:$AZ,MATCH(B$2,[4]BASE_M!$4:$4,0),FALSE)</f>
        <v>4.516</v>
      </c>
      <c r="C333" s="7">
        <f t="shared" si="5"/>
        <v>4.4636666666666667</v>
      </c>
    </row>
    <row r="334" spans="1:3" x14ac:dyDescent="0.35">
      <c r="A334" s="4">
        <v>39295</v>
      </c>
      <c r="B334" s="7">
        <f>VLOOKUP($A334,[4]BASE_M!$A:$AZ,MATCH(B$2,[4]BASE_M!$4:$4,0),FALSE)</f>
        <v>4.3029999999999999</v>
      </c>
      <c r="C334" s="7">
        <f t="shared" si="5"/>
        <v>4.4673333333333334</v>
      </c>
    </row>
    <row r="335" spans="1:3" x14ac:dyDescent="0.35">
      <c r="A335" s="4">
        <v>39326</v>
      </c>
      <c r="B335" s="7">
        <f>VLOOKUP($A335,[4]BASE_M!$A:$AZ,MATCH(B$2,[4]BASE_M!$4:$4,0),FALSE)</f>
        <v>4.242</v>
      </c>
      <c r="C335" s="7">
        <f t="shared" si="5"/>
        <v>4.3536666666666664</v>
      </c>
    </row>
    <row r="336" spans="1:3" x14ac:dyDescent="0.35">
      <c r="A336" s="4">
        <v>39356</v>
      </c>
      <c r="B336" s="7">
        <f>VLOOKUP($A336,[4]BASE_M!$A:$AZ,MATCH(B$2,[4]BASE_M!$4:$4,0),FALSE)</f>
        <v>4.2930000000000001</v>
      </c>
      <c r="C336" s="7">
        <f t="shared" si="5"/>
        <v>4.2793333333333337</v>
      </c>
    </row>
    <row r="337" spans="1:3" x14ac:dyDescent="0.35">
      <c r="A337" s="4">
        <v>39387</v>
      </c>
      <c r="B337" s="7">
        <f>VLOOKUP($A337,[4]BASE_M!$A:$AZ,MATCH(B$2,[4]BASE_M!$4:$4,0),FALSE)</f>
        <v>4.0999999999999996</v>
      </c>
      <c r="C337" s="7">
        <f t="shared" si="5"/>
        <v>4.2116666666666669</v>
      </c>
    </row>
    <row r="338" spans="1:3" x14ac:dyDescent="0.35">
      <c r="A338" s="4">
        <v>39417</v>
      </c>
      <c r="B338" s="7">
        <f>VLOOKUP($A338,[4]BASE_M!$A:$AZ,MATCH(B$2,[4]BASE_M!$4:$4,0),FALSE)</f>
        <v>4.2430000000000003</v>
      </c>
      <c r="C338" s="7">
        <f t="shared" si="5"/>
        <v>4.2120000000000006</v>
      </c>
    </row>
    <row r="339" spans="1:3" x14ac:dyDescent="0.35">
      <c r="A339" s="4">
        <v>39448</v>
      </c>
      <c r="B339" s="7">
        <f>VLOOKUP($A339,[4]BASE_M!$A:$AZ,MATCH(B$2,[4]BASE_M!$4:$4,0),FALSE)</f>
        <v>4.0449999999999999</v>
      </c>
      <c r="C339" s="7">
        <f t="shared" si="5"/>
        <v>4.1293333333333333</v>
      </c>
    </row>
    <row r="340" spans="1:3" x14ac:dyDescent="0.35">
      <c r="A340" s="4">
        <v>39479</v>
      </c>
      <c r="B340" s="7">
        <f>VLOOKUP($A340,[4]BASE_M!$A:$AZ,MATCH(B$2,[4]BASE_M!$4:$4,0),FALSE)</f>
        <v>3.9620000000000002</v>
      </c>
      <c r="C340" s="7">
        <f t="shared" si="5"/>
        <v>4.083333333333333</v>
      </c>
    </row>
    <row r="341" spans="1:3" x14ac:dyDescent="0.35">
      <c r="A341" s="4">
        <v>39508</v>
      </c>
      <c r="B341" s="7">
        <f>VLOOKUP($A341,[4]BASE_M!$A:$AZ,MATCH(B$2,[4]BASE_M!$4:$4,0),FALSE)</f>
        <v>3.8050000000000002</v>
      </c>
      <c r="C341" s="7">
        <f t="shared" si="5"/>
        <v>3.9373333333333331</v>
      </c>
    </row>
    <row r="342" spans="1:3" x14ac:dyDescent="0.35">
      <c r="A342" s="4">
        <v>39539</v>
      </c>
      <c r="B342" s="7">
        <f>VLOOKUP($A342,[4]BASE_M!$A:$AZ,MATCH(B$2,[4]BASE_M!$4:$4,0),FALSE)</f>
        <v>4.0529999999999999</v>
      </c>
      <c r="C342" s="7">
        <f t="shared" si="5"/>
        <v>3.94</v>
      </c>
    </row>
    <row r="343" spans="1:3" x14ac:dyDescent="0.35">
      <c r="A343" s="4">
        <v>39569</v>
      </c>
      <c r="B343" s="7">
        <f>VLOOKUP($A343,[4]BASE_M!$A:$AZ,MATCH(B$2,[4]BASE_M!$4:$4,0),FALSE)</f>
        <v>4.2050000000000001</v>
      </c>
      <c r="C343" s="7">
        <f t="shared" si="5"/>
        <v>4.0209999999999999</v>
      </c>
    </row>
    <row r="344" spans="1:3" x14ac:dyDescent="0.35">
      <c r="A344" s="4">
        <v>39600</v>
      </c>
      <c r="B344" s="7">
        <f>VLOOKUP($A344,[4]BASE_M!$A:$AZ,MATCH(B$2,[4]BASE_M!$4:$4,0),FALSE)</f>
        <v>4.5469999999999997</v>
      </c>
      <c r="C344" s="7">
        <f t="shared" si="5"/>
        <v>4.2683333333333335</v>
      </c>
    </row>
    <row r="345" spans="1:3" x14ac:dyDescent="0.35">
      <c r="A345" s="4">
        <v>39630</v>
      </c>
      <c r="B345" s="7">
        <f>VLOOKUP($A345,[4]BASE_M!$A:$AZ,MATCH(B$2,[4]BASE_M!$4:$4,0),FALSE)</f>
        <v>4.4980000000000002</v>
      </c>
      <c r="C345" s="7">
        <f t="shared" si="5"/>
        <v>4.416666666666667</v>
      </c>
    </row>
    <row r="346" spans="1:3" x14ac:dyDescent="0.35">
      <c r="A346" s="4">
        <v>39661</v>
      </c>
      <c r="B346" s="7">
        <f>VLOOKUP($A346,[4]BASE_M!$A:$AZ,MATCH(B$2,[4]BASE_M!$4:$4,0),FALSE)</f>
        <v>4.2149999999999999</v>
      </c>
      <c r="C346" s="7">
        <f t="shared" si="5"/>
        <v>4.42</v>
      </c>
    </row>
    <row r="347" spans="1:3" x14ac:dyDescent="0.35">
      <c r="A347" s="4">
        <v>39692</v>
      </c>
      <c r="B347" s="7">
        <f>VLOOKUP($A347,[4]BASE_M!$A:$AZ,MATCH(B$2,[4]BASE_M!$4:$4,0),FALSE)</f>
        <v>4.1029999999999998</v>
      </c>
      <c r="C347" s="7">
        <f t="shared" si="5"/>
        <v>4.2720000000000002</v>
      </c>
    </row>
    <row r="348" spans="1:3" x14ac:dyDescent="0.35">
      <c r="A348" s="4">
        <v>39722</v>
      </c>
      <c r="B348" s="7">
        <f>VLOOKUP($A348,[4]BASE_M!$A:$AZ,MATCH(B$2,[4]BASE_M!$4:$4,0),FALSE)</f>
        <v>3.899</v>
      </c>
      <c r="C348" s="7">
        <f t="shared" si="5"/>
        <v>4.0723333333333329</v>
      </c>
    </row>
    <row r="349" spans="1:3" x14ac:dyDescent="0.35">
      <c r="A349" s="4">
        <v>39753</v>
      </c>
      <c r="B349" s="7">
        <f>VLOOKUP($A349,[4]BASE_M!$A:$AZ,MATCH(B$2,[4]BASE_M!$4:$4,0),FALSE)</f>
        <v>3.5670000000000002</v>
      </c>
      <c r="C349" s="7">
        <f t="shared" si="5"/>
        <v>3.8563333333333332</v>
      </c>
    </row>
    <row r="350" spans="1:3" x14ac:dyDescent="0.35">
      <c r="A350" s="4">
        <v>39783</v>
      </c>
      <c r="B350" s="7">
        <f>VLOOKUP($A350,[4]BASE_M!$A:$AZ,MATCH(B$2,[4]BASE_M!$4:$4,0),FALSE)</f>
        <v>3.056</v>
      </c>
      <c r="C350" s="7">
        <f t="shared" si="5"/>
        <v>3.5073333333333334</v>
      </c>
    </row>
    <row r="351" spans="1:3" x14ac:dyDescent="0.35">
      <c r="A351" s="4">
        <v>39814</v>
      </c>
      <c r="B351" s="7">
        <f>VLOOKUP($A351,[4]BASE_M!$A:$AZ,MATCH(B$2,[4]BASE_M!$4:$4,0),FALSE)</f>
        <v>3.085</v>
      </c>
      <c r="C351" s="7">
        <f t="shared" si="5"/>
        <v>3.2360000000000002</v>
      </c>
    </row>
    <row r="352" spans="1:3" x14ac:dyDescent="0.35">
      <c r="A352" s="4">
        <v>39845</v>
      </c>
      <c r="B352" s="7">
        <f>VLOOKUP($A352,[4]BASE_M!$A:$AZ,MATCH(B$2,[4]BASE_M!$4:$4,0),FALSE)</f>
        <v>3.1579999999999999</v>
      </c>
      <c r="C352" s="7">
        <f t="shared" si="5"/>
        <v>3.0996666666666663</v>
      </c>
    </row>
    <row r="353" spans="1:3" x14ac:dyDescent="0.35">
      <c r="A353" s="4">
        <v>39873</v>
      </c>
      <c r="B353" s="7">
        <f>VLOOKUP($A353,[4]BASE_M!$A:$AZ,MATCH(B$2,[4]BASE_M!$4:$4,0),FALSE)</f>
        <v>3.0619999999999998</v>
      </c>
      <c r="C353" s="7">
        <f t="shared" si="5"/>
        <v>3.1016666666666666</v>
      </c>
    </row>
    <row r="354" spans="1:3" x14ac:dyDescent="0.35">
      <c r="A354" s="4">
        <v>39904</v>
      </c>
      <c r="B354" s="7">
        <f>VLOOKUP($A354,[4]BASE_M!$A:$AZ,MATCH(B$2,[4]BASE_M!$4:$4,0),FALSE)</f>
        <v>3.1859999999999999</v>
      </c>
      <c r="C354" s="7">
        <f t="shared" si="5"/>
        <v>3.1353333333333331</v>
      </c>
    </row>
    <row r="355" spans="1:3" x14ac:dyDescent="0.35">
      <c r="A355" s="4">
        <v>39934</v>
      </c>
      <c r="B355" s="7">
        <f>VLOOKUP($A355,[4]BASE_M!$A:$AZ,MATCH(B$2,[4]BASE_M!$4:$4,0),FALSE)</f>
        <v>3.4159999999999999</v>
      </c>
      <c r="C355" s="7">
        <f t="shared" si="5"/>
        <v>3.2213333333333334</v>
      </c>
    </row>
    <row r="356" spans="1:3" x14ac:dyDescent="0.35">
      <c r="A356" s="4">
        <v>39965</v>
      </c>
      <c r="B356" s="7">
        <f>VLOOKUP($A356,[4]BASE_M!$A:$AZ,MATCH(B$2,[4]BASE_M!$4:$4,0),FALSE)</f>
        <v>3.55</v>
      </c>
      <c r="C356" s="7">
        <f t="shared" si="5"/>
        <v>3.3840000000000003</v>
      </c>
    </row>
    <row r="357" spans="1:3" x14ac:dyDescent="0.35">
      <c r="A357" s="4">
        <v>39995</v>
      </c>
      <c r="B357" s="7">
        <f>VLOOKUP($A357,[4]BASE_M!$A:$AZ,MATCH(B$2,[4]BASE_M!$4:$4,0),FALSE)</f>
        <v>3.3639999999999999</v>
      </c>
      <c r="C357" s="7">
        <f t="shared" si="5"/>
        <v>3.4433333333333329</v>
      </c>
    </row>
    <row r="358" spans="1:3" x14ac:dyDescent="0.35">
      <c r="A358" s="4">
        <v>40026</v>
      </c>
      <c r="B358" s="7">
        <f>VLOOKUP($A358,[4]BASE_M!$A:$AZ,MATCH(B$2,[4]BASE_M!$4:$4,0),FALSE)</f>
        <v>3.3340000000000001</v>
      </c>
      <c r="C358" s="7">
        <f t="shared" si="5"/>
        <v>3.4159999999999999</v>
      </c>
    </row>
    <row r="359" spans="1:3" x14ac:dyDescent="0.35">
      <c r="A359" s="4">
        <v>40057</v>
      </c>
      <c r="B359" s="7">
        <f>VLOOKUP($A359,[4]BASE_M!$A:$AZ,MATCH(B$2,[4]BASE_M!$4:$4,0),FALSE)</f>
        <v>3.2909999999999999</v>
      </c>
      <c r="C359" s="7">
        <f t="shared" si="5"/>
        <v>3.3296666666666668</v>
      </c>
    </row>
    <row r="360" spans="1:3" x14ac:dyDescent="0.35">
      <c r="A360" s="4">
        <v>40087</v>
      </c>
      <c r="B360" s="7">
        <f>VLOOKUP($A360,[4]BASE_M!$A:$AZ,MATCH(B$2,[4]BASE_M!$4:$4,0),FALSE)</f>
        <v>3.2320000000000002</v>
      </c>
      <c r="C360" s="7">
        <f t="shared" si="5"/>
        <v>3.2856666666666663</v>
      </c>
    </row>
    <row r="361" spans="1:3" x14ac:dyDescent="0.35">
      <c r="A361" s="4">
        <v>40118</v>
      </c>
      <c r="B361" s="7">
        <f>VLOOKUP($A361,[4]BASE_M!$A:$AZ,MATCH(B$2,[4]BASE_M!$4:$4,0),FALSE)</f>
        <v>3.282</v>
      </c>
      <c r="C361" s="7">
        <f t="shared" si="5"/>
        <v>3.2683333333333331</v>
      </c>
    </row>
    <row r="362" spans="1:3" x14ac:dyDescent="0.35">
      <c r="A362" s="4">
        <v>40148</v>
      </c>
      <c r="B362" s="7">
        <f>VLOOKUP($A362,[4]BASE_M!$A:$AZ,MATCH(B$2,[4]BASE_M!$4:$4,0),FALSE)</f>
        <v>3.234</v>
      </c>
      <c r="C362" s="7">
        <f t="shared" si="5"/>
        <v>3.2493333333333339</v>
      </c>
    </row>
    <row r="363" spans="1:3" x14ac:dyDescent="0.35">
      <c r="A363" s="4">
        <v>40179</v>
      </c>
      <c r="B363" s="7">
        <f>VLOOKUP($A363,[4]BASE_M!$A:$AZ,MATCH(B$2,[4]BASE_M!$4:$4,0),FALSE)</f>
        <v>3.286</v>
      </c>
      <c r="C363" s="7">
        <f t="shared" si="5"/>
        <v>3.2673333333333332</v>
      </c>
    </row>
    <row r="364" spans="1:3" x14ac:dyDescent="0.35">
      <c r="A364" s="4">
        <v>40210</v>
      </c>
      <c r="B364" s="7">
        <f>VLOOKUP($A364,[4]BASE_M!$A:$AZ,MATCH(B$2,[4]BASE_M!$4:$4,0),FALSE)</f>
        <v>3.1859999999999999</v>
      </c>
      <c r="C364" s="7">
        <f t="shared" si="5"/>
        <v>3.2353333333333332</v>
      </c>
    </row>
    <row r="365" spans="1:3" x14ac:dyDescent="0.35">
      <c r="A365" s="4">
        <v>40238</v>
      </c>
      <c r="B365" s="7">
        <f>VLOOKUP($A365,[4]BASE_M!$A:$AZ,MATCH(B$2,[4]BASE_M!$4:$4,0),FALSE)</f>
        <v>3.1269999999999998</v>
      </c>
      <c r="C365" s="7">
        <f t="shared" si="5"/>
        <v>3.1996666666666669</v>
      </c>
    </row>
    <row r="366" spans="1:3" x14ac:dyDescent="0.35">
      <c r="A366" s="4">
        <v>40269</v>
      </c>
      <c r="B366" s="7">
        <f>VLOOKUP($A366,[4]BASE_M!$A:$AZ,MATCH(B$2,[4]BASE_M!$4:$4,0),FALSE)</f>
        <v>3.0880000000000001</v>
      </c>
      <c r="C366" s="7">
        <f t="shared" si="5"/>
        <v>3.1336666666666666</v>
      </c>
    </row>
    <row r="367" spans="1:3" x14ac:dyDescent="0.35">
      <c r="A367" s="4">
        <v>40299</v>
      </c>
      <c r="B367" s="7">
        <f>VLOOKUP($A367,[4]BASE_M!$A:$AZ,MATCH(B$2,[4]BASE_M!$4:$4,0),FALSE)</f>
        <v>2.802</v>
      </c>
      <c r="C367" s="7">
        <f t="shared" si="5"/>
        <v>3.0056666666666665</v>
      </c>
    </row>
    <row r="368" spans="1:3" x14ac:dyDescent="0.35">
      <c r="A368" s="4">
        <v>40330</v>
      </c>
      <c r="B368" s="7">
        <f>VLOOKUP($A368,[4]BASE_M!$A:$AZ,MATCH(B$2,[4]BASE_M!$4:$4,0),FALSE)</f>
        <v>2.629</v>
      </c>
      <c r="C368" s="7">
        <f t="shared" si="5"/>
        <v>2.8396666666666666</v>
      </c>
    </row>
    <row r="369" spans="1:3" x14ac:dyDescent="0.35">
      <c r="A369" s="4">
        <v>40360</v>
      </c>
      <c r="B369" s="7">
        <f>VLOOKUP($A369,[4]BASE_M!$A:$AZ,MATCH(B$2,[4]BASE_M!$4:$4,0),FALSE)</f>
        <v>2.6480000000000001</v>
      </c>
      <c r="C369" s="7">
        <f t="shared" si="5"/>
        <v>2.6930000000000001</v>
      </c>
    </row>
    <row r="370" spans="1:3" x14ac:dyDescent="0.35">
      <c r="A370" s="4">
        <v>40391</v>
      </c>
      <c r="B370" s="7">
        <f>VLOOKUP($A370,[4]BASE_M!$A:$AZ,MATCH(B$2,[4]BASE_M!$4:$4,0),FALSE)</f>
        <v>2.37</v>
      </c>
      <c r="C370" s="7">
        <f t="shared" si="5"/>
        <v>2.5489999999999999</v>
      </c>
    </row>
    <row r="371" spans="1:3" x14ac:dyDescent="0.35">
      <c r="A371" s="4">
        <v>40422</v>
      </c>
      <c r="B371" s="7">
        <f>VLOOKUP($A371,[4]BASE_M!$A:$AZ,MATCH(B$2,[4]BASE_M!$4:$4,0),FALSE)</f>
        <v>2.3420000000000001</v>
      </c>
      <c r="C371" s="7">
        <f t="shared" si="5"/>
        <v>2.4533333333333336</v>
      </c>
    </row>
    <row r="372" spans="1:3" x14ac:dyDescent="0.35">
      <c r="A372" s="4">
        <v>40452</v>
      </c>
      <c r="B372" s="7">
        <f>VLOOKUP($A372,[4]BASE_M!$A:$AZ,MATCH(B$2,[4]BASE_M!$4:$4,0),FALSE)</f>
        <v>2.3719999999999999</v>
      </c>
      <c r="C372" s="7">
        <f t="shared" si="5"/>
        <v>2.3613333333333331</v>
      </c>
    </row>
    <row r="373" spans="1:3" x14ac:dyDescent="0.35">
      <c r="A373" s="4">
        <v>40483</v>
      </c>
      <c r="B373" s="7">
        <f>VLOOKUP($A373,[4]BASE_M!$A:$AZ,MATCH(B$2,[4]BASE_M!$4:$4,0),FALSE)</f>
        <v>2.5609999999999999</v>
      </c>
      <c r="C373" s="7">
        <f t="shared" si="5"/>
        <v>2.4250000000000003</v>
      </c>
    </row>
    <row r="374" spans="1:3" x14ac:dyDescent="0.35">
      <c r="A374" s="4">
        <v>40513</v>
      </c>
      <c r="B374" s="7">
        <f>VLOOKUP($A374,[4]BASE_M!$A:$AZ,MATCH(B$2,[4]BASE_M!$4:$4,0),FALSE)</f>
        <v>2.9609999999999999</v>
      </c>
      <c r="C374" s="7">
        <f t="shared" si="5"/>
        <v>2.6313333333333335</v>
      </c>
    </row>
    <row r="375" spans="1:3" x14ac:dyDescent="0.35">
      <c r="A375" s="4">
        <v>40544</v>
      </c>
      <c r="B375" s="7">
        <f>VLOOKUP($A375,[4]BASE_M!$A:$AZ,MATCH(B$2,[4]BASE_M!$4:$4,0),FALSE)</f>
        <v>3.0489999999999999</v>
      </c>
      <c r="C375" s="7">
        <f t="shared" si="5"/>
        <v>2.8569999999999998</v>
      </c>
    </row>
    <row r="376" spans="1:3" x14ac:dyDescent="0.35">
      <c r="A376" s="4">
        <v>40575</v>
      </c>
      <c r="B376" s="7">
        <f>VLOOKUP($A376,[4]BASE_M!$A:$AZ,MATCH(B$2,[4]BASE_M!$4:$4,0),FALSE)</f>
        <v>3.2269999999999999</v>
      </c>
      <c r="C376" s="7">
        <f t="shared" si="5"/>
        <v>3.0790000000000002</v>
      </c>
    </row>
    <row r="377" spans="1:3" x14ac:dyDescent="0.35">
      <c r="A377" s="4">
        <v>40603</v>
      </c>
      <c r="B377" s="7">
        <f>VLOOKUP($A377,[4]BASE_M!$A:$AZ,MATCH(B$2,[4]BASE_M!$4:$4,0),FALSE)</f>
        <v>3.2469999999999999</v>
      </c>
      <c r="C377" s="7">
        <f t="shared" si="5"/>
        <v>3.1743333333333332</v>
      </c>
    </row>
    <row r="378" spans="1:3" x14ac:dyDescent="0.35">
      <c r="A378" s="4">
        <v>40634</v>
      </c>
      <c r="B378" s="7">
        <f>VLOOKUP($A378,[4]BASE_M!$A:$AZ,MATCH(B$2,[4]BASE_M!$4:$4,0),FALSE)</f>
        <v>3.347</v>
      </c>
      <c r="C378" s="7">
        <f t="shared" si="5"/>
        <v>3.2736666666666667</v>
      </c>
    </row>
    <row r="379" spans="1:3" x14ac:dyDescent="0.35">
      <c r="A379" s="4">
        <v>40664</v>
      </c>
      <c r="B379" s="7">
        <f>VLOOKUP($A379,[4]BASE_M!$A:$AZ,MATCH(B$2,[4]BASE_M!$4:$4,0),FALSE)</f>
        <v>3.1070000000000002</v>
      </c>
      <c r="C379" s="7">
        <f t="shared" si="5"/>
        <v>3.2336666666666667</v>
      </c>
    </row>
    <row r="380" spans="1:3" x14ac:dyDescent="0.35">
      <c r="A380" s="4">
        <v>40695</v>
      </c>
      <c r="B380" s="7">
        <f>VLOOKUP($A380,[4]BASE_M!$A:$AZ,MATCH(B$2,[4]BASE_M!$4:$4,0),FALSE)</f>
        <v>2.9740000000000002</v>
      </c>
      <c r="C380" s="7">
        <f t="shared" si="5"/>
        <v>3.1426666666666669</v>
      </c>
    </row>
    <row r="381" spans="1:3" x14ac:dyDescent="0.35">
      <c r="A381" s="4">
        <v>40725</v>
      </c>
      <c r="B381" s="7">
        <f>VLOOKUP($A381,[4]BASE_M!$A:$AZ,MATCH(B$2,[4]BASE_M!$4:$4,0),FALSE)</f>
        <v>2.7850000000000001</v>
      </c>
      <c r="C381" s="7">
        <f t="shared" si="5"/>
        <v>2.9553333333333334</v>
      </c>
    </row>
    <row r="382" spans="1:3" x14ac:dyDescent="0.35">
      <c r="A382" s="4">
        <v>40756</v>
      </c>
      <c r="B382" s="7">
        <f>VLOOKUP($A382,[4]BASE_M!$A:$AZ,MATCH(B$2,[4]BASE_M!$4:$4,0),FALSE)</f>
        <v>2.2530000000000001</v>
      </c>
      <c r="C382" s="7">
        <f t="shared" si="5"/>
        <v>2.670666666666667</v>
      </c>
    </row>
    <row r="383" spans="1:3" x14ac:dyDescent="0.35">
      <c r="A383" s="4">
        <v>40787</v>
      </c>
      <c r="B383" s="7">
        <f>VLOOKUP($A383,[4]BASE_M!$A:$AZ,MATCH(B$2,[4]BASE_M!$4:$4,0),FALSE)</f>
        <v>1.867</v>
      </c>
      <c r="C383" s="7">
        <f t="shared" si="5"/>
        <v>2.3016666666666667</v>
      </c>
    </row>
    <row r="384" spans="1:3" x14ac:dyDescent="0.35">
      <c r="A384" s="4">
        <v>40817</v>
      </c>
      <c r="B384" s="7">
        <f>VLOOKUP($A384,[4]BASE_M!$A:$AZ,MATCH(B$2,[4]BASE_M!$4:$4,0),FALSE)</f>
        <v>2.0419999999999998</v>
      </c>
      <c r="C384" s="7">
        <f t="shared" si="5"/>
        <v>2.0539999999999998</v>
      </c>
    </row>
    <row r="385" spans="1:3" x14ac:dyDescent="0.35">
      <c r="A385" s="4">
        <v>40848</v>
      </c>
      <c r="B385" s="7">
        <f>VLOOKUP($A385,[4]BASE_M!$A:$AZ,MATCH(B$2,[4]BASE_M!$4:$4,0),FALSE)</f>
        <v>1.9490000000000001</v>
      </c>
      <c r="C385" s="7">
        <f t="shared" si="5"/>
        <v>1.9526666666666666</v>
      </c>
    </row>
    <row r="386" spans="1:3" x14ac:dyDescent="0.35">
      <c r="A386" s="4">
        <v>40878</v>
      </c>
      <c r="B386" s="7">
        <f>VLOOKUP($A386,[4]BASE_M!$A:$AZ,MATCH(B$2,[4]BASE_M!$4:$4,0),FALSE)</f>
        <v>1.994</v>
      </c>
      <c r="C386" s="7">
        <f t="shared" si="5"/>
        <v>1.9949999999999999</v>
      </c>
    </row>
    <row r="387" spans="1:3" x14ac:dyDescent="0.35">
      <c r="A387" s="4">
        <v>40909</v>
      </c>
      <c r="B387" s="7">
        <f>VLOOKUP($A387,[4]BASE_M!$A:$AZ,MATCH(B$2,[4]BASE_M!$4:$4,0),FALSE)</f>
        <v>1.861</v>
      </c>
      <c r="C387" s="7">
        <f t="shared" si="5"/>
        <v>1.9346666666666668</v>
      </c>
    </row>
    <row r="388" spans="1:3" x14ac:dyDescent="0.35">
      <c r="A388" s="4">
        <v>40940</v>
      </c>
      <c r="B388" s="7">
        <f>VLOOKUP($A388,[4]BASE_M!$A:$AZ,MATCH(B$2,[4]BASE_M!$4:$4,0),FALSE)</f>
        <v>1.903</v>
      </c>
      <c r="C388" s="7">
        <f t="shared" si="5"/>
        <v>1.9193333333333333</v>
      </c>
    </row>
    <row r="389" spans="1:3" x14ac:dyDescent="0.35">
      <c r="A389" s="4">
        <v>40969</v>
      </c>
      <c r="B389" s="7">
        <f>VLOOKUP($A389,[4]BASE_M!$A:$AZ,MATCH(B$2,[4]BASE_M!$4:$4,0),FALSE)</f>
        <v>1.8779999999999999</v>
      </c>
      <c r="C389" s="7">
        <f t="shared" si="5"/>
        <v>1.8806666666666667</v>
      </c>
    </row>
    <row r="390" spans="1:3" x14ac:dyDescent="0.35">
      <c r="A390" s="4">
        <v>41000</v>
      </c>
      <c r="B390" s="7">
        <f>VLOOKUP($A390,[4]BASE_M!$A:$AZ,MATCH(B$2,[4]BASE_M!$4:$4,0),FALSE)</f>
        <v>1.7270000000000001</v>
      </c>
      <c r="C390" s="7">
        <f t="shared" si="5"/>
        <v>1.8360000000000001</v>
      </c>
    </row>
    <row r="391" spans="1:3" x14ac:dyDescent="0.35">
      <c r="A391" s="4">
        <v>41030</v>
      </c>
      <c r="B391" s="7">
        <f>VLOOKUP($A391,[4]BASE_M!$A:$AZ,MATCH(B$2,[4]BASE_M!$4:$4,0),FALSE)</f>
        <v>1.4630000000000001</v>
      </c>
      <c r="C391" s="7">
        <f t="shared" ref="C391:C454" si="6">AVERAGE(B389:B391)</f>
        <v>1.6893333333333331</v>
      </c>
    </row>
    <row r="392" spans="1:3" x14ac:dyDescent="0.35">
      <c r="A392" s="4">
        <v>41061</v>
      </c>
      <c r="B392" s="7">
        <f>VLOOKUP($A392,[4]BASE_M!$A:$AZ,MATCH(B$2,[4]BASE_M!$4:$4,0),FALSE)</f>
        <v>1.4319999999999999</v>
      </c>
      <c r="C392" s="7">
        <f t="shared" si="6"/>
        <v>1.5406666666666666</v>
      </c>
    </row>
    <row r="393" spans="1:3" x14ac:dyDescent="0.35">
      <c r="A393" s="4">
        <v>41091</v>
      </c>
      <c r="B393" s="7">
        <f>VLOOKUP($A393,[4]BASE_M!$A:$AZ,MATCH(B$2,[4]BASE_M!$4:$4,0),FALSE)</f>
        <v>1.306</v>
      </c>
      <c r="C393" s="7">
        <f t="shared" si="6"/>
        <v>1.4003333333333334</v>
      </c>
    </row>
    <row r="394" spans="1:3" x14ac:dyDescent="0.35">
      <c r="A394" s="4">
        <v>41122</v>
      </c>
      <c r="B394" s="7">
        <f>VLOOKUP($A394,[4]BASE_M!$A:$AZ,MATCH(B$2,[4]BASE_M!$4:$4,0),FALSE)</f>
        <v>1.417</v>
      </c>
      <c r="C394" s="7">
        <f t="shared" si="6"/>
        <v>1.385</v>
      </c>
    </row>
    <row r="395" spans="1:3" x14ac:dyDescent="0.35">
      <c r="A395" s="4">
        <v>41153</v>
      </c>
      <c r="B395" s="7">
        <f>VLOOKUP($A395,[4]BASE_M!$A:$AZ,MATCH(B$2,[4]BASE_M!$4:$4,0),FALSE)</f>
        <v>1.5449999999999999</v>
      </c>
      <c r="C395" s="7">
        <f t="shared" si="6"/>
        <v>1.4226666666666665</v>
      </c>
    </row>
    <row r="396" spans="1:3" x14ac:dyDescent="0.35">
      <c r="A396" s="4">
        <v>41183</v>
      </c>
      <c r="B396" s="7">
        <f>VLOOKUP($A396,[4]BASE_M!$A:$AZ,MATCH(B$2,[4]BASE_M!$4:$4,0),FALSE)</f>
        <v>1.5149999999999999</v>
      </c>
      <c r="C396" s="7">
        <f t="shared" si="6"/>
        <v>1.4923333333333331</v>
      </c>
    </row>
    <row r="397" spans="1:3" x14ac:dyDescent="0.35">
      <c r="A397" s="4">
        <v>41214</v>
      </c>
      <c r="B397" s="7">
        <f>VLOOKUP($A397,[4]BASE_M!$A:$AZ,MATCH(B$2,[4]BASE_M!$4:$4,0),FALSE)</f>
        <v>1.391</v>
      </c>
      <c r="C397" s="7">
        <f t="shared" si="6"/>
        <v>1.4836666666666665</v>
      </c>
    </row>
    <row r="398" spans="1:3" x14ac:dyDescent="0.35">
      <c r="A398" s="4">
        <v>41244</v>
      </c>
      <c r="B398" s="7">
        <f>VLOOKUP($A398,[4]BASE_M!$A:$AZ,MATCH(B$2,[4]BASE_M!$4:$4,0),FALSE)</f>
        <v>1.3560000000000001</v>
      </c>
      <c r="C398" s="7">
        <f t="shared" si="6"/>
        <v>1.4206666666666665</v>
      </c>
    </row>
    <row r="399" spans="1:3" x14ac:dyDescent="0.35">
      <c r="A399" s="4">
        <v>41275</v>
      </c>
      <c r="B399" s="7">
        <f>VLOOKUP($A399,[4]BASE_M!$A:$AZ,MATCH(B$2,[4]BASE_M!$4:$4,0),FALSE)</f>
        <v>1.56</v>
      </c>
      <c r="C399" s="7">
        <f t="shared" si="6"/>
        <v>1.4356666666666669</v>
      </c>
    </row>
    <row r="400" spans="1:3" x14ac:dyDescent="0.35">
      <c r="A400" s="4">
        <v>41306</v>
      </c>
      <c r="B400" s="7">
        <f>VLOOKUP($A400,[4]BASE_M!$A:$AZ,MATCH(B$2,[4]BASE_M!$4:$4,0),FALSE)</f>
        <v>1.597</v>
      </c>
      <c r="C400" s="7">
        <f t="shared" si="6"/>
        <v>1.5043333333333333</v>
      </c>
    </row>
    <row r="401" spans="1:3" x14ac:dyDescent="0.35">
      <c r="A401" s="4">
        <v>41334</v>
      </c>
      <c r="B401" s="7">
        <f>VLOOKUP($A401,[4]BASE_M!$A:$AZ,MATCH(B$2,[4]BASE_M!$4:$4,0),FALSE)</f>
        <v>1.4079999999999999</v>
      </c>
      <c r="C401" s="7">
        <f t="shared" si="6"/>
        <v>1.5216666666666665</v>
      </c>
    </row>
    <row r="402" spans="1:3" x14ac:dyDescent="0.35">
      <c r="A402" s="4">
        <v>41365</v>
      </c>
      <c r="B402" s="7">
        <f>VLOOKUP($A402,[4]BASE_M!$A:$AZ,MATCH(B$2,[4]BASE_M!$4:$4,0),FALSE)</f>
        <v>1.2509999999999999</v>
      </c>
      <c r="C402" s="7">
        <f t="shared" si="6"/>
        <v>1.4186666666666667</v>
      </c>
    </row>
    <row r="403" spans="1:3" x14ac:dyDescent="0.35">
      <c r="A403" s="4">
        <v>41395</v>
      </c>
      <c r="B403" s="7">
        <f>VLOOKUP($A403,[4]BASE_M!$A:$AZ,MATCH(B$2,[4]BASE_M!$4:$4,0),FALSE)</f>
        <v>1.3660000000000001</v>
      </c>
      <c r="C403" s="7">
        <f t="shared" si="6"/>
        <v>1.3416666666666668</v>
      </c>
    </row>
    <row r="404" spans="1:3" x14ac:dyDescent="0.35">
      <c r="A404" s="4">
        <v>41426</v>
      </c>
      <c r="B404" s="7">
        <f>VLOOKUP($A404,[4]BASE_M!$A:$AZ,MATCH(B$2,[4]BASE_M!$4:$4,0),FALSE)</f>
        <v>1.619</v>
      </c>
      <c r="C404" s="7">
        <f t="shared" si="6"/>
        <v>1.4119999999999999</v>
      </c>
    </row>
    <row r="405" spans="1:3" x14ac:dyDescent="0.35">
      <c r="A405" s="4">
        <v>41456</v>
      </c>
      <c r="B405" s="7">
        <f>VLOOKUP($A405,[4]BASE_M!$A:$AZ,MATCH(B$2,[4]BASE_M!$4:$4,0),FALSE)</f>
        <v>1.6259999999999999</v>
      </c>
      <c r="C405" s="7">
        <f t="shared" si="6"/>
        <v>1.5370000000000001</v>
      </c>
    </row>
    <row r="406" spans="1:3" x14ac:dyDescent="0.35">
      <c r="A406" s="4">
        <v>41487</v>
      </c>
      <c r="B406" s="7">
        <f>VLOOKUP($A406,[4]BASE_M!$A:$AZ,MATCH(B$2,[4]BASE_M!$4:$4,0),FALSE)</f>
        <v>1.802</v>
      </c>
      <c r="C406" s="7">
        <f t="shared" si="6"/>
        <v>1.6823333333333335</v>
      </c>
    </row>
    <row r="407" spans="1:3" x14ac:dyDescent="0.35">
      <c r="A407" s="4">
        <v>41518</v>
      </c>
      <c r="B407" s="7">
        <f>VLOOKUP($A407,[4]BASE_M!$A:$AZ,MATCH(B$2,[4]BASE_M!$4:$4,0),FALSE)</f>
        <v>1.93</v>
      </c>
      <c r="C407" s="7">
        <f t="shared" si="6"/>
        <v>1.7859999999999998</v>
      </c>
    </row>
    <row r="408" spans="1:3" x14ac:dyDescent="0.35">
      <c r="A408" s="4">
        <v>41548</v>
      </c>
      <c r="B408" s="7">
        <f>VLOOKUP($A408,[4]BASE_M!$A:$AZ,MATCH(B$2,[4]BASE_M!$4:$4,0),FALSE)</f>
        <v>1.8080000000000001</v>
      </c>
      <c r="C408" s="7">
        <f t="shared" si="6"/>
        <v>1.8466666666666667</v>
      </c>
    </row>
    <row r="409" spans="1:3" x14ac:dyDescent="0.35">
      <c r="A409" s="4">
        <v>41579</v>
      </c>
      <c r="B409" s="7">
        <f>VLOOKUP($A409,[4]BASE_M!$A:$AZ,MATCH(B$2,[4]BASE_M!$4:$4,0),FALSE)</f>
        <v>1.7190000000000001</v>
      </c>
      <c r="C409" s="7">
        <f t="shared" si="6"/>
        <v>1.819</v>
      </c>
    </row>
    <row r="410" spans="1:3" x14ac:dyDescent="0.35">
      <c r="A410" s="4">
        <v>41609</v>
      </c>
      <c r="B410" s="7">
        <f>VLOOKUP($A410,[4]BASE_M!$A:$AZ,MATCH(B$2,[4]BASE_M!$4:$4,0),FALSE)</f>
        <v>1.853</v>
      </c>
      <c r="C410" s="7">
        <f t="shared" si="6"/>
        <v>1.7933333333333332</v>
      </c>
    </row>
    <row r="411" spans="1:3" x14ac:dyDescent="0.35">
      <c r="A411" s="4">
        <v>41640</v>
      </c>
      <c r="B411" s="7">
        <f>VLOOKUP($A411,[4]BASE_M!$A:$AZ,MATCH(B$2,[4]BASE_M!$4:$4,0),FALSE)</f>
        <v>1.796</v>
      </c>
      <c r="C411" s="7">
        <f t="shared" si="6"/>
        <v>1.7893333333333334</v>
      </c>
    </row>
    <row r="412" spans="1:3" x14ac:dyDescent="0.35">
      <c r="A412" s="4">
        <v>41671</v>
      </c>
      <c r="B412" s="7">
        <f>VLOOKUP($A412,[4]BASE_M!$A:$AZ,MATCH(B$2,[4]BASE_M!$4:$4,0),FALSE)</f>
        <v>1.66</v>
      </c>
      <c r="C412" s="7">
        <f t="shared" si="6"/>
        <v>1.7696666666666667</v>
      </c>
    </row>
    <row r="413" spans="1:3" x14ac:dyDescent="0.35">
      <c r="A413" s="4">
        <v>41699</v>
      </c>
      <c r="B413" s="7">
        <f>VLOOKUP($A413,[4]BASE_M!$A:$AZ,MATCH(B$2,[4]BASE_M!$4:$4,0),FALSE)</f>
        <v>1.59</v>
      </c>
      <c r="C413" s="7">
        <f t="shared" si="6"/>
        <v>1.6820000000000002</v>
      </c>
    </row>
    <row r="414" spans="1:3" x14ac:dyDescent="0.35">
      <c r="A414" s="4">
        <v>41730</v>
      </c>
      <c r="B414" s="7">
        <f>VLOOKUP($A414,[4]BASE_M!$A:$AZ,MATCH(B$2,[4]BASE_M!$4:$4,0),FALSE)</f>
        <v>1.5269999999999999</v>
      </c>
      <c r="C414" s="7">
        <f t="shared" si="6"/>
        <v>1.5923333333333334</v>
      </c>
    </row>
    <row r="415" spans="1:3" x14ac:dyDescent="0.35">
      <c r="A415" s="4">
        <v>41760</v>
      </c>
      <c r="B415" s="7">
        <f>VLOOKUP($A415,[4]BASE_M!$A:$AZ,MATCH(B$2,[4]BASE_M!$4:$4,0),FALSE)</f>
        <v>1.4039999999999999</v>
      </c>
      <c r="C415" s="7">
        <f t="shared" si="6"/>
        <v>1.5069999999999999</v>
      </c>
    </row>
    <row r="416" spans="1:3" x14ac:dyDescent="0.35">
      <c r="A416" s="4">
        <v>41791</v>
      </c>
      <c r="B416" s="7">
        <f>VLOOKUP($A416,[4]BASE_M!$A:$AZ,MATCH(B$2,[4]BASE_M!$4:$4,0),FALSE)</f>
        <v>1.35</v>
      </c>
      <c r="C416" s="7">
        <f t="shared" si="6"/>
        <v>1.4270000000000003</v>
      </c>
    </row>
    <row r="417" spans="1:3" x14ac:dyDescent="0.35">
      <c r="A417" s="4">
        <v>41821</v>
      </c>
      <c r="B417" s="7">
        <f>VLOOKUP($A417,[4]BASE_M!$A:$AZ,MATCH(B$2,[4]BASE_M!$4:$4,0),FALSE)</f>
        <v>1.1950000000000001</v>
      </c>
      <c r="C417" s="7">
        <f t="shared" si="6"/>
        <v>1.3163333333333334</v>
      </c>
    </row>
    <row r="418" spans="1:3" x14ac:dyDescent="0.35">
      <c r="A418" s="4">
        <v>41852</v>
      </c>
      <c r="B418" s="7">
        <f>VLOOKUP($A418,[4]BASE_M!$A:$AZ,MATCH(B$2,[4]BASE_M!$4:$4,0),FALSE)</f>
        <v>1.0149999999999999</v>
      </c>
      <c r="C418" s="7">
        <f t="shared" si="6"/>
        <v>1.1866666666666665</v>
      </c>
    </row>
    <row r="419" spans="1:3" x14ac:dyDescent="0.35">
      <c r="A419" s="4">
        <v>41883</v>
      </c>
      <c r="B419" s="7">
        <f>VLOOKUP($A419,[4]BASE_M!$A:$AZ,MATCH(B$2,[4]BASE_M!$4:$4,0),FALSE)</f>
        <v>0.999</v>
      </c>
      <c r="C419" s="7">
        <f t="shared" si="6"/>
        <v>1.0696666666666668</v>
      </c>
    </row>
    <row r="420" spans="1:3" x14ac:dyDescent="0.35">
      <c r="A420" s="4">
        <v>41913</v>
      </c>
      <c r="B420" s="7">
        <f>VLOOKUP($A420,[4]BASE_M!$A:$AZ,MATCH(B$2,[4]BASE_M!$4:$4,0),FALSE)</f>
        <v>0.875</v>
      </c>
      <c r="C420" s="7">
        <f t="shared" si="6"/>
        <v>0.96299999999999997</v>
      </c>
    </row>
    <row r="421" spans="1:3" x14ac:dyDescent="0.35">
      <c r="A421" s="4">
        <v>41944</v>
      </c>
      <c r="B421" s="7">
        <f>VLOOKUP($A421,[4]BASE_M!$A:$AZ,MATCH(B$2,[4]BASE_M!$4:$4,0),FALSE)</f>
        <v>0.79300000000000004</v>
      </c>
      <c r="C421" s="7">
        <f t="shared" si="6"/>
        <v>0.88900000000000012</v>
      </c>
    </row>
    <row r="422" spans="1:3" x14ac:dyDescent="0.35">
      <c r="A422" s="4">
        <v>41974</v>
      </c>
      <c r="B422" s="7">
        <f>VLOOKUP($A422,[4]BASE_M!$A:$AZ,MATCH(B$2,[4]BASE_M!$4:$4,0),FALSE)</f>
        <v>0.64200000000000002</v>
      </c>
      <c r="C422" s="7">
        <f t="shared" si="6"/>
        <v>0.77</v>
      </c>
    </row>
    <row r="423" spans="1:3" x14ac:dyDescent="0.35">
      <c r="A423" s="4">
        <v>42005</v>
      </c>
      <c r="B423" s="7">
        <f>VLOOKUP($A423,[4]BASE_M!$A:$AZ,MATCH(B$2,[4]BASE_M!$4:$4,0),FALSE)</f>
        <v>0.44600000000000001</v>
      </c>
      <c r="C423" s="7">
        <f t="shared" si="6"/>
        <v>0.627</v>
      </c>
    </row>
    <row r="424" spans="1:3" x14ac:dyDescent="0.35">
      <c r="A424" s="4">
        <v>42036</v>
      </c>
      <c r="B424" s="7">
        <f>VLOOKUP($A424,[4]BASE_M!$A:$AZ,MATCH(B$2,[4]BASE_M!$4:$4,0),FALSE)</f>
        <v>0.35199999999999998</v>
      </c>
      <c r="C424" s="7">
        <f t="shared" si="6"/>
        <v>0.48</v>
      </c>
    </row>
    <row r="425" spans="1:3" x14ac:dyDescent="0.35">
      <c r="A425" s="4">
        <v>42064</v>
      </c>
      <c r="B425" s="7">
        <f>VLOOKUP($A425,[4]BASE_M!$A:$AZ,MATCH(B$2,[4]BASE_M!$4:$4,0),FALSE)</f>
        <v>0.26</v>
      </c>
      <c r="C425" s="7">
        <f t="shared" si="6"/>
        <v>0.35266666666666668</v>
      </c>
    </row>
    <row r="426" spans="1:3" x14ac:dyDescent="0.35">
      <c r="A426" s="4">
        <v>42095</v>
      </c>
      <c r="B426" s="7">
        <f>VLOOKUP($A426,[4]BASE_M!$A:$AZ,MATCH(B$2,[4]BASE_M!$4:$4,0),FALSE)</f>
        <v>0.16400000000000001</v>
      </c>
      <c r="C426" s="7">
        <f t="shared" si="6"/>
        <v>0.25866666666666666</v>
      </c>
    </row>
    <row r="427" spans="1:3" x14ac:dyDescent="0.35">
      <c r="A427" s="4">
        <v>42125</v>
      </c>
      <c r="B427" s="7">
        <f>VLOOKUP($A427,[4]BASE_M!$A:$AZ,MATCH(B$2,[4]BASE_M!$4:$4,0),FALSE)</f>
        <v>0.58299999999999996</v>
      </c>
      <c r="C427" s="7">
        <f t="shared" si="6"/>
        <v>0.33566666666666672</v>
      </c>
    </row>
    <row r="428" spans="1:3" x14ac:dyDescent="0.35">
      <c r="A428" s="4">
        <v>42156</v>
      </c>
      <c r="B428" s="7">
        <f>VLOOKUP($A428,[4]BASE_M!$A:$AZ,MATCH(B$2,[4]BASE_M!$4:$4,0),FALSE)</f>
        <v>0.83099999999999996</v>
      </c>
      <c r="C428" s="7">
        <f t="shared" si="6"/>
        <v>0.52599999999999991</v>
      </c>
    </row>
    <row r="429" spans="1:3" x14ac:dyDescent="0.35">
      <c r="A429" s="4">
        <v>42186</v>
      </c>
      <c r="B429" s="7">
        <f>VLOOKUP($A429,[4]BASE_M!$A:$AZ,MATCH(B$2,[4]BASE_M!$4:$4,0),FALSE)</f>
        <v>0.75700000000000001</v>
      </c>
      <c r="C429" s="7">
        <f t="shared" si="6"/>
        <v>0.72366666666666657</v>
      </c>
    </row>
    <row r="430" spans="1:3" x14ac:dyDescent="0.35">
      <c r="A430" s="4">
        <v>42217</v>
      </c>
      <c r="B430" s="7">
        <f>VLOOKUP($A430,[4]BASE_M!$A:$AZ,MATCH(B$2,[4]BASE_M!$4:$4,0),FALSE)</f>
        <v>0.66500000000000004</v>
      </c>
      <c r="C430" s="7">
        <f t="shared" si="6"/>
        <v>0.751</v>
      </c>
    </row>
    <row r="431" spans="1:3" x14ac:dyDescent="0.35">
      <c r="A431" s="4">
        <v>42248</v>
      </c>
      <c r="B431" s="7">
        <f>VLOOKUP($A431,[4]BASE_M!$A:$AZ,MATCH(B$2,[4]BASE_M!$4:$4,0),FALSE)</f>
        <v>0.67500000000000004</v>
      </c>
      <c r="C431" s="7">
        <f t="shared" si="6"/>
        <v>0.69900000000000018</v>
      </c>
    </row>
    <row r="432" spans="1:3" x14ac:dyDescent="0.35">
      <c r="A432" s="4">
        <v>42278</v>
      </c>
      <c r="B432" s="7">
        <f>VLOOKUP($A432,[4]BASE_M!$A:$AZ,MATCH(B$2,[4]BASE_M!$4:$4,0),FALSE)</f>
        <v>0.54600000000000004</v>
      </c>
      <c r="C432" s="7">
        <f t="shared" si="6"/>
        <v>0.62866666666666671</v>
      </c>
    </row>
    <row r="433" spans="1:3" x14ac:dyDescent="0.35">
      <c r="A433" s="4">
        <v>42309</v>
      </c>
      <c r="B433" s="7">
        <f>VLOOKUP($A433,[4]BASE_M!$A:$AZ,MATCH(B$2,[4]BASE_M!$4:$4,0),FALSE)</f>
        <v>0.54900000000000004</v>
      </c>
      <c r="C433" s="7">
        <f t="shared" si="6"/>
        <v>0.59</v>
      </c>
    </row>
    <row r="434" spans="1:3" x14ac:dyDescent="0.35">
      <c r="A434" s="4">
        <v>42339</v>
      </c>
      <c r="B434" s="7">
        <f>VLOOKUP($A434,[4]BASE_M!$A:$AZ,MATCH(B$2,[4]BASE_M!$4:$4,0),FALSE)</f>
        <v>0.59599999999999997</v>
      </c>
      <c r="C434" s="7">
        <f t="shared" si="6"/>
        <v>0.56366666666666676</v>
      </c>
    </row>
    <row r="435" spans="1:3" x14ac:dyDescent="0.35">
      <c r="A435" s="4">
        <v>42370</v>
      </c>
      <c r="B435" s="7">
        <f>VLOOKUP($A435,[4]BASE_M!$A:$AZ,MATCH(B$2,[4]BASE_M!$4:$4,0),FALSE)</f>
        <v>0.50700000000000001</v>
      </c>
      <c r="C435" s="7">
        <f t="shared" si="6"/>
        <v>0.55066666666666675</v>
      </c>
    </row>
    <row r="436" spans="1:3" x14ac:dyDescent="0.35">
      <c r="A436" s="4">
        <v>42401</v>
      </c>
      <c r="B436" s="7">
        <f>VLOOKUP($A436,[4]BASE_M!$A:$AZ,MATCH(B$2,[4]BASE_M!$4:$4,0),FALSE)</f>
        <v>0.22700000000000001</v>
      </c>
      <c r="C436" s="7">
        <f t="shared" si="6"/>
        <v>0.44333333333333336</v>
      </c>
    </row>
    <row r="437" spans="1:3" x14ac:dyDescent="0.35">
      <c r="A437" s="4">
        <v>42430</v>
      </c>
      <c r="B437" s="7">
        <f>VLOOKUP($A437,[4]BASE_M!$A:$AZ,MATCH(B$2,[4]BASE_M!$4:$4,0),FALSE)</f>
        <v>0.215</v>
      </c>
      <c r="C437" s="7">
        <f t="shared" si="6"/>
        <v>0.3163333333333333</v>
      </c>
    </row>
    <row r="438" spans="1:3" x14ac:dyDescent="0.35">
      <c r="A438" s="4">
        <v>42461</v>
      </c>
      <c r="B438" s="7">
        <f>VLOOKUP($A438,[4]BASE_M!$A:$AZ,MATCH(B$2,[4]BASE_M!$4:$4,0),FALSE)</f>
        <v>0.17599999999999999</v>
      </c>
      <c r="C438" s="7">
        <f t="shared" si="6"/>
        <v>0.20599999999999999</v>
      </c>
    </row>
    <row r="439" spans="1:3" x14ac:dyDescent="0.35">
      <c r="A439" s="4">
        <v>42491</v>
      </c>
      <c r="B439" s="7">
        <f>VLOOKUP($A439,[4]BASE_M!$A:$AZ,MATCH(B$2,[4]BASE_M!$4:$4,0),FALSE)</f>
        <v>0.159</v>
      </c>
      <c r="C439" s="7">
        <f t="shared" si="6"/>
        <v>0.18333333333333335</v>
      </c>
    </row>
    <row r="440" spans="1:3" x14ac:dyDescent="0.35">
      <c r="A440" s="4">
        <v>42522</v>
      </c>
      <c r="B440" s="7">
        <f>VLOOKUP($A440,[4]BASE_M!$A:$AZ,MATCH(B$2,[4]BASE_M!$4:$4,0),FALSE)</f>
        <v>1.2999999999999999E-2</v>
      </c>
      <c r="C440" s="7">
        <f t="shared" si="6"/>
        <v>0.11599999999999999</v>
      </c>
    </row>
    <row r="441" spans="1:3" x14ac:dyDescent="0.35">
      <c r="A441" s="4">
        <v>42552</v>
      </c>
      <c r="B441" s="7">
        <f>VLOOKUP($A441,[4]BASE_M!$A:$AZ,MATCH(B$2,[4]BASE_M!$4:$4,0),FALSE)</f>
        <v>-8.5999999999999993E-2</v>
      </c>
      <c r="C441" s="7">
        <f t="shared" si="6"/>
        <v>2.8666666666666674E-2</v>
      </c>
    </row>
    <row r="442" spans="1:3" x14ac:dyDescent="0.35">
      <c r="A442" s="4">
        <v>42583</v>
      </c>
      <c r="B442" s="7">
        <f>VLOOKUP($A442,[4]BASE_M!$A:$AZ,MATCH(B$2,[4]BASE_M!$4:$4,0),FALSE)</f>
        <v>-7.3999999999999996E-2</v>
      </c>
      <c r="C442" s="7">
        <f t="shared" si="6"/>
        <v>-4.8999999999999995E-2</v>
      </c>
    </row>
    <row r="443" spans="1:3" x14ac:dyDescent="0.35">
      <c r="A443" s="4">
        <v>42614</v>
      </c>
      <c r="B443" s="7">
        <f>VLOOKUP($A443,[4]BASE_M!$A:$AZ,MATCH(B$2,[4]BASE_M!$4:$4,0),FALSE)</f>
        <v>-4.9000000000000002E-2</v>
      </c>
      <c r="C443" s="7">
        <f t="shared" si="6"/>
        <v>-6.9666666666666655E-2</v>
      </c>
    </row>
    <row r="444" spans="1:3" x14ac:dyDescent="0.35">
      <c r="A444" s="4">
        <v>42644</v>
      </c>
      <c r="B444" s="7">
        <f>VLOOKUP($A444,[4]BASE_M!$A:$AZ,MATCH(B$2,[4]BASE_M!$4:$4,0),FALSE)</f>
        <v>4.1000000000000002E-2</v>
      </c>
      <c r="C444" s="7">
        <f t="shared" si="6"/>
        <v>-2.7333333333333331E-2</v>
      </c>
    </row>
    <row r="445" spans="1:3" x14ac:dyDescent="0.35">
      <c r="A445" s="4">
        <v>42675</v>
      </c>
      <c r="B445" s="7">
        <f>VLOOKUP($A445,[4]BASE_M!$A:$AZ,MATCH(B$2,[4]BASE_M!$4:$4,0),FALSE)</f>
        <v>0.23499999999999999</v>
      </c>
      <c r="C445" s="7">
        <f t="shared" si="6"/>
        <v>7.566666666666666E-2</v>
      </c>
    </row>
    <row r="446" spans="1:3" x14ac:dyDescent="0.35">
      <c r="A446" s="4">
        <v>42705</v>
      </c>
      <c r="B446" s="7">
        <f>VLOOKUP($A446,[4]BASE_M!$A:$AZ,MATCH(B$2,[4]BASE_M!$4:$4,0),FALSE)</f>
        <v>0.29299999999999998</v>
      </c>
      <c r="C446" s="7">
        <f t="shared" si="6"/>
        <v>0.18966666666666665</v>
      </c>
    </row>
    <row r="447" spans="1:3" x14ac:dyDescent="0.35">
      <c r="A447" s="4">
        <v>42736</v>
      </c>
      <c r="B447" s="7">
        <f>VLOOKUP($A447,[4]BASE_M!$A:$AZ,MATCH(B$2,[4]BASE_M!$4:$4,0),FALSE)</f>
        <v>0.34899999999999998</v>
      </c>
      <c r="C447" s="7">
        <f t="shared" si="6"/>
        <v>0.29233333333333333</v>
      </c>
    </row>
    <row r="448" spans="1:3" x14ac:dyDescent="0.35">
      <c r="A448" s="4">
        <v>42767</v>
      </c>
      <c r="B448" s="7">
        <f>VLOOKUP($A448,[4]BASE_M!$A:$AZ,MATCH(B$2,[4]BASE_M!$4:$4,0),FALSE)</f>
        <v>0.31900000000000001</v>
      </c>
      <c r="C448" s="7">
        <f t="shared" si="6"/>
        <v>0.3203333333333333</v>
      </c>
    </row>
    <row r="449" spans="1:3" x14ac:dyDescent="0.35">
      <c r="A449" s="4">
        <v>42795</v>
      </c>
      <c r="B449" s="7">
        <f>VLOOKUP($A449,[4]BASE_M!$A:$AZ,MATCH(B$2,[4]BASE_M!$4:$4,0),FALSE)</f>
        <v>0.39300000000000002</v>
      </c>
      <c r="C449" s="7">
        <f t="shared" si="6"/>
        <v>0.35366666666666663</v>
      </c>
    </row>
    <row r="450" spans="1:3" x14ac:dyDescent="0.35">
      <c r="A450" s="4">
        <v>42826</v>
      </c>
      <c r="B450" s="7">
        <f>VLOOKUP($A450,[4]BASE_M!$A:$AZ,MATCH(B$2,[4]BASE_M!$4:$4,0),FALSE)</f>
        <v>0.249</v>
      </c>
      <c r="C450" s="7">
        <f t="shared" si="6"/>
        <v>0.3203333333333333</v>
      </c>
    </row>
    <row r="451" spans="1:3" x14ac:dyDescent="0.35">
      <c r="A451" s="4">
        <v>42856</v>
      </c>
      <c r="B451" s="7">
        <f>VLOOKUP($A451,[4]BASE_M!$A:$AZ,MATCH(B$2,[4]BASE_M!$4:$4,0),FALSE)</f>
        <v>0.375</v>
      </c>
      <c r="C451" s="7">
        <f t="shared" si="6"/>
        <v>0.33899999999999997</v>
      </c>
    </row>
    <row r="452" spans="1:3" x14ac:dyDescent="0.35">
      <c r="A452" s="4">
        <v>42887</v>
      </c>
      <c r="B452" s="7">
        <f>VLOOKUP($A452,[4]BASE_M!$A:$AZ,MATCH(B$2,[4]BASE_M!$4:$4,0),FALSE)</f>
        <v>0.29199999999999998</v>
      </c>
      <c r="C452" s="7">
        <f t="shared" si="6"/>
        <v>0.30533333333333329</v>
      </c>
    </row>
    <row r="453" spans="1:3" x14ac:dyDescent="0.35">
      <c r="A453" s="4">
        <v>42917</v>
      </c>
      <c r="B453" s="7">
        <f>VLOOKUP($A453,[4]BASE_M!$A:$AZ,MATCH(B$2,[4]BASE_M!$4:$4,0),FALSE)</f>
        <v>0.54200000000000004</v>
      </c>
      <c r="C453" s="7">
        <f t="shared" si="6"/>
        <v>0.40300000000000002</v>
      </c>
    </row>
    <row r="454" spans="1:3" x14ac:dyDescent="0.35">
      <c r="A454" s="4">
        <v>42948</v>
      </c>
      <c r="B454" s="7">
        <f>VLOOKUP($A454,[4]BASE_M!$A:$AZ,MATCH(B$2,[4]BASE_M!$4:$4,0),FALSE)</f>
        <v>0.41499999999999998</v>
      </c>
      <c r="C454" s="7">
        <f t="shared" si="6"/>
        <v>0.41633333333333339</v>
      </c>
    </row>
    <row r="455" spans="1:3" x14ac:dyDescent="0.35">
      <c r="A455" s="4">
        <v>42979</v>
      </c>
      <c r="B455" s="7">
        <f>VLOOKUP($A455,[4]BASE_M!$A:$AZ,MATCH(B$2,[4]BASE_M!$4:$4,0),FALSE)</f>
        <v>0.40500000000000003</v>
      </c>
      <c r="C455" s="7">
        <f t="shared" ref="C455:C518" si="7">AVERAGE(B453:B455)</f>
        <v>0.45400000000000001</v>
      </c>
    </row>
    <row r="456" spans="1:3" x14ac:dyDescent="0.35">
      <c r="A456" s="4">
        <v>43009</v>
      </c>
      <c r="B456" s="7">
        <f>VLOOKUP($A456,[4]BASE_M!$A:$AZ,MATCH(B$2,[4]BASE_M!$4:$4,0),FALSE)</f>
        <v>0.42599999999999999</v>
      </c>
      <c r="C456" s="7">
        <f t="shared" si="7"/>
        <v>0.41533333333333333</v>
      </c>
    </row>
    <row r="457" spans="1:3" x14ac:dyDescent="0.35">
      <c r="A457" s="4">
        <v>43040</v>
      </c>
      <c r="B457" s="7">
        <f>VLOOKUP($A457,[4]BASE_M!$A:$AZ,MATCH(B$2,[4]BASE_M!$4:$4,0),FALSE)</f>
        <v>0.36399999999999999</v>
      </c>
      <c r="C457" s="7">
        <f t="shared" si="7"/>
        <v>0.39833333333333326</v>
      </c>
    </row>
    <row r="458" spans="1:3" x14ac:dyDescent="0.35">
      <c r="A458" s="4">
        <v>43070</v>
      </c>
      <c r="B458" s="7">
        <f>VLOOKUP($A458,[4]BASE_M!$A:$AZ,MATCH(B$2,[4]BASE_M!$4:$4,0),FALSE)</f>
        <v>0.35299999999999998</v>
      </c>
      <c r="C458" s="7">
        <f t="shared" si="7"/>
        <v>0.38100000000000001</v>
      </c>
    </row>
    <row r="459" spans="1:3" x14ac:dyDescent="0.35">
      <c r="A459" s="4">
        <v>43101</v>
      </c>
      <c r="B459" s="7">
        <f>VLOOKUP($A459,[4]BASE_M!$A:$AZ,MATCH(B$2,[4]BASE_M!$4:$4,0),FALSE)</f>
        <v>0.55200000000000005</v>
      </c>
      <c r="C459" s="7">
        <f t="shared" si="7"/>
        <v>0.42300000000000004</v>
      </c>
    </row>
    <row r="460" spans="1:3" x14ac:dyDescent="0.35">
      <c r="A460" s="4">
        <v>43132</v>
      </c>
      <c r="B460" s="7">
        <f>VLOOKUP($A460,[4]BASE_M!$A:$AZ,MATCH(B$2,[4]BASE_M!$4:$4,0),FALSE)</f>
        <v>0.72199999999999998</v>
      </c>
      <c r="C460" s="7">
        <f t="shared" si="7"/>
        <v>0.54233333333333333</v>
      </c>
    </row>
    <row r="461" spans="1:3" x14ac:dyDescent="0.35">
      <c r="A461" s="4">
        <v>43160</v>
      </c>
      <c r="B461" s="7">
        <f>VLOOKUP($A461,[4]BASE_M!$A:$AZ,MATCH(B$2,[4]BASE_M!$4:$4,0),FALSE)</f>
        <v>0.58499999999999996</v>
      </c>
      <c r="C461" s="7">
        <f t="shared" si="7"/>
        <v>0.6196666666666667</v>
      </c>
    </row>
    <row r="462" spans="1:3" x14ac:dyDescent="0.35">
      <c r="A462" s="4">
        <v>43191</v>
      </c>
      <c r="B462" s="7">
        <f>VLOOKUP($A462,[4]BASE_M!$A:$AZ,MATCH(B$2,[4]BASE_M!$4:$4,0),FALSE)</f>
        <v>0.54500000000000004</v>
      </c>
      <c r="C462" s="7">
        <f t="shared" si="7"/>
        <v>0.61733333333333329</v>
      </c>
    </row>
    <row r="463" spans="1:3" x14ac:dyDescent="0.35">
      <c r="A463" s="4">
        <v>43221</v>
      </c>
      <c r="B463" s="7">
        <f>VLOOKUP($A463,[4]BASE_M!$A:$AZ,MATCH(B$2,[4]BASE_M!$4:$4,0),FALSE)</f>
        <v>0.51500000000000001</v>
      </c>
      <c r="C463" s="7">
        <f t="shared" si="7"/>
        <v>0.54833333333333334</v>
      </c>
    </row>
    <row r="464" spans="1:3" x14ac:dyDescent="0.35">
      <c r="A464" s="4">
        <v>43252</v>
      </c>
      <c r="B464" s="7">
        <f>VLOOKUP($A464,[4]BASE_M!$A:$AZ,MATCH(B$2,[4]BASE_M!$4:$4,0),FALSE)</f>
        <v>0.39500000000000002</v>
      </c>
      <c r="C464" s="7">
        <f t="shared" si="7"/>
        <v>0.48500000000000004</v>
      </c>
    </row>
    <row r="465" spans="1:3" x14ac:dyDescent="0.35">
      <c r="A465" s="4">
        <v>43282</v>
      </c>
      <c r="B465" s="7">
        <f>VLOOKUP($A465,[4]BASE_M!$A:$AZ,MATCH(B$2,[4]BASE_M!$4:$4,0),FALSE)</f>
        <v>0.35599999999999998</v>
      </c>
      <c r="C465" s="7">
        <f t="shared" si="7"/>
        <v>0.42199999999999999</v>
      </c>
    </row>
    <row r="466" spans="1:3" x14ac:dyDescent="0.35">
      <c r="A466" s="4">
        <v>43313</v>
      </c>
      <c r="B466" s="7">
        <f>VLOOKUP($A466,[4]BASE_M!$A:$AZ,MATCH(B$2,[4]BASE_M!$4:$4,0),FALSE)</f>
        <v>0.36099999999999999</v>
      </c>
      <c r="C466" s="7">
        <f t="shared" si="7"/>
        <v>0.3706666666666667</v>
      </c>
    </row>
    <row r="467" spans="1:3" x14ac:dyDescent="0.35">
      <c r="A467" s="4">
        <v>43344</v>
      </c>
      <c r="B467" s="7">
        <f>VLOOKUP($A467,[4]BASE_M!$A:$AZ,MATCH(B$2,[4]BASE_M!$4:$4,0),FALSE)</f>
        <v>0.443</v>
      </c>
      <c r="C467" s="7">
        <f t="shared" si="7"/>
        <v>0.38666666666666666</v>
      </c>
    </row>
    <row r="468" spans="1:3" x14ac:dyDescent="0.35">
      <c r="A468" s="4">
        <v>43374</v>
      </c>
      <c r="B468" s="7">
        <f>VLOOKUP($A468,[4]BASE_M!$A:$AZ,MATCH(B$2,[4]BASE_M!$4:$4,0),FALSE)</f>
        <v>0.46</v>
      </c>
      <c r="C468" s="7">
        <f t="shared" si="7"/>
        <v>0.42133333333333334</v>
      </c>
    </row>
    <row r="469" spans="1:3" x14ac:dyDescent="0.35">
      <c r="A469" s="4">
        <v>43405</v>
      </c>
      <c r="B469" s="7">
        <f>VLOOKUP($A469,[4]BASE_M!$A:$AZ,MATCH(B$2,[4]BASE_M!$4:$4,0),FALSE)</f>
        <v>0.38300000000000001</v>
      </c>
      <c r="C469" s="7">
        <f t="shared" si="7"/>
        <v>0.4286666666666667</v>
      </c>
    </row>
    <row r="470" spans="1:3" x14ac:dyDescent="0.35">
      <c r="A470" s="4">
        <v>43435</v>
      </c>
      <c r="B470" s="7">
        <f>VLOOKUP($A470,[4]BASE_M!$A:$AZ,MATCH(B$2,[4]BASE_M!$4:$4,0),FALSE)</f>
        <v>0.253</v>
      </c>
      <c r="C470" s="7">
        <f t="shared" si="7"/>
        <v>0.36533333333333334</v>
      </c>
    </row>
    <row r="471" spans="1:3" x14ac:dyDescent="0.35">
      <c r="A471" s="4">
        <v>43466</v>
      </c>
      <c r="B471" s="7">
        <f>VLOOKUP($A471,[4]BASE_M!$A:$AZ,MATCH(B$2,[4]BASE_M!$4:$4,0),FALSE)</f>
        <v>0.217</v>
      </c>
      <c r="C471" s="7">
        <f t="shared" si="7"/>
        <v>0.28433333333333333</v>
      </c>
    </row>
    <row r="472" spans="1:3" x14ac:dyDescent="0.35">
      <c r="A472" s="4">
        <v>43497</v>
      </c>
      <c r="B472" s="7">
        <f>VLOOKUP($A472,[4]BASE_M!$A:$AZ,MATCH(B$2,[4]BASE_M!$4:$4,0),FALSE)</f>
        <v>0.127</v>
      </c>
      <c r="C472" s="7">
        <f t="shared" si="7"/>
        <v>0.19899999999999998</v>
      </c>
    </row>
    <row r="473" spans="1:3" x14ac:dyDescent="0.35">
      <c r="A473" s="4">
        <v>43525</v>
      </c>
      <c r="B473" s="7">
        <f>VLOOKUP($A473,[4]BASE_M!$A:$AZ,MATCH(B$2,[4]BASE_M!$4:$4,0),FALSE)</f>
        <v>5.5E-2</v>
      </c>
      <c r="C473" s="7">
        <f t="shared" si="7"/>
        <v>0.13299999999999998</v>
      </c>
    </row>
    <row r="474" spans="1:3" x14ac:dyDescent="0.35">
      <c r="A474" s="4">
        <v>43556</v>
      </c>
      <c r="B474" s="7">
        <f>VLOOKUP($A474,[4]BASE_M!$A:$AZ,MATCH(B$2,[4]BASE_M!$4:$4,0),FALSE)</f>
        <v>1.0999999999999999E-2</v>
      </c>
      <c r="C474" s="7">
        <f t="shared" si="7"/>
        <v>6.433333333333334E-2</v>
      </c>
    </row>
    <row r="475" spans="1:3" x14ac:dyDescent="0.35">
      <c r="A475" s="4">
        <v>43586</v>
      </c>
      <c r="B475" s="7">
        <f>VLOOKUP($A475,[4]BASE_M!$A:$AZ,MATCH(B$2,[4]BASE_M!$4:$4,0),FALSE)</f>
        <v>-8.1000000000000003E-2</v>
      </c>
      <c r="C475" s="7">
        <f t="shared" si="7"/>
        <v>-5.0000000000000001E-3</v>
      </c>
    </row>
    <row r="476" spans="1:3" x14ac:dyDescent="0.35">
      <c r="A476" s="4">
        <v>43617</v>
      </c>
      <c r="B476" s="7">
        <f>VLOOKUP($A476,[4]BASE_M!$A:$AZ,MATCH(B$2,[4]BASE_M!$4:$4,0),FALSE)</f>
        <v>-0.26800000000000002</v>
      </c>
      <c r="C476" s="7">
        <f t="shared" si="7"/>
        <v>-0.11266666666666668</v>
      </c>
    </row>
    <row r="477" spans="1:3" x14ac:dyDescent="0.35">
      <c r="A477" s="4">
        <v>43647</v>
      </c>
      <c r="B477" s="7">
        <f>VLOOKUP($A477,[4]BASE_M!$A:$AZ,MATCH(B$2,[4]BASE_M!$4:$4,0),FALSE)</f>
        <v>-0.33900000000000002</v>
      </c>
      <c r="C477" s="7">
        <f t="shared" si="7"/>
        <v>-0.22933333333333336</v>
      </c>
    </row>
    <row r="478" spans="1:3" x14ac:dyDescent="0.35">
      <c r="A478" s="4">
        <v>43678</v>
      </c>
      <c r="B478" s="7">
        <f>VLOOKUP($A478,[4]BASE_M!$A:$AZ,MATCH(B$2,[4]BASE_M!$4:$4,0),FALSE)</f>
        <v>-0.625</v>
      </c>
      <c r="C478" s="7">
        <f t="shared" si="7"/>
        <v>-0.41066666666666668</v>
      </c>
    </row>
    <row r="479" spans="1:3" x14ac:dyDescent="0.35">
      <c r="A479" s="4">
        <v>43709</v>
      </c>
      <c r="B479" s="7">
        <f>VLOOKUP($A479,[4]BASE_M!$A:$AZ,MATCH(B$2,[4]BASE_M!$4:$4,0),FALSE)</f>
        <v>-0.56599999999999995</v>
      </c>
      <c r="C479" s="7">
        <f t="shared" si="7"/>
        <v>-0.5099999999999999</v>
      </c>
    </row>
    <row r="480" spans="1:3" x14ac:dyDescent="0.35">
      <c r="A480" s="4">
        <v>43739</v>
      </c>
      <c r="B480" s="7">
        <f>VLOOKUP($A480,[4]BASE_M!$A:$AZ,MATCH(B$2,[4]BASE_M!$4:$4,0),FALSE)</f>
        <v>-0.44700000000000001</v>
      </c>
      <c r="C480" s="7">
        <f t="shared" si="7"/>
        <v>-0.54599999999999993</v>
      </c>
    </row>
    <row r="481" spans="1:3" x14ac:dyDescent="0.35">
      <c r="A481" s="4">
        <v>43770</v>
      </c>
      <c r="B481" s="7">
        <f>VLOOKUP($A481,[4]BASE_M!$A:$AZ,MATCH(B$2,[4]BASE_M!$4:$4,0),FALSE)</f>
        <v>-0.32600000000000001</v>
      </c>
      <c r="C481" s="7">
        <f t="shared" si="7"/>
        <v>-0.4463333333333333</v>
      </c>
    </row>
    <row r="482" spans="1:3" x14ac:dyDescent="0.35">
      <c r="A482" s="4">
        <v>43800</v>
      </c>
      <c r="B482" s="7">
        <f>VLOOKUP($A482,[4]BASE_M!$A:$AZ,MATCH(B$2,[4]BASE_M!$4:$4,0),FALSE)</f>
        <v>-0.27200000000000002</v>
      </c>
      <c r="C482" s="7">
        <f t="shared" si="7"/>
        <v>-0.34833333333333333</v>
      </c>
    </row>
    <row r="483" spans="1:3" x14ac:dyDescent="0.35">
      <c r="A483" s="4">
        <v>43831</v>
      </c>
      <c r="B483" s="7">
        <f>VLOOKUP($A483,[4]BASE_M!$A:$AZ,MATCH(B$2,[4]BASE_M!$4:$4,0),FALSE)</f>
        <v>-0.26600000000000001</v>
      </c>
      <c r="C483" s="7">
        <f t="shared" si="7"/>
        <v>-0.28800000000000003</v>
      </c>
    </row>
    <row r="484" spans="1:3" x14ac:dyDescent="0.35">
      <c r="A484" s="4">
        <v>43862</v>
      </c>
      <c r="B484" s="7">
        <f>VLOOKUP($A484,[4]BASE_M!$A:$AZ,MATCH(B$2,[4]BASE_M!$4:$4,0),FALSE)</f>
        <v>-0.434</v>
      </c>
      <c r="C484" s="7">
        <f t="shared" si="7"/>
        <v>-0.32400000000000001</v>
      </c>
    </row>
    <row r="485" spans="1:3" x14ac:dyDescent="0.35">
      <c r="A485" s="4">
        <v>43891</v>
      </c>
      <c r="B485" s="7">
        <f>VLOOKUP($A485,[4]BASE_M!$A:$AZ,MATCH(B$2,[4]BASE_M!$4:$4,0),FALSE)</f>
        <v>-0.51600000000000001</v>
      </c>
      <c r="C485" s="7">
        <f t="shared" si="7"/>
        <v>-0.40533333333333332</v>
      </c>
    </row>
    <row r="486" spans="1:3" x14ac:dyDescent="0.35">
      <c r="A486" s="4">
        <v>43922</v>
      </c>
      <c r="B486" s="7">
        <f>VLOOKUP($A486,[4]BASE_M!$A:$AZ,MATCH(B$2,[4]BASE_M!$4:$4,0),FALSE)</f>
        <v>-0.42899999999999999</v>
      </c>
      <c r="C486" s="7">
        <f t="shared" si="7"/>
        <v>-0.45966666666666667</v>
      </c>
    </row>
    <row r="487" spans="1:3" x14ac:dyDescent="0.35">
      <c r="A487" s="4">
        <v>43952</v>
      </c>
      <c r="B487" s="7">
        <f>VLOOKUP($A487,[4]BASE_M!$A:$AZ,MATCH(B$2,[4]BASE_M!$4:$4,0),FALSE)</f>
        <v>-0.501</v>
      </c>
      <c r="C487" s="7">
        <f t="shared" si="7"/>
        <v>-0.48200000000000004</v>
      </c>
    </row>
    <row r="488" spans="1:3" x14ac:dyDescent="0.35">
      <c r="A488" s="4">
        <v>43983</v>
      </c>
      <c r="B488" s="7">
        <f>VLOOKUP($A488,[4]BASE_M!$A:$AZ,MATCH(B$2,[4]BASE_M!$4:$4,0),FALSE)</f>
        <v>-0.40100000000000002</v>
      </c>
      <c r="C488" s="7">
        <f t="shared" si="7"/>
        <v>-0.44366666666666665</v>
      </c>
    </row>
    <row r="489" spans="1:3" x14ac:dyDescent="0.35">
      <c r="A489" s="4">
        <v>44013</v>
      </c>
      <c r="B489" s="7">
        <f>VLOOKUP($A489,[4]BASE_M!$A:$AZ,MATCH(B$2,[4]BASE_M!$4:$4,0),FALSE)</f>
        <v>-0.46100000000000002</v>
      </c>
      <c r="C489" s="7">
        <f t="shared" si="7"/>
        <v>-0.45433333333333331</v>
      </c>
    </row>
    <row r="490" spans="1:3" x14ac:dyDescent="0.35">
      <c r="A490" s="4">
        <v>44044</v>
      </c>
      <c r="B490" s="7">
        <f>VLOOKUP($A490,[4]BASE_M!$A:$AZ,MATCH(B$2,[4]BASE_M!$4:$4,0),FALSE)</f>
        <v>-0.46899999999999997</v>
      </c>
      <c r="C490" s="7">
        <f t="shared" si="7"/>
        <v>-0.44366666666666665</v>
      </c>
    </row>
    <row r="491" spans="1:3" x14ac:dyDescent="0.35">
      <c r="A491" s="4">
        <v>44075</v>
      </c>
      <c r="B491" s="7">
        <f>VLOOKUP($A491,[4]BASE_M!$A:$AZ,MATCH(B$2,[4]BASE_M!$4:$4,0),FALSE)</f>
        <v>-0.49</v>
      </c>
      <c r="C491" s="7">
        <f t="shared" si="7"/>
        <v>-0.47333333333333333</v>
      </c>
    </row>
    <row r="492" spans="1:3" x14ac:dyDescent="0.35">
      <c r="A492" s="4">
        <v>44105</v>
      </c>
      <c r="B492" s="7">
        <f>VLOOKUP($A492,[4]BASE_M!$A:$AZ,MATCH(B$2,[4]BASE_M!$4:$4,0),FALSE)</f>
        <v>-0.57199999999999995</v>
      </c>
      <c r="C492" s="7">
        <f t="shared" si="7"/>
        <v>-0.51033333333333331</v>
      </c>
    </row>
    <row r="493" spans="1:3" x14ac:dyDescent="0.35">
      <c r="A493" s="4">
        <v>44136</v>
      </c>
      <c r="B493" s="7">
        <f>VLOOKUP($A493,[4]BASE_M!$A:$AZ,MATCH(B$2,[4]BASE_M!$4:$4,0),FALSE)</f>
        <v>-0.57199999999999995</v>
      </c>
      <c r="C493" s="7">
        <f t="shared" si="7"/>
        <v>-0.54466666666666663</v>
      </c>
    </row>
    <row r="494" spans="1:3" x14ac:dyDescent="0.35">
      <c r="A494" s="4">
        <v>44166</v>
      </c>
      <c r="B494" s="7">
        <f>VLOOKUP($A494,[4]BASE_M!$A:$AZ,MATCH(B$2,[4]BASE_M!$4:$4,0),FALSE)</f>
        <v>-0.57399999999999995</v>
      </c>
      <c r="C494" s="7">
        <f t="shared" si="7"/>
        <v>-0.57266666666666666</v>
      </c>
    </row>
    <row r="495" spans="1:3" x14ac:dyDescent="0.35">
      <c r="A495" s="4">
        <v>44197</v>
      </c>
      <c r="B495" s="7">
        <f>VLOOKUP($A495,[4]BASE_M!$A:$AZ,MATCH(B$2,[4]BASE_M!$4:$4,0),FALSE)</f>
        <v>-0.53200000000000003</v>
      </c>
      <c r="C495" s="7">
        <f t="shared" si="7"/>
        <v>-0.55933333333333335</v>
      </c>
    </row>
    <row r="496" spans="1:3" x14ac:dyDescent="0.35">
      <c r="A496" s="4">
        <v>44228</v>
      </c>
      <c r="B496" s="7">
        <f>VLOOKUP($A496,[4]BASE_M!$A:$AZ,MATCH(B$2,[4]BASE_M!$4:$4,0),FALSE)</f>
        <v>-0.38900000000000001</v>
      </c>
      <c r="C496" s="7">
        <f t="shared" si="7"/>
        <v>-0.49833333333333329</v>
      </c>
    </row>
    <row r="497" spans="1:3" x14ac:dyDescent="0.35">
      <c r="A497" s="4">
        <v>44256</v>
      </c>
      <c r="B497" s="7">
        <f>VLOOKUP($A497,[4]BASE_M!$A:$AZ,MATCH(B$2,[4]BASE_M!$4:$4,0),FALSE)</f>
        <v>-0.316</v>
      </c>
      <c r="C497" s="7">
        <f t="shared" si="7"/>
        <v>-0.41233333333333338</v>
      </c>
    </row>
    <row r="498" spans="1:3" x14ac:dyDescent="0.35">
      <c r="A498" s="4">
        <v>44287</v>
      </c>
      <c r="B498" s="7">
        <f>VLOOKUP($A498,[4]BASE_M!$A:$AZ,MATCH(B$2,[4]BASE_M!$4:$4,0),FALSE)</f>
        <v>-0.27500000000000002</v>
      </c>
      <c r="C498" s="7">
        <f t="shared" si="7"/>
        <v>-0.32666666666666672</v>
      </c>
    </row>
    <row r="499" spans="1:3" x14ac:dyDescent="0.35">
      <c r="A499" s="4">
        <v>44317</v>
      </c>
      <c r="B499" s="7">
        <f>VLOOKUP($A499,[4]BASE_M!$A:$AZ,MATCH(B$2,[4]BASE_M!$4:$4,0),FALSE)</f>
        <v>-0.16600000000000001</v>
      </c>
      <c r="C499" s="7">
        <f t="shared" si="7"/>
        <v>-0.25233333333333335</v>
      </c>
    </row>
    <row r="500" spans="1:3" x14ac:dyDescent="0.35">
      <c r="A500" s="4">
        <v>44348</v>
      </c>
      <c r="B500" s="7">
        <f>VLOOKUP($A500,[4]BASE_M!$A:$AZ,MATCH(B$2,[4]BASE_M!$4:$4,0),FALSE)</f>
        <v>-0.20499999999999999</v>
      </c>
      <c r="C500" s="7">
        <f t="shared" si="7"/>
        <v>-0.21533333333333335</v>
      </c>
    </row>
    <row r="501" spans="1:3" x14ac:dyDescent="0.35">
      <c r="A501" s="4">
        <v>44378</v>
      </c>
      <c r="B501" s="7">
        <f>VLOOKUP($A501,[4]BASE_M!$A:$AZ,MATCH(B$2,[4]BASE_M!$4:$4,0),FALSE)</f>
        <v>-0.34799999999999998</v>
      </c>
      <c r="C501" s="7">
        <f t="shared" si="7"/>
        <v>-0.23966666666666667</v>
      </c>
    </row>
    <row r="502" spans="1:3" x14ac:dyDescent="0.35">
      <c r="A502" s="4">
        <v>44409</v>
      </c>
      <c r="B502" s="7">
        <f>VLOOKUP($A502,[4]BASE_M!$A:$AZ,MATCH(B$2,[4]BASE_M!$4:$4,0),FALSE)</f>
        <v>-0.46200000000000002</v>
      </c>
      <c r="C502" s="7">
        <f t="shared" si="7"/>
        <v>-0.33833333333333332</v>
      </c>
    </row>
    <row r="503" spans="1:3" x14ac:dyDescent="0.35">
      <c r="A503" s="4">
        <v>44440</v>
      </c>
      <c r="B503" s="7">
        <f>VLOOKUP($A503,[4]BASE_M!$A:$AZ,MATCH(B$2,[4]BASE_M!$4:$4,0),FALSE)</f>
        <v>-0.30299999999999999</v>
      </c>
      <c r="C503" s="7">
        <f t="shared" si="7"/>
        <v>-0.371</v>
      </c>
    </row>
    <row r="504" spans="1:3" x14ac:dyDescent="0.35">
      <c r="A504" s="4">
        <v>44470</v>
      </c>
      <c r="B504" s="7">
        <f>VLOOKUP($A504,[4]BASE_M!$A:$AZ,MATCH(B$2,[4]BASE_M!$4:$4,0),FALSE)</f>
        <v>-0.14599999999999999</v>
      </c>
      <c r="C504" s="7">
        <f t="shared" si="7"/>
        <v>-0.3036666666666667</v>
      </c>
    </row>
    <row r="505" spans="1:3" x14ac:dyDescent="0.35">
      <c r="A505" s="4">
        <v>44501</v>
      </c>
      <c r="B505" s="7">
        <f>VLOOKUP($A505,[4]BASE_M!$A:$AZ,MATCH(B$2,[4]BASE_M!$4:$4,0),FALSE)</f>
        <v>-0.252</v>
      </c>
      <c r="C505" s="7">
        <f t="shared" si="7"/>
        <v>-0.23366666666666666</v>
      </c>
    </row>
    <row r="506" spans="1:3" x14ac:dyDescent="0.35">
      <c r="A506" s="4">
        <v>44531</v>
      </c>
      <c r="B506" s="7">
        <f>VLOOKUP($A506,[4]BASE_M!$A:$AZ,MATCH(B$2,[4]BASE_M!$4:$4,0),FALSE)</f>
        <v>-0.313</v>
      </c>
      <c r="C506" s="7">
        <f t="shared" si="7"/>
        <v>-0.23700000000000002</v>
      </c>
    </row>
    <row r="507" spans="1:3" x14ac:dyDescent="0.35">
      <c r="A507" s="4">
        <v>44562</v>
      </c>
      <c r="B507" s="7">
        <f>VLOOKUP($A507,[4]BASE_M!$A:$AZ,MATCH(B$2,[4]BASE_M!$4:$4,0),FALSE)</f>
        <v>-5.6000000000000001E-2</v>
      </c>
      <c r="C507" s="7">
        <f t="shared" si="7"/>
        <v>-0.20699999999999999</v>
      </c>
    </row>
    <row r="508" spans="1:3" x14ac:dyDescent="0.35">
      <c r="A508" s="4">
        <v>44593</v>
      </c>
      <c r="B508" s="7">
        <f>VLOOKUP($A508,[4]BASE_M!$A:$AZ,MATCH(B$2,[4]BASE_M!$4:$4,0),FALSE)</f>
        <v>0.21099999999999999</v>
      </c>
      <c r="C508" s="7">
        <f t="shared" si="7"/>
        <v>-5.2666666666666667E-2</v>
      </c>
    </row>
    <row r="509" spans="1:3" x14ac:dyDescent="0.35">
      <c r="A509" s="4">
        <v>44621</v>
      </c>
      <c r="B509" s="7">
        <f>VLOOKUP($A509,[4]BASE_M!$A:$AZ,MATCH(B$2,[4]BASE_M!$4:$4,0),FALSE)</f>
        <v>0.32900000000000001</v>
      </c>
      <c r="C509" s="7">
        <f t="shared" si="7"/>
        <v>0.16133333333333333</v>
      </c>
    </row>
    <row r="510" spans="1:3" x14ac:dyDescent="0.35">
      <c r="A510" s="4">
        <v>44652</v>
      </c>
      <c r="B510" s="7">
        <f>VLOOKUP($A510,[4]BASE_M!$A:$AZ,MATCH(B$2,[4]BASE_M!$4:$4,0),FALSE)</f>
        <v>0.79</v>
      </c>
      <c r="C510" s="7">
        <f t="shared" si="7"/>
        <v>0.44333333333333336</v>
      </c>
    </row>
    <row r="511" spans="1:3" x14ac:dyDescent="0.35">
      <c r="A511" s="4">
        <v>44682</v>
      </c>
      <c r="B511" s="7">
        <f>VLOOKUP($A511,[4]BASE_M!$A:$AZ,MATCH(B$2,[4]BASE_M!$4:$4,0),FALSE)</f>
        <v>0.997</v>
      </c>
      <c r="C511" s="7">
        <f t="shared" si="7"/>
        <v>0.70533333333333337</v>
      </c>
    </row>
    <row r="512" spans="1:3" x14ac:dyDescent="0.35">
      <c r="A512" s="4">
        <v>44713</v>
      </c>
      <c r="B512" s="7">
        <f>VLOOKUP($A512,[4]BASE_M!$A:$AZ,MATCH(B$2,[4]BASE_M!$4:$4,0),FALSE)</f>
        <v>1.504</v>
      </c>
      <c r="C512" s="7">
        <f t="shared" si="7"/>
        <v>1.097</v>
      </c>
    </row>
    <row r="513" spans="1:3" x14ac:dyDescent="0.35">
      <c r="A513" s="4">
        <v>44743</v>
      </c>
      <c r="B513" s="7">
        <f>VLOOKUP($A513,[4]BASE_M!$A:$AZ,MATCH(B$2,[4]BASE_M!$4:$4,0),FALSE)</f>
        <v>1.1419999999999999</v>
      </c>
      <c r="C513" s="7">
        <f t="shared" si="7"/>
        <v>1.2143333333333333</v>
      </c>
    </row>
    <row r="514" spans="1:3" x14ac:dyDescent="0.35">
      <c r="A514" s="4">
        <v>44774</v>
      </c>
      <c r="B514" s="7">
        <f>VLOOKUP($A514,[4]BASE_M!$A:$AZ,MATCH(B$2,[4]BASE_M!$4:$4,0),FALSE)</f>
        <v>1.1060000000000001</v>
      </c>
      <c r="C514" s="7">
        <f t="shared" si="7"/>
        <v>1.2506666666666666</v>
      </c>
    </row>
    <row r="515" spans="1:3" x14ac:dyDescent="0.35">
      <c r="A515" s="4">
        <v>44805</v>
      </c>
      <c r="B515" s="7">
        <f>VLOOKUP($A515,[4]BASE_M!$A:$AZ,MATCH(B$2,[4]BASE_M!$4:$4,0),FALSE)</f>
        <v>1.83</v>
      </c>
      <c r="C515" s="7">
        <f t="shared" si="7"/>
        <v>1.3593333333333335</v>
      </c>
    </row>
    <row r="516" spans="1:3" x14ac:dyDescent="0.35">
      <c r="A516" s="4">
        <v>44835</v>
      </c>
      <c r="B516" s="7">
        <f>VLOOKUP($A516,[4]BASE_M!$A:$AZ,MATCH(B$2,[4]BASE_M!$4:$4,0),FALSE)</f>
        <v>2.2029999999999998</v>
      </c>
      <c r="C516" s="7">
        <f t="shared" si="7"/>
        <v>1.7129999999999999</v>
      </c>
    </row>
    <row r="517" spans="1:3" x14ac:dyDescent="0.35">
      <c r="A517" s="4">
        <v>44866</v>
      </c>
      <c r="B517" s="7">
        <f>VLOOKUP($A517,[4]BASE_M!$A:$AZ,MATCH(B$2,[4]BASE_M!$4:$4,0),FALSE)</f>
        <v>2.0739999999999998</v>
      </c>
      <c r="C517" s="7">
        <f t="shared" si="7"/>
        <v>2.0356666666666663</v>
      </c>
    </row>
    <row r="518" spans="1:3" x14ac:dyDescent="0.35">
      <c r="A518" s="4">
        <v>44896</v>
      </c>
      <c r="B518" s="7">
        <f>VLOOKUP($A518,[4]BASE_M!$A:$AZ,MATCH(B$2,[4]BASE_M!$4:$4,0),FALSE)</f>
        <v>2.1339999999999999</v>
      </c>
      <c r="C518" s="7">
        <f t="shared" si="7"/>
        <v>2.137</v>
      </c>
    </row>
    <row r="519" spans="1:3" x14ac:dyDescent="0.35">
      <c r="A519" s="4">
        <v>44927</v>
      </c>
      <c r="B519" s="7">
        <f>VLOOKUP($A519,[4]BASE_M!$A:$AZ,MATCH(B$2,[4]BASE_M!$4:$4,0),FALSE)</f>
        <v>2.218</v>
      </c>
      <c r="C519" s="7">
        <f t="shared" ref="C519:C582" si="8">AVERAGE(B517:B519)</f>
        <v>2.1419999999999999</v>
      </c>
    </row>
    <row r="520" spans="1:3" x14ac:dyDescent="0.35">
      <c r="A520" s="4">
        <v>44958</v>
      </c>
      <c r="B520" s="7">
        <f>VLOOKUP($A520,[4]BASE_M!$A:$AZ,MATCH(B$2,[4]BASE_M!$4:$4,0),FALSE)</f>
        <v>2.41</v>
      </c>
      <c r="C520" s="7">
        <f t="shared" si="8"/>
        <v>2.254</v>
      </c>
    </row>
    <row r="521" spans="1:3" x14ac:dyDescent="0.35">
      <c r="A521" s="4">
        <v>44986</v>
      </c>
      <c r="B521" s="7">
        <f>VLOOKUP($A521,[4]BASE_M!$A:$AZ,MATCH(B$2,[4]BASE_M!$4:$4,0),FALSE)</f>
        <v>2.4</v>
      </c>
      <c r="C521" s="7">
        <f t="shared" si="8"/>
        <v>2.3426666666666667</v>
      </c>
    </row>
    <row r="522" spans="1:3" x14ac:dyDescent="0.35">
      <c r="A522" s="4">
        <v>45017</v>
      </c>
      <c r="B522" s="7">
        <f>VLOOKUP($A522,[4]BASE_M!$A:$AZ,MATCH(B$2,[4]BASE_M!$4:$4,0),FALSE)</f>
        <v>2.359</v>
      </c>
      <c r="C522" s="7">
        <f t="shared" si="8"/>
        <v>2.3896666666666668</v>
      </c>
    </row>
    <row r="523" spans="1:3" x14ac:dyDescent="0.35">
      <c r="A523" s="4">
        <v>45047</v>
      </c>
      <c r="B523" s="7">
        <f>VLOOKUP($A523,[4]BASE_M!$A:$AZ,MATCH(B$2,[4]BASE_M!$4:$4,0),FALSE)</f>
        <v>2.3540000000000001</v>
      </c>
      <c r="C523" s="7">
        <f t="shared" si="8"/>
        <v>2.371</v>
      </c>
    </row>
    <row r="524" spans="1:3" x14ac:dyDescent="0.35">
      <c r="A524" s="4">
        <v>45078</v>
      </c>
      <c r="B524" s="7">
        <f>VLOOKUP($A524,[4]BASE_M!$A:$AZ,MATCH(B$2,[4]BASE_M!$4:$4,0),FALSE)</f>
        <v>2.399</v>
      </c>
      <c r="C524" s="7">
        <f t="shared" si="8"/>
        <v>2.3706666666666667</v>
      </c>
    </row>
    <row r="525" spans="1:3" x14ac:dyDescent="0.35">
      <c r="A525" s="4">
        <v>45108</v>
      </c>
      <c r="B525" s="7">
        <f>VLOOKUP($A525,[4]BASE_M!$A:$AZ,MATCH(B$2,[4]BASE_M!$4:$4,0),FALSE)</f>
        <v>2.5030000000000001</v>
      </c>
      <c r="C525" s="7">
        <f t="shared" si="8"/>
        <v>2.4186666666666667</v>
      </c>
    </row>
    <row r="526" spans="1:3" x14ac:dyDescent="0.35">
      <c r="A526" s="4">
        <v>45139</v>
      </c>
      <c r="B526" s="7">
        <f>VLOOKUP($A526,[4]BASE_M!$A:$AZ,MATCH(B$2,[4]BASE_M!$4:$4,0),FALSE)</f>
        <v>2.5779999999999998</v>
      </c>
      <c r="C526" s="7">
        <f t="shared" si="8"/>
        <v>2.4933333333333336</v>
      </c>
    </row>
    <row r="527" spans="1:3" x14ac:dyDescent="0.35">
      <c r="A527" s="4">
        <v>45170</v>
      </c>
      <c r="B527" s="7">
        <f>VLOOKUP($A527,[4]BASE_M!$A:$AZ,MATCH(B$2,[4]BASE_M!$4:$4,0),FALSE)</f>
        <v>2.698</v>
      </c>
      <c r="C527" s="7">
        <f t="shared" si="8"/>
        <v>2.593</v>
      </c>
    </row>
    <row r="528" spans="1:3" x14ac:dyDescent="0.35">
      <c r="A528" s="4">
        <v>45200</v>
      </c>
      <c r="B528" s="7">
        <f>VLOOKUP($A528,[4]BASE_M!$A:$AZ,MATCH(B$2,[4]BASE_M!$4:$4,0),FALSE)</f>
        <v>2.8490000000000002</v>
      </c>
      <c r="C528" s="7">
        <f t="shared" si="8"/>
        <v>2.7083333333333335</v>
      </c>
    </row>
    <row r="529" spans="1:3" x14ac:dyDescent="0.35">
      <c r="A529" s="4">
        <v>45231</v>
      </c>
      <c r="B529" s="7">
        <f>VLOOKUP($A529,[4]BASE_M!$A:$AZ,MATCH(B$2,[4]BASE_M!$4:$4,0),FALSE)</f>
        <v>2.6160000000000001</v>
      </c>
      <c r="C529" s="7">
        <f t="shared" si="8"/>
        <v>2.7210000000000001</v>
      </c>
    </row>
    <row r="530" spans="1:3" x14ac:dyDescent="0.35">
      <c r="A530" s="4">
        <v>45261</v>
      </c>
      <c r="B530" s="7">
        <f>VLOOKUP($A530,[4]BASE_M!$A:$AZ,MATCH(B$2,[4]BASE_M!$4:$4,0),FALSE)</f>
        <v>2.1139999999999999</v>
      </c>
      <c r="C530" s="7">
        <f t="shared" si="8"/>
        <v>2.5263333333333331</v>
      </c>
    </row>
    <row r="531" spans="1:3" x14ac:dyDescent="0.35">
      <c r="A531" s="4">
        <v>45292</v>
      </c>
      <c r="B531" s="7">
        <f>VLOOKUP($A531,[4]BASE_M!$A:$AZ,MATCH(B$2,[4]BASE_M!$4:$4,0),FALSE)</f>
        <v>2.2210000000000001</v>
      </c>
      <c r="C531" s="7">
        <f t="shared" si="8"/>
        <v>2.3170000000000002</v>
      </c>
    </row>
    <row r="532" spans="1:3" x14ac:dyDescent="0.35">
      <c r="A532" s="4">
        <v>45323</v>
      </c>
      <c r="B532" s="7">
        <f>VLOOKUP($A532,[4]BASE_M!$A:$AZ,MATCH(B$2,[4]BASE_M!$4:$4,0),FALSE)</f>
        <v>2.367</v>
      </c>
      <c r="C532" s="7">
        <f t="shared" si="8"/>
        <v>2.234</v>
      </c>
    </row>
    <row r="533" spans="1:3" x14ac:dyDescent="0.35">
      <c r="A533" s="4">
        <v>45352</v>
      </c>
      <c r="B533" s="7">
        <f>VLOOKUP($A533,[4]BASE_M!$A:$AZ,MATCH(B$2,[4]BASE_M!$4:$4,0),FALSE)</f>
        <v>2.3610000000000002</v>
      </c>
      <c r="C533" s="7">
        <f t="shared" si="8"/>
        <v>2.3163333333333331</v>
      </c>
    </row>
    <row r="534" spans="1:3" x14ac:dyDescent="0.35">
      <c r="A534" s="4">
        <v>45383</v>
      </c>
      <c r="B534" s="7">
        <f>VLOOKUP($A534,[4]BASE_M!$A:$AZ,MATCH(B$2,[4]BASE_M!$4:$4,0),FALSE)</f>
        <v>2.472</v>
      </c>
      <c r="C534" s="7">
        <f t="shared" si="8"/>
        <v>2.4</v>
      </c>
    </row>
    <row r="535" spans="1:3" x14ac:dyDescent="0.35">
      <c r="A535" s="4">
        <v>45413</v>
      </c>
      <c r="B535" s="7">
        <f>VLOOKUP($A535,[4]BASE_M!$A:$AZ,MATCH(B$2,[4]BASE_M!$4:$4,0),FALSE)</f>
        <v>2.5339999999999998</v>
      </c>
      <c r="C535" s="7">
        <f t="shared" si="8"/>
        <v>2.4556666666666667</v>
      </c>
    </row>
    <row r="536" spans="1:3" x14ac:dyDescent="0.35">
      <c r="A536" s="4">
        <v>45444</v>
      </c>
      <c r="B536" s="7">
        <f>VLOOKUP($A536,[4]BASE_M!$A:$AZ,MATCH(B$2,[4]BASE_M!$4:$4,0),FALSE)</f>
        <v>2.4870000000000001</v>
      </c>
      <c r="C536" s="7">
        <f t="shared" si="8"/>
        <v>2.4976666666666669</v>
      </c>
    </row>
    <row r="537" spans="1:3" x14ac:dyDescent="0.35">
      <c r="A537" s="4">
        <v>45474</v>
      </c>
      <c r="B537" s="7">
        <f>VLOOKUP($A537,[4]BASE_M!$A:$AZ,MATCH(B$2,[4]BASE_M!$4:$4,0),FALSE)</f>
        <v>2.4780000000000002</v>
      </c>
      <c r="C537" s="7">
        <f t="shared" si="8"/>
        <v>2.4996666666666667</v>
      </c>
    </row>
    <row r="538" spans="1:3" x14ac:dyDescent="0.35">
      <c r="A538" s="4">
        <v>45505</v>
      </c>
      <c r="B538" s="7">
        <f>VLOOKUP($A538,[4]BASE_M!$A:$AZ,MATCH(B$2,[4]BASE_M!$4:$4,0),FALSE)</f>
        <v>2.2349999999999999</v>
      </c>
      <c r="C538" s="7">
        <f t="shared" si="8"/>
        <v>2.4</v>
      </c>
    </row>
    <row r="539" spans="1:3" x14ac:dyDescent="0.35">
      <c r="A539" s="4">
        <v>45536</v>
      </c>
      <c r="B539" s="7">
        <f>VLOOKUP($A539,[4]BASE_M!$A:$AZ,MATCH(B$2,[4]BASE_M!$4:$4,0),FALSE)</f>
        <v>2.177</v>
      </c>
      <c r="C539" s="7">
        <f t="shared" si="8"/>
        <v>2.2966666666666669</v>
      </c>
    </row>
    <row r="540" spans="1:3" x14ac:dyDescent="0.35">
      <c r="A540" s="4">
        <v>45566</v>
      </c>
      <c r="B540" s="7">
        <f>VLOOKUP($A540,[4]BASE_M!$A:$AZ,MATCH(B$2,[4]BASE_M!$4:$4,0),FALSE)</f>
        <v>2.2469999999999999</v>
      </c>
      <c r="C540" s="7">
        <f t="shared" si="8"/>
        <v>2.2196666666666665</v>
      </c>
    </row>
    <row r="541" spans="1:3" x14ac:dyDescent="0.35">
      <c r="A541" s="4">
        <v>45597</v>
      </c>
      <c r="B541" s="7">
        <f>VLOOKUP($A541,[4]BASE_M!$A:$AZ,MATCH(B$2,[4]BASE_M!$4:$4,0),FALSE)</f>
        <v>2.3149999999999999</v>
      </c>
      <c r="C541" s="7">
        <f t="shared" si="8"/>
        <v>2.2463333333333328</v>
      </c>
    </row>
    <row r="542" spans="1:3" x14ac:dyDescent="0.35">
      <c r="A542" s="4">
        <v>45627</v>
      </c>
      <c r="B542" s="7">
        <f>VLOOKUP($A542,[4]BASE_M!$A:$AZ,MATCH(B$2,[4]BASE_M!$4:$4,0),FALSE)</f>
        <v>2.2200000000000002</v>
      </c>
      <c r="C542" s="7">
        <f t="shared" si="8"/>
        <v>2.2606666666666668</v>
      </c>
    </row>
    <row r="543" spans="1:3" x14ac:dyDescent="0.35">
      <c r="A543" s="4">
        <v>45658</v>
      </c>
      <c r="B543" s="7">
        <f>VLOOKUP($A543,[4]BASE_M!$A:$AZ,MATCH(B$2,[4]BASE_M!$4:$4,0),FALSE)</f>
        <v>2.524</v>
      </c>
      <c r="C543" s="7">
        <f t="shared" si="8"/>
        <v>2.3530000000000002</v>
      </c>
    </row>
    <row r="544" spans="1:3" x14ac:dyDescent="0.35">
      <c r="A544" s="4">
        <v>45689</v>
      </c>
      <c r="B544" s="7">
        <f>VLOOKUP($A544,[4]BASE_M!$A:$AZ,MATCH(B$2,[4]BASE_M!$4:$4,0),FALSE)</f>
        <v>2.4369999999999998</v>
      </c>
      <c r="C544" s="7">
        <f t="shared" si="8"/>
        <v>2.3936666666666664</v>
      </c>
    </row>
    <row r="545" spans="1:3" x14ac:dyDescent="0.35">
      <c r="A545" s="4">
        <v>45717</v>
      </c>
      <c r="B545" s="7">
        <f>VLOOKUP($A545,[4]BASE_M!$A:$AZ,MATCH(B$2,[4]BASE_M!$4:$4,0),FALSE)</f>
        <v>2.7789999999999999</v>
      </c>
      <c r="C545" s="7">
        <f t="shared" si="8"/>
        <v>2.58</v>
      </c>
    </row>
    <row r="546" spans="1:3" x14ac:dyDescent="0.35">
      <c r="A546" s="4">
        <v>45748</v>
      </c>
      <c r="B546" s="7">
        <f>VLOOKUP($A546,[4]BASE_M!$A:$AZ,MATCH(B$2,[4]BASE_M!$4:$4,0),FALSE)</f>
        <v>2.5449999999999999</v>
      </c>
      <c r="C546" s="7">
        <f t="shared" si="8"/>
        <v>2.5869999999999997</v>
      </c>
    </row>
    <row r="547" spans="1:3" x14ac:dyDescent="0.35">
      <c r="A547" s="4">
        <v>45778</v>
      </c>
      <c r="B547" s="7">
        <f>VLOOKUP($A547,[4]BASE_M!$A:$AZ,MATCH(B$2,[4]BASE_M!$4:$4,0),FALSE)</f>
        <v>2.5760000000000001</v>
      </c>
      <c r="C547" s="7">
        <f t="shared" si="8"/>
        <v>2.6333333333333333</v>
      </c>
    </row>
    <row r="548" spans="1:3" x14ac:dyDescent="0.35">
      <c r="A548" s="4">
        <v>45809</v>
      </c>
      <c r="B548" s="7">
        <f>VLOOKUP($A548,[4]BASE_M!$A:$AZ,MATCH(B$2,[4]BASE_M!$4:$4,0),FALSE)</f>
        <v>2.5409999999999999</v>
      </c>
      <c r="C548" s="7">
        <f t="shared" si="8"/>
        <v>2.5540000000000003</v>
      </c>
    </row>
    <row r="549" spans="1:3" x14ac:dyDescent="0.35">
      <c r="A549" s="4">
        <v>45839</v>
      </c>
      <c r="B549" s="7">
        <f>VLOOKUP($A549,[4]BASE_M!$A:$AZ,MATCH(B$2,[4]BASE_M!$4:$4,0),FALSE)</f>
        <v>2.6720000000000002</v>
      </c>
      <c r="C549" s="7">
        <f t="shared" si="8"/>
        <v>2.5963333333333334</v>
      </c>
    </row>
    <row r="550" spans="1:3" x14ac:dyDescent="0.35">
      <c r="A550" s="4">
        <v>45870</v>
      </c>
      <c r="B550" s="7">
        <f>VLOOKUP($A550,[4]BASE_M!$A:$AZ,MATCH(B$2,[4]BASE_M!$4:$4,0),FALSE)</f>
        <v>2.706</v>
      </c>
      <c r="C550" s="7">
        <f t="shared" si="8"/>
        <v>2.6396666666666668</v>
      </c>
    </row>
    <row r="551" spans="1:3" x14ac:dyDescent="0.35">
      <c r="A551" s="4">
        <v>45901</v>
      </c>
      <c r="B551" s="7">
        <f>VLOOKUP($A551,[4]BASE_M!$A:$AZ,MATCH(B$2,[4]BASE_M!$4:$4,0),FALSE)</f>
        <v>2.7130000000000001</v>
      </c>
      <c r="C551" s="7">
        <f t="shared" si="8"/>
        <v>2.6970000000000005</v>
      </c>
    </row>
    <row r="552" spans="1:3" x14ac:dyDescent="0.35">
      <c r="A552" s="4">
        <v>45931</v>
      </c>
      <c r="B552" s="7">
        <f>VLOOKUP($A552,[4]BASE_M!$A:$AZ,MATCH(B$2,[4]BASE_M!$4:$4,0),FALSE)</f>
        <v>2.633</v>
      </c>
      <c r="C552" s="7">
        <f t="shared" si="8"/>
        <v>2.6839999999999997</v>
      </c>
    </row>
    <row r="553" spans="1:3" x14ac:dyDescent="0.35">
      <c r="A553" s="4">
        <v>45962</v>
      </c>
      <c r="B553" s="7">
        <f>VLOOKUP($A553,[4]BASE_M!$A:$AZ,MATCH(B$2,[4]BASE_M!$4:$4,0),FALSE)</f>
        <v>2.6819999999999999</v>
      </c>
      <c r="C553" s="7">
        <f t="shared" si="8"/>
        <v>2.6760000000000002</v>
      </c>
    </row>
    <row r="554" spans="1:3" x14ac:dyDescent="0.35">
      <c r="A554" s="4">
        <v>45992</v>
      </c>
      <c r="B554" s="7">
        <f>VLOOKUP($A554,[4]BASE_M!$A:$AZ,MATCH(B$2,[4]BASE_M!$4:$4,0),FALSE)</f>
        <v>2.8370000000000002</v>
      </c>
      <c r="C554" s="7">
        <f t="shared" si="8"/>
        <v>2.7173333333333329</v>
      </c>
    </row>
    <row r="555" spans="1:3" x14ac:dyDescent="0.35">
      <c r="A555" s="4">
        <v>46023</v>
      </c>
      <c r="B555" s="7">
        <f>VLOOKUP($A555,[4]BASE_M!$A:$AZ,MATCH(B$2,[4]BASE_M!$4:$4,0),FALSE)</f>
        <v>2.855</v>
      </c>
      <c r="C555" s="7">
        <f t="shared" si="8"/>
        <v>2.7913333333333337</v>
      </c>
    </row>
    <row r="556" spans="1:3" x14ac:dyDescent="0.35">
      <c r="A556" s="4">
        <v>46054</v>
      </c>
      <c r="B556" s="7">
        <f>VLOOKUP($A556,[4]BASE_M!$A:$AZ,MATCH(B$2,[4]BASE_M!$4:$4,0),FALSE)</f>
        <v>2.7949999999999999</v>
      </c>
      <c r="C556" s="7">
        <f t="shared" si="8"/>
        <v>2.8290000000000002</v>
      </c>
    </row>
    <row r="557" spans="1:3" x14ac:dyDescent="0.35">
      <c r="A557" s="4">
        <v>46082</v>
      </c>
      <c r="B557" s="7">
        <f>VLOOKUP($A557,[4]BASE_M!$A:$AZ,MATCH(B$2,[4]BASE_M!$4:$4,0),FALSE)</f>
        <v>2.8620000000000001</v>
      </c>
      <c r="C557" s="7">
        <f t="shared" si="8"/>
        <v>2.8373333333333335</v>
      </c>
    </row>
    <row r="558" spans="1:3" x14ac:dyDescent="0.35">
      <c r="A558" s="4">
        <v>46113</v>
      </c>
      <c r="B558" s="7">
        <f>VLOOKUP($A558,[4]BASE_M!$A:$AZ,MATCH(B$2,[4]BASE_M!$4:$4,0),FALSE)</f>
        <v>2.87</v>
      </c>
      <c r="C558" s="7">
        <f t="shared" si="8"/>
        <v>2.8423333333333338</v>
      </c>
    </row>
    <row r="559" spans="1:3" x14ac:dyDescent="0.35">
      <c r="A559" s="4">
        <v>46143</v>
      </c>
      <c r="B559" s="7">
        <f>VLOOKUP($A559,[4]BASE_M!$A:$AZ,MATCH(B$2,[4]BASE_M!$4:$4,0),FALSE)</f>
        <v>2.8769999999999998</v>
      </c>
      <c r="C559" s="7">
        <f t="shared" si="8"/>
        <v>2.8696666666666668</v>
      </c>
    </row>
    <row r="560" spans="1:3" x14ac:dyDescent="0.35">
      <c r="A560" s="4">
        <v>46174</v>
      </c>
      <c r="B560" s="7">
        <f>VLOOKUP($A560,[4]BASE_M!$A:$AZ,MATCH(B$2,[4]BASE_M!$4:$4,0),FALSE)</f>
        <v>2.8849999999999998</v>
      </c>
      <c r="C560" s="7">
        <f t="shared" si="8"/>
        <v>2.8773333333333331</v>
      </c>
    </row>
    <row r="561" spans="1:3" x14ac:dyDescent="0.35">
      <c r="A561" s="4">
        <v>46204</v>
      </c>
      <c r="B561" s="7">
        <f>VLOOKUP($A561,[4]BASE_M!$A:$AZ,MATCH(B$2,[4]BASE_M!$4:$4,0),FALSE)</f>
        <v>2.895</v>
      </c>
      <c r="C561" s="7">
        <f t="shared" si="8"/>
        <v>2.8856666666666668</v>
      </c>
    </row>
    <row r="562" spans="1:3" x14ac:dyDescent="0.35">
      <c r="A562" s="4">
        <v>46235</v>
      </c>
      <c r="B562" s="7">
        <f>VLOOKUP($A562,[4]BASE_M!$A:$AZ,MATCH(B$2,[4]BASE_M!$4:$4,0),FALSE)</f>
        <v>2.9049999999999998</v>
      </c>
      <c r="C562" s="7">
        <f t="shared" si="8"/>
        <v>2.8949999999999996</v>
      </c>
    </row>
    <row r="563" spans="1:3" x14ac:dyDescent="0.35">
      <c r="A563" s="4">
        <v>46266</v>
      </c>
      <c r="B563" s="7">
        <f>VLOOKUP($A563,[4]BASE_M!$A:$AZ,MATCH(B$2,[4]BASE_M!$4:$4,0),FALSE)</f>
        <v>2.915</v>
      </c>
      <c r="C563" s="7">
        <f t="shared" si="8"/>
        <v>2.9049999999999998</v>
      </c>
    </row>
    <row r="564" spans="1:3" x14ac:dyDescent="0.35">
      <c r="A564" s="4">
        <v>46296</v>
      </c>
      <c r="B564" s="7">
        <f>VLOOKUP($A564,[4]BASE_M!$A:$AZ,MATCH(B$2,[4]BASE_M!$4:$4,0),FALSE)</f>
        <v>2.9249999999999998</v>
      </c>
      <c r="C564" s="7">
        <f t="shared" si="8"/>
        <v>2.9150000000000005</v>
      </c>
    </row>
    <row r="565" spans="1:3" x14ac:dyDescent="0.35">
      <c r="A565" s="4">
        <v>46327</v>
      </c>
      <c r="B565" s="7">
        <f>VLOOKUP($A565,[4]BASE_M!$A:$AZ,MATCH(B$2,[4]BASE_M!$4:$4,0),FALSE)</f>
        <v>2.9350000000000001</v>
      </c>
      <c r="C565" s="7">
        <f t="shared" si="8"/>
        <v>2.9250000000000003</v>
      </c>
    </row>
    <row r="566" spans="1:3" x14ac:dyDescent="0.35">
      <c r="A566" s="4">
        <v>46357</v>
      </c>
      <c r="B566" s="7">
        <f>VLOOKUP($A566,[4]BASE_M!$A:$AZ,MATCH(B$2,[4]BASE_M!$4:$4,0),FALSE)</f>
        <v>2.9470000000000001</v>
      </c>
      <c r="C566" s="7">
        <f t="shared" si="8"/>
        <v>2.9356666666666662</v>
      </c>
    </row>
    <row r="567" spans="1:3" x14ac:dyDescent="0.35">
      <c r="A567" s="4">
        <v>46388</v>
      </c>
      <c r="B567" s="7">
        <f>VLOOKUP($A567,[4]BASE_M!$A:$AZ,MATCH(B$2,[4]BASE_M!$4:$4,0),FALSE)</f>
        <v>2.9569999999999999</v>
      </c>
      <c r="C567" s="7">
        <f t="shared" si="8"/>
        <v>2.946333333333333</v>
      </c>
    </row>
    <row r="568" spans="1:3" x14ac:dyDescent="0.35">
      <c r="A568" s="4">
        <v>46419</v>
      </c>
      <c r="B568" s="7">
        <f>VLOOKUP($A568,[4]BASE_M!$A:$AZ,MATCH(B$2,[4]BASE_M!$4:$4,0),FALSE)</f>
        <v>2.9670000000000001</v>
      </c>
      <c r="C568" s="7">
        <f t="shared" si="8"/>
        <v>2.9570000000000003</v>
      </c>
    </row>
    <row r="569" spans="1:3" x14ac:dyDescent="0.35">
      <c r="A569" s="4">
        <v>46447</v>
      </c>
      <c r="B569" s="7">
        <f>VLOOKUP($A569,[4]BASE_M!$A:$AZ,MATCH(B$2,[4]BASE_M!$4:$4,0),FALSE)</f>
        <v>2.9769999999999999</v>
      </c>
      <c r="C569" s="7">
        <f t="shared" si="8"/>
        <v>2.9670000000000001</v>
      </c>
    </row>
    <row r="570" spans="1:3" x14ac:dyDescent="0.35">
      <c r="A570" s="4">
        <v>46478</v>
      </c>
      <c r="B570" s="7">
        <f>VLOOKUP($A570,[4]BASE_M!$A:$AZ,MATCH(B$2,[4]BASE_M!$4:$4,0),FALSE)</f>
        <v>2.9870000000000001</v>
      </c>
      <c r="C570" s="7">
        <f t="shared" si="8"/>
        <v>2.9770000000000003</v>
      </c>
    </row>
    <row r="571" spans="1:3" x14ac:dyDescent="0.35">
      <c r="A571" s="4">
        <v>46508</v>
      </c>
      <c r="B571" s="7">
        <f>VLOOKUP($A571,[4]BASE_M!$A:$AZ,MATCH(B$2,[4]BASE_M!$4:$4,0),FALSE)</f>
        <v>2.9940000000000002</v>
      </c>
      <c r="C571" s="7">
        <f t="shared" si="8"/>
        <v>2.9860000000000002</v>
      </c>
    </row>
    <row r="572" spans="1:3" x14ac:dyDescent="0.35">
      <c r="A572" s="4">
        <v>46539</v>
      </c>
      <c r="B572" s="7">
        <f>VLOOKUP($A572,[4]BASE_M!$A:$AZ,MATCH(B$2,[4]BASE_M!$4:$4,0),FALSE)</f>
        <v>3.0019999999999998</v>
      </c>
      <c r="C572" s="7">
        <f t="shared" si="8"/>
        <v>2.9943333333333335</v>
      </c>
    </row>
    <row r="573" spans="1:3" x14ac:dyDescent="0.35">
      <c r="A573" s="4">
        <v>46569</v>
      </c>
      <c r="B573" s="7">
        <f>VLOOKUP($A573,[4]BASE_M!$A:$AZ,MATCH(B$2,[4]BASE_M!$4:$4,0),FALSE)</f>
        <v>3.0089999999999999</v>
      </c>
      <c r="C573" s="7">
        <f t="shared" si="8"/>
        <v>3.0016666666666669</v>
      </c>
    </row>
    <row r="574" spans="1:3" x14ac:dyDescent="0.35">
      <c r="A574" s="4">
        <v>46600</v>
      </c>
      <c r="B574" s="7">
        <f>VLOOKUP($A574,[4]BASE_M!$A:$AZ,MATCH(B$2,[4]BASE_M!$4:$4,0),FALSE)</f>
        <v>3.0169999999999999</v>
      </c>
      <c r="C574" s="7">
        <f t="shared" si="8"/>
        <v>3.0093333333333327</v>
      </c>
    </row>
    <row r="575" spans="1:3" x14ac:dyDescent="0.35">
      <c r="A575" s="4">
        <v>46631</v>
      </c>
      <c r="B575" s="7">
        <f>VLOOKUP($A575,[4]BASE_M!$A:$AZ,MATCH(B$2,[4]BASE_M!$4:$4,0),FALSE)</f>
        <v>3.024</v>
      </c>
      <c r="C575" s="7">
        <f t="shared" si="8"/>
        <v>3.0166666666666671</v>
      </c>
    </row>
    <row r="576" spans="1:3" x14ac:dyDescent="0.35">
      <c r="A576" s="4">
        <v>46661</v>
      </c>
      <c r="B576" s="7">
        <f>VLOOKUP($A576,[4]BASE_M!$A:$AZ,MATCH(B$2,[4]BASE_M!$4:$4,0),FALSE)</f>
        <v>3.032</v>
      </c>
      <c r="C576" s="7">
        <f t="shared" si="8"/>
        <v>3.0243333333333333</v>
      </c>
    </row>
    <row r="577" spans="1:3" x14ac:dyDescent="0.35">
      <c r="A577" s="4">
        <v>46692</v>
      </c>
      <c r="B577" s="7">
        <f>VLOOKUP($A577,[4]BASE_M!$A:$AZ,MATCH(B$2,[4]BASE_M!$4:$4,0),FALSE)</f>
        <v>3.0390000000000001</v>
      </c>
      <c r="C577" s="7">
        <f t="shared" si="8"/>
        <v>3.0316666666666667</v>
      </c>
    </row>
    <row r="578" spans="1:3" x14ac:dyDescent="0.35">
      <c r="A578" s="4">
        <v>46722</v>
      </c>
      <c r="B578" s="7">
        <f>VLOOKUP($A578,[4]BASE_M!$A:$AZ,MATCH(B$2,[4]BASE_M!$4:$4,0),FALSE)</f>
        <v>3.0470000000000002</v>
      </c>
      <c r="C578" s="7">
        <f t="shared" si="8"/>
        <v>3.0393333333333334</v>
      </c>
    </row>
    <row r="579" spans="1:3" x14ac:dyDescent="0.35">
      <c r="A579" s="4">
        <v>46753</v>
      </c>
      <c r="B579" s="7">
        <f>VLOOKUP($A579,[4]BASE_M!$A:$AZ,MATCH(B$2,[4]BASE_M!$4:$4,0),FALSE)</f>
        <v>3.0569999999999999</v>
      </c>
      <c r="C579" s="7">
        <f t="shared" si="8"/>
        <v>3.0476666666666667</v>
      </c>
    </row>
    <row r="580" spans="1:3" x14ac:dyDescent="0.35">
      <c r="A580" s="4">
        <v>46784</v>
      </c>
      <c r="B580" s="7">
        <f>VLOOKUP($A580,[4]BASE_M!$A:$AZ,MATCH(B$2,[4]BASE_M!$4:$4,0),FALSE)</f>
        <v>3.0670000000000002</v>
      </c>
      <c r="C580" s="7">
        <f t="shared" si="8"/>
        <v>3.0569999999999999</v>
      </c>
    </row>
    <row r="581" spans="1:3" x14ac:dyDescent="0.35">
      <c r="A581" s="4">
        <v>46813</v>
      </c>
      <c r="B581" s="7">
        <f>VLOOKUP($A581,[4]BASE_M!$A:$AZ,MATCH(B$2,[4]BASE_M!$4:$4,0),FALSE)</f>
        <v>3.077</v>
      </c>
      <c r="C581" s="7">
        <f t="shared" si="8"/>
        <v>3.0670000000000002</v>
      </c>
    </row>
    <row r="582" spans="1:3" x14ac:dyDescent="0.35">
      <c r="A582" s="4">
        <v>46844</v>
      </c>
      <c r="B582" s="7">
        <f>VLOOKUP($A582,[4]BASE_M!$A:$AZ,MATCH(B$2,[4]BASE_M!$4:$4,0),FALSE)</f>
        <v>3.09</v>
      </c>
      <c r="C582" s="7">
        <f t="shared" si="8"/>
        <v>3.0779999999999998</v>
      </c>
    </row>
    <row r="583" spans="1:3" x14ac:dyDescent="0.35">
      <c r="A583" s="4">
        <v>46874</v>
      </c>
      <c r="B583" s="7">
        <f>VLOOKUP($A583,[4]BASE_M!$A:$AZ,MATCH(B$2,[4]BASE_M!$4:$4,0),FALSE)</f>
        <v>3.1019999999999999</v>
      </c>
      <c r="C583" s="7">
        <f t="shared" ref="C583:C614" si="9">AVERAGE(B581:B583)</f>
        <v>3.0896666666666666</v>
      </c>
    </row>
    <row r="584" spans="1:3" x14ac:dyDescent="0.35">
      <c r="A584" s="4">
        <v>46905</v>
      </c>
      <c r="B584" s="7">
        <f>VLOOKUP($A584,[4]BASE_M!$A:$AZ,MATCH(B$2,[4]BASE_M!$4:$4,0),FALSE)</f>
        <v>3.1150000000000002</v>
      </c>
      <c r="C584" s="7">
        <f t="shared" si="9"/>
        <v>3.1023333333333336</v>
      </c>
    </row>
    <row r="585" spans="1:3" x14ac:dyDescent="0.35">
      <c r="A585" s="4">
        <v>46935</v>
      </c>
      <c r="B585" s="7">
        <f>VLOOKUP($A585,[4]BASE_M!$A:$AZ,MATCH(B$2,[4]BASE_M!$4:$4,0),FALSE)</f>
        <v>3.1269999999999998</v>
      </c>
      <c r="C585" s="7">
        <f t="shared" si="9"/>
        <v>3.1146666666666669</v>
      </c>
    </row>
    <row r="586" spans="1:3" x14ac:dyDescent="0.35">
      <c r="A586" s="4">
        <v>46966</v>
      </c>
      <c r="B586" s="7">
        <f>VLOOKUP($A586,[4]BASE_M!$A:$AZ,MATCH(B$2,[4]BASE_M!$4:$4,0),FALSE)</f>
        <v>3.14</v>
      </c>
      <c r="C586" s="7">
        <f t="shared" si="9"/>
        <v>3.1273333333333331</v>
      </c>
    </row>
    <row r="587" spans="1:3" x14ac:dyDescent="0.35">
      <c r="A587" s="4">
        <v>46997</v>
      </c>
      <c r="B587" s="7">
        <f>VLOOKUP($A587,[4]BASE_M!$A:$AZ,MATCH(B$2,[4]BASE_M!$4:$4,0),FALSE)</f>
        <v>3.1520000000000001</v>
      </c>
      <c r="C587" s="7">
        <f t="shared" si="9"/>
        <v>3.1396666666666668</v>
      </c>
    </row>
    <row r="588" spans="1:3" x14ac:dyDescent="0.35">
      <c r="A588" s="4">
        <v>47027</v>
      </c>
      <c r="B588" s="7">
        <f>VLOOKUP($A588,[4]BASE_M!$A:$AZ,MATCH(B$2,[4]BASE_M!$4:$4,0),FALSE)</f>
        <v>3.165</v>
      </c>
      <c r="C588" s="7">
        <f t="shared" si="9"/>
        <v>3.1523333333333334</v>
      </c>
    </row>
    <row r="589" spans="1:3" x14ac:dyDescent="0.35">
      <c r="A589" s="4">
        <v>47058</v>
      </c>
      <c r="B589" s="7">
        <f>VLOOKUP($A589,[4]BASE_M!$A:$AZ,MATCH(B$2,[4]BASE_M!$4:$4,0),FALSE)</f>
        <v>3.18</v>
      </c>
      <c r="C589" s="7">
        <f t="shared" si="9"/>
        <v>3.1656666666666666</v>
      </c>
    </row>
    <row r="590" spans="1:3" x14ac:dyDescent="0.35">
      <c r="A590" s="4">
        <v>47088</v>
      </c>
      <c r="B590" s="7">
        <f>VLOOKUP($A590,[4]BASE_M!$A:$AZ,MATCH(B$2,[4]BASE_M!$4:$4,0),FALSE)</f>
        <v>3.2</v>
      </c>
      <c r="C590" s="7">
        <f t="shared" si="9"/>
        <v>3.1816666666666671</v>
      </c>
    </row>
    <row r="591" spans="1:3" x14ac:dyDescent="0.35">
      <c r="A591" s="4">
        <v>47119</v>
      </c>
      <c r="B591" s="7">
        <f>VLOOKUP($A591,[4]BASE_M!$A:$AZ,MATCH(B$2,[4]BASE_M!$4:$4,0),FALSE)</f>
        <v>3.23</v>
      </c>
      <c r="C591" s="7">
        <f t="shared" si="9"/>
        <v>3.2033333333333336</v>
      </c>
    </row>
    <row r="592" spans="1:3" x14ac:dyDescent="0.35">
      <c r="A592" s="4">
        <v>47150</v>
      </c>
      <c r="B592" s="7">
        <f>VLOOKUP($A592,[4]BASE_M!$A:$AZ,MATCH(B$2,[4]BASE_M!$4:$4,0),FALSE)</f>
        <v>3.25</v>
      </c>
      <c r="C592" s="7">
        <f t="shared" si="9"/>
        <v>3.2266666666666666</v>
      </c>
    </row>
    <row r="593" spans="1:3" x14ac:dyDescent="0.35">
      <c r="A593" s="4">
        <v>47178</v>
      </c>
      <c r="B593" s="7">
        <f>VLOOKUP($A593,[4]BASE_M!$A:$AZ,MATCH(B$2,[4]BASE_M!$4:$4,0),FALSE)</f>
        <v>3.25</v>
      </c>
      <c r="C593" s="7">
        <f t="shared" si="9"/>
        <v>3.2433333333333336</v>
      </c>
    </row>
    <row r="594" spans="1:3" x14ac:dyDescent="0.35">
      <c r="A594" s="4">
        <v>47209</v>
      </c>
      <c r="B594" s="7">
        <f>VLOOKUP($A594,[4]BASE_M!$A:$AZ,MATCH(B$2,[4]BASE_M!$4:$4,0),FALSE)</f>
        <v>3.25</v>
      </c>
      <c r="C594" s="7">
        <f t="shared" si="9"/>
        <v>3.25</v>
      </c>
    </row>
    <row r="595" spans="1:3" x14ac:dyDescent="0.35">
      <c r="A595" s="4">
        <v>47239</v>
      </c>
      <c r="B595" s="7">
        <f>VLOOKUP($A595,[4]BASE_M!$A:$AZ,MATCH(B$2,[4]BASE_M!$4:$4,0),FALSE)</f>
        <v>3.25</v>
      </c>
      <c r="C595" s="7">
        <f t="shared" si="9"/>
        <v>3.25</v>
      </c>
    </row>
    <row r="596" spans="1:3" x14ac:dyDescent="0.35">
      <c r="A596" s="4">
        <v>47270</v>
      </c>
      <c r="B596" s="7">
        <f>VLOOKUP($A596,[4]BASE_M!$A:$AZ,MATCH(B$2,[4]BASE_M!$4:$4,0),FALSE)</f>
        <v>3.25</v>
      </c>
      <c r="C596" s="7">
        <f t="shared" si="9"/>
        <v>3.25</v>
      </c>
    </row>
    <row r="597" spans="1:3" x14ac:dyDescent="0.35">
      <c r="A597" s="4">
        <v>47300</v>
      </c>
      <c r="B597" s="7">
        <f>VLOOKUP($A597,[4]BASE_M!$A:$AZ,MATCH(B$2,[4]BASE_M!$4:$4,0),FALSE)</f>
        <v>3.25</v>
      </c>
      <c r="C597" s="7">
        <f t="shared" si="9"/>
        <v>3.25</v>
      </c>
    </row>
    <row r="598" spans="1:3" x14ac:dyDescent="0.35">
      <c r="A598" s="4">
        <v>47331</v>
      </c>
      <c r="B598" s="7">
        <f>VLOOKUP($A598,[4]BASE_M!$A:$AZ,MATCH(B$2,[4]BASE_M!$4:$4,0),FALSE)</f>
        <v>3.25</v>
      </c>
      <c r="C598" s="7">
        <f t="shared" si="9"/>
        <v>3.25</v>
      </c>
    </row>
    <row r="599" spans="1:3" x14ac:dyDescent="0.35">
      <c r="A599" s="4">
        <v>47362</v>
      </c>
      <c r="B599" s="7">
        <f>VLOOKUP($A599,[4]BASE_M!$A:$AZ,MATCH(B$2,[4]BASE_M!$4:$4,0),FALSE)</f>
        <v>3.25</v>
      </c>
      <c r="C599" s="7">
        <f t="shared" si="9"/>
        <v>3.25</v>
      </c>
    </row>
    <row r="600" spans="1:3" x14ac:dyDescent="0.35">
      <c r="A600" s="4">
        <v>47392</v>
      </c>
      <c r="B600" s="7">
        <f>VLOOKUP($A600,[4]BASE_M!$A:$AZ,MATCH(B$2,[4]BASE_M!$4:$4,0),FALSE)</f>
        <v>3.25</v>
      </c>
      <c r="C600" s="7">
        <f t="shared" si="9"/>
        <v>3.25</v>
      </c>
    </row>
    <row r="601" spans="1:3" x14ac:dyDescent="0.35">
      <c r="A601" s="4">
        <v>47423</v>
      </c>
      <c r="B601" s="7">
        <f>VLOOKUP($A601,[4]BASE_M!$A:$AZ,MATCH(B$2,[4]BASE_M!$4:$4,0),FALSE)</f>
        <v>3.25</v>
      </c>
      <c r="C601" s="7">
        <f t="shared" si="9"/>
        <v>3.25</v>
      </c>
    </row>
    <row r="602" spans="1:3" x14ac:dyDescent="0.35">
      <c r="A602" s="4">
        <v>47453</v>
      </c>
      <c r="B602" s="7">
        <f>VLOOKUP($A602,[4]BASE_M!$A:$AZ,MATCH(B$2,[4]BASE_M!$4:$4,0),FALSE)</f>
        <v>3.25</v>
      </c>
      <c r="C602" s="7">
        <f t="shared" si="9"/>
        <v>3.25</v>
      </c>
    </row>
    <row r="603" spans="1:3" x14ac:dyDescent="0.35">
      <c r="A603" s="4">
        <v>47484</v>
      </c>
      <c r="B603" s="7">
        <f>VLOOKUP($A603,[4]BASE_M!$A:$AZ,MATCH(B$2,[4]BASE_M!$4:$4,0),FALSE)</f>
        <v>3.25</v>
      </c>
      <c r="C603" s="7">
        <f t="shared" si="9"/>
        <v>3.25</v>
      </c>
    </row>
    <row r="604" spans="1:3" x14ac:dyDescent="0.35">
      <c r="A604" s="4">
        <v>47515</v>
      </c>
      <c r="B604" s="7">
        <f>VLOOKUP($A604,[4]BASE_M!$A:$AZ,MATCH(B$2,[4]BASE_M!$4:$4,0),FALSE)</f>
        <v>3.25</v>
      </c>
      <c r="C604" s="7">
        <f t="shared" si="9"/>
        <v>3.25</v>
      </c>
    </row>
    <row r="605" spans="1:3" x14ac:dyDescent="0.35">
      <c r="A605" s="4">
        <v>47543</v>
      </c>
      <c r="B605" s="7">
        <f>VLOOKUP($A605,[4]BASE_M!$A:$AZ,MATCH(B$2,[4]BASE_M!$4:$4,0),FALSE)</f>
        <v>3.25</v>
      </c>
      <c r="C605" s="7">
        <f t="shared" si="9"/>
        <v>3.25</v>
      </c>
    </row>
    <row r="606" spans="1:3" x14ac:dyDescent="0.35">
      <c r="A606" s="4">
        <v>47574</v>
      </c>
      <c r="B606" s="7">
        <f>VLOOKUP($A606,[4]BASE_M!$A:$AZ,MATCH(B$2,[4]BASE_M!$4:$4,0),FALSE)</f>
        <v>3.25</v>
      </c>
      <c r="C606" s="7">
        <f t="shared" si="9"/>
        <v>3.25</v>
      </c>
    </row>
    <row r="607" spans="1:3" x14ac:dyDescent="0.35">
      <c r="A607" s="4">
        <v>47604</v>
      </c>
      <c r="B607" s="7">
        <f>VLOOKUP($A607,[4]BASE_M!$A:$AZ,MATCH(B$2,[4]BASE_M!$4:$4,0),FALSE)</f>
        <v>3.25</v>
      </c>
      <c r="C607" s="7">
        <f t="shared" si="9"/>
        <v>3.25</v>
      </c>
    </row>
    <row r="608" spans="1:3" x14ac:dyDescent="0.35">
      <c r="A608" s="4">
        <v>47635</v>
      </c>
      <c r="B608" s="7">
        <f>VLOOKUP($A608,[4]BASE_M!$A:$AZ,MATCH(B$2,[4]BASE_M!$4:$4,0),FALSE)</f>
        <v>3.25</v>
      </c>
      <c r="C608" s="7">
        <f t="shared" si="9"/>
        <v>3.25</v>
      </c>
    </row>
    <row r="609" spans="1:3" x14ac:dyDescent="0.35">
      <c r="A609" s="4">
        <v>47665</v>
      </c>
      <c r="B609" s="7">
        <f>VLOOKUP($A609,[4]BASE_M!$A:$AZ,MATCH(B$2,[4]BASE_M!$4:$4,0),FALSE)</f>
        <v>3.25</v>
      </c>
      <c r="C609" s="7">
        <f t="shared" si="9"/>
        <v>3.25</v>
      </c>
    </row>
    <row r="610" spans="1:3" x14ac:dyDescent="0.35">
      <c r="A610" s="4">
        <v>47696</v>
      </c>
      <c r="B610" s="7">
        <f>VLOOKUP($A610,[4]BASE_M!$A:$AZ,MATCH(B$2,[4]BASE_M!$4:$4,0),FALSE)</f>
        <v>3.25</v>
      </c>
      <c r="C610" s="7">
        <f t="shared" si="9"/>
        <v>3.25</v>
      </c>
    </row>
    <row r="611" spans="1:3" x14ac:dyDescent="0.35">
      <c r="A611" s="4">
        <v>47727</v>
      </c>
      <c r="B611" s="7">
        <f>VLOOKUP($A611,[4]BASE_M!$A:$AZ,MATCH(B$2,[4]BASE_M!$4:$4,0),FALSE)</f>
        <v>3.25</v>
      </c>
      <c r="C611" s="7">
        <f t="shared" si="9"/>
        <v>3.25</v>
      </c>
    </row>
    <row r="612" spans="1:3" x14ac:dyDescent="0.35">
      <c r="A612" s="4">
        <v>47757</v>
      </c>
      <c r="B612" s="7">
        <f>VLOOKUP($A612,[4]BASE_M!$A:$AZ,MATCH(B$2,[4]BASE_M!$4:$4,0),FALSE)</f>
        <v>3.25</v>
      </c>
      <c r="C612" s="7">
        <f t="shared" si="9"/>
        <v>3.25</v>
      </c>
    </row>
    <row r="613" spans="1:3" x14ac:dyDescent="0.35">
      <c r="A613" s="4">
        <v>47788</v>
      </c>
      <c r="B613" s="7">
        <f>VLOOKUP($A613,[4]BASE_M!$A:$AZ,MATCH(B$2,[4]BASE_M!$4:$4,0),FALSE)</f>
        <v>3.25</v>
      </c>
      <c r="C613" s="7">
        <f t="shared" si="9"/>
        <v>3.25</v>
      </c>
    </row>
    <row r="614" spans="1:3" x14ac:dyDescent="0.35">
      <c r="A614" s="4">
        <v>47818</v>
      </c>
      <c r="B614" s="7">
        <f>VLOOKUP($A614,[4]BASE_M!$A:$AZ,MATCH(B$2,[4]BASE_M!$4:$4,0),FALSE)</f>
        <v>3.25</v>
      </c>
      <c r="C614" s="7">
        <f t="shared" si="9"/>
        <v>3.25</v>
      </c>
    </row>
    <row r="615" spans="1:3" x14ac:dyDescent="0.35">
      <c r="A615" s="4"/>
    </row>
    <row r="616" spans="1:3" x14ac:dyDescent="0.35">
      <c r="A616" s="4"/>
    </row>
    <row r="617" spans="1:3" x14ac:dyDescent="0.35">
      <c r="A617" s="4"/>
    </row>
    <row r="618" spans="1:3" x14ac:dyDescent="0.35">
      <c r="A618" s="4"/>
    </row>
    <row r="619" spans="1:3" x14ac:dyDescent="0.35">
      <c r="A619" s="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86"/>
  <sheetViews>
    <sheetView showGridLines="0" workbookViewId="0">
      <pane xSplit="1" ySplit="2" topLeftCell="B170" activePane="bottomRight" state="frozen"/>
      <selection pane="topRight" activeCell="B1" sqref="B1"/>
      <selection pane="bottomLeft" activeCell="A3" sqref="A3"/>
      <selection pane="bottomRight" activeCell="F190" sqref="F190"/>
    </sheetView>
  </sheetViews>
  <sheetFormatPr baseColWidth="10" defaultRowHeight="14.5" x14ac:dyDescent="0.35"/>
  <cols>
    <col min="2" max="2" width="15.453125" bestFit="1" customWidth="1"/>
  </cols>
  <sheetData>
    <row r="1" spans="1:2" x14ac:dyDescent="0.35">
      <c r="B1" s="5" t="s">
        <v>583</v>
      </c>
    </row>
    <row r="2" spans="1:2" x14ac:dyDescent="0.35">
      <c r="B2" s="5" t="s">
        <v>586</v>
      </c>
    </row>
    <row r="3" spans="1:2" x14ac:dyDescent="0.35">
      <c r="A3" s="4">
        <v>29281</v>
      </c>
      <c r="B3" s="7"/>
    </row>
    <row r="4" spans="1:2" x14ac:dyDescent="0.35">
      <c r="A4" s="4">
        <v>29373</v>
      </c>
      <c r="B4" s="7">
        <f>VLOOKUP($A4,Mater_M!A:AR,3,FALSE)</f>
        <v>8.711333333333334</v>
      </c>
    </row>
    <row r="5" spans="1:2" x14ac:dyDescent="0.35">
      <c r="A5" s="4">
        <v>29465</v>
      </c>
      <c r="B5" s="7">
        <f>VLOOKUP($A5,Mater_M!A:AR,3,FALSE)</f>
        <v>7.9889999999999999</v>
      </c>
    </row>
    <row r="6" spans="1:2" x14ac:dyDescent="0.35">
      <c r="A6" s="4">
        <v>29556</v>
      </c>
      <c r="B6" s="7">
        <f>VLOOKUP($A6,Mater_M!A:AR,3,FALSE)</f>
        <v>8.6420000000000012</v>
      </c>
    </row>
    <row r="7" spans="1:2" x14ac:dyDescent="0.35">
      <c r="A7" s="4">
        <v>29646</v>
      </c>
      <c r="B7" s="7">
        <f>VLOOKUP($A7,Mater_M!A:AR,3,FALSE)</f>
        <v>9.6076666666666668</v>
      </c>
    </row>
    <row r="8" spans="1:2" x14ac:dyDescent="0.35">
      <c r="A8" s="4">
        <v>29738</v>
      </c>
      <c r="B8" s="7">
        <f>VLOOKUP($A8,Mater_M!A:AR,3,FALSE)</f>
        <v>10.304333333333332</v>
      </c>
    </row>
    <row r="9" spans="1:2" x14ac:dyDescent="0.35">
      <c r="A9" s="4">
        <v>29830</v>
      </c>
      <c r="B9" s="7">
        <f>VLOOKUP($A9,Mater_M!A:AR,3,FALSE)</f>
        <v>10.558666666666667</v>
      </c>
    </row>
    <row r="10" spans="1:2" x14ac:dyDescent="0.35">
      <c r="A10" s="4">
        <v>29921</v>
      </c>
      <c r="B10" s="7">
        <f>VLOOKUP($A10,Mater_M!A:AR,3,FALSE)</f>
        <v>9.9646666666666661</v>
      </c>
    </row>
    <row r="11" spans="1:2" x14ac:dyDescent="0.35">
      <c r="A11" s="4">
        <v>30011</v>
      </c>
      <c r="B11" s="7">
        <f>VLOOKUP($A11,Mater_M!A:AR,3,FALSE)</f>
        <v>9.6733333333333338</v>
      </c>
    </row>
    <row r="12" spans="1:2" x14ac:dyDescent="0.35">
      <c r="A12" s="4">
        <v>30103</v>
      </c>
      <c r="B12" s="7">
        <f>VLOOKUP($A12,Mater_M!A:AR,3,FALSE)</f>
        <v>8.9833333333333325</v>
      </c>
    </row>
    <row r="13" spans="1:2" x14ac:dyDescent="0.35">
      <c r="A13" s="4">
        <v>30195</v>
      </c>
      <c r="B13" s="7">
        <f>VLOOKUP($A13,Mater_M!A:AR,3,FALSE)</f>
        <v>8.9873333333333338</v>
      </c>
    </row>
    <row r="14" spans="1:2" x14ac:dyDescent="0.35">
      <c r="A14" s="4">
        <v>30286</v>
      </c>
      <c r="B14" s="7">
        <f>VLOOKUP($A14,Mater_M!A:AR,3,FALSE)</f>
        <v>8.2193333333333332</v>
      </c>
    </row>
    <row r="15" spans="1:2" x14ac:dyDescent="0.35">
      <c r="A15" s="4">
        <v>30376</v>
      </c>
      <c r="B15" s="7">
        <f>VLOOKUP($A15,Mater_M!A:AR,3,FALSE)</f>
        <v>7.6146666666666674</v>
      </c>
    </row>
    <row r="16" spans="1:2" x14ac:dyDescent="0.35">
      <c r="A16" s="4">
        <v>30468</v>
      </c>
      <c r="B16" s="7">
        <f>VLOOKUP($A16,Mater_M!A:AR,3,FALSE)</f>
        <v>7.7703333333333333</v>
      </c>
    </row>
    <row r="17" spans="1:2" x14ac:dyDescent="0.35">
      <c r="A17" s="4">
        <v>30560</v>
      </c>
      <c r="B17" s="7">
        <f>VLOOKUP($A17,Mater_M!A:AR,3,FALSE)</f>
        <v>8.3609999999999989</v>
      </c>
    </row>
    <row r="18" spans="1:2" x14ac:dyDescent="0.35">
      <c r="A18" s="4">
        <v>30651</v>
      </c>
      <c r="B18" s="7">
        <f>VLOOKUP($A18,Mater_M!A:AR,3,FALSE)</f>
        <v>8.3263333333333343</v>
      </c>
    </row>
    <row r="19" spans="1:2" x14ac:dyDescent="0.35">
      <c r="A19" s="4">
        <v>30742</v>
      </c>
      <c r="B19" s="7">
        <f>VLOOKUP($A19,Mater_M!A:AR,3,FALSE)</f>
        <v>8.2333333333333343</v>
      </c>
    </row>
    <row r="20" spans="1:2" x14ac:dyDescent="0.35">
      <c r="A20" s="4">
        <v>30834</v>
      </c>
      <c r="B20" s="7">
        <f>VLOOKUP($A20,Mater_M!A:AR,3,FALSE)</f>
        <v>8.1880000000000006</v>
      </c>
    </row>
    <row r="21" spans="1:2" x14ac:dyDescent="0.35">
      <c r="A21" s="4">
        <v>30926</v>
      </c>
      <c r="B21" s="7">
        <f>VLOOKUP($A21,Mater_M!A:AR,3,FALSE)</f>
        <v>8.0836666666666677</v>
      </c>
    </row>
    <row r="22" spans="1:2" x14ac:dyDescent="0.35">
      <c r="A22" s="4">
        <v>31017</v>
      </c>
      <c r="B22" s="7">
        <f>VLOOKUP($A22,Mater_M!A:AR,3,FALSE)</f>
        <v>7.29</v>
      </c>
    </row>
    <row r="23" spans="1:2" x14ac:dyDescent="0.35">
      <c r="A23" s="4">
        <v>31107</v>
      </c>
      <c r="B23" s="7">
        <f>VLOOKUP($A23,Mater_M!A:AR,3,FALSE)</f>
        <v>7.4443333333333328</v>
      </c>
    </row>
    <row r="24" spans="1:2" x14ac:dyDescent="0.35">
      <c r="A24" s="4">
        <v>31199</v>
      </c>
      <c r="B24" s="7">
        <f>VLOOKUP($A24,Mater_M!A:AR,3,FALSE)</f>
        <v>7.1856666666666662</v>
      </c>
    </row>
    <row r="25" spans="1:2" x14ac:dyDescent="0.35">
      <c r="A25" s="4">
        <v>31291</v>
      </c>
      <c r="B25" s="7">
        <f>VLOOKUP($A25,Mater_M!A:AR,3,FALSE)</f>
        <v>6.6159999999999997</v>
      </c>
    </row>
    <row r="26" spans="1:2" x14ac:dyDescent="0.35">
      <c r="A26" s="4">
        <v>31382</v>
      </c>
      <c r="B26" s="7">
        <f>VLOOKUP($A26,Mater_M!A:AR,3,FALSE)</f>
        <v>6.5403333333333329</v>
      </c>
    </row>
    <row r="27" spans="1:2" x14ac:dyDescent="0.35">
      <c r="A27" s="4">
        <v>31472</v>
      </c>
      <c r="B27" s="7">
        <f>VLOOKUP($A27,Mater_M!A:AR,3,FALSE)</f>
        <v>6.0949999999999998</v>
      </c>
    </row>
    <row r="28" spans="1:2" x14ac:dyDescent="0.35">
      <c r="A28" s="4">
        <v>31564</v>
      </c>
      <c r="B28" s="7">
        <f>VLOOKUP($A28,Mater_M!A:AR,3,FALSE)</f>
        <v>5.6593333333333335</v>
      </c>
    </row>
    <row r="29" spans="1:2" x14ac:dyDescent="0.35">
      <c r="A29" s="4">
        <v>31656</v>
      </c>
      <c r="B29" s="7">
        <f>VLOOKUP($A29,Mater_M!A:AR,3,FALSE)</f>
        <v>5.730999999999999</v>
      </c>
    </row>
    <row r="30" spans="1:2" x14ac:dyDescent="0.35">
      <c r="A30" s="4">
        <v>31747</v>
      </c>
      <c r="B30" s="7">
        <f>VLOOKUP($A30,Mater_M!A:AR,3,FALSE)</f>
        <v>6.0893333333333333</v>
      </c>
    </row>
    <row r="31" spans="1:2" x14ac:dyDescent="0.35">
      <c r="A31" s="4">
        <v>31837</v>
      </c>
      <c r="B31" s="7">
        <f>VLOOKUP($A31,Mater_M!A:AR,3,FALSE)</f>
        <v>5.9233333333333329</v>
      </c>
    </row>
    <row r="32" spans="1:2" x14ac:dyDescent="0.35">
      <c r="A32" s="4">
        <v>31929</v>
      </c>
      <c r="B32" s="7">
        <f>VLOOKUP($A32,Mater_M!A:AR,3,FALSE)</f>
        <v>5.6639999999999988</v>
      </c>
    </row>
    <row r="33" spans="1:2" x14ac:dyDescent="0.35">
      <c r="A33" s="4">
        <v>32021</v>
      </c>
      <c r="B33" s="7">
        <f>VLOOKUP($A33,Mater_M!A:AR,3,FALSE)</f>
        <v>6.4276666666666671</v>
      </c>
    </row>
    <row r="34" spans="1:2" x14ac:dyDescent="0.35">
      <c r="A34" s="4">
        <v>32112</v>
      </c>
      <c r="B34" s="7">
        <f>VLOOKUP($A34,Mater_M!A:AR,3,FALSE)</f>
        <v>6.5503333333333336</v>
      </c>
    </row>
    <row r="35" spans="1:2" x14ac:dyDescent="0.35">
      <c r="A35" s="4">
        <v>32203</v>
      </c>
      <c r="B35" s="7">
        <f>VLOOKUP($A35,Mater_M!A:AR,3,FALSE)</f>
        <v>6.319</v>
      </c>
    </row>
    <row r="36" spans="1:2" x14ac:dyDescent="0.35">
      <c r="A36" s="4">
        <v>32295</v>
      </c>
      <c r="B36" s="7">
        <f>VLOOKUP($A36,Mater_M!A:AR,3,FALSE)</f>
        <v>6.4906666666666668</v>
      </c>
    </row>
    <row r="37" spans="1:2" x14ac:dyDescent="0.35">
      <c r="A37" s="4">
        <v>32387</v>
      </c>
      <c r="B37" s="7">
        <f>VLOOKUP($A37,Mater_M!A:AR,3,FALSE)</f>
        <v>6.7166666666666659</v>
      </c>
    </row>
    <row r="38" spans="1:2" x14ac:dyDescent="0.35">
      <c r="A38" s="4">
        <v>32478</v>
      </c>
      <c r="B38" s="7">
        <f>VLOOKUP($A38,Mater_M!A:AR,3,FALSE)</f>
        <v>6.4266666666666667</v>
      </c>
    </row>
    <row r="39" spans="1:2" x14ac:dyDescent="0.35">
      <c r="A39" s="4">
        <v>32568</v>
      </c>
      <c r="B39" s="7">
        <f>VLOOKUP($A39,Mater_M!A:AR,3,FALSE)</f>
        <v>6.801333333333333</v>
      </c>
    </row>
    <row r="40" spans="1:2" x14ac:dyDescent="0.35">
      <c r="A40" s="4">
        <v>32660</v>
      </c>
      <c r="B40" s="7">
        <f>VLOOKUP($A40,Mater_M!A:AR,3,FALSE)</f>
        <v>6.8639999999999999</v>
      </c>
    </row>
    <row r="41" spans="1:2" x14ac:dyDescent="0.35">
      <c r="A41" s="4">
        <v>32752</v>
      </c>
      <c r="B41" s="7">
        <f>VLOOKUP($A41,Mater_M!A:AR,3,FALSE)</f>
        <v>6.7573333333333325</v>
      </c>
    </row>
    <row r="42" spans="1:2" x14ac:dyDescent="0.35">
      <c r="A42" s="4">
        <v>32843</v>
      </c>
      <c r="B42" s="7">
        <f>VLOOKUP($A42,Mater_M!A:AR,3,FALSE)</f>
        <v>7.1713333333333331</v>
      </c>
    </row>
    <row r="43" spans="1:2" x14ac:dyDescent="0.35">
      <c r="A43" s="4">
        <v>32933</v>
      </c>
      <c r="B43" s="7">
        <f>VLOOKUP($A43,Mater_M!A:AR,3,FALSE)</f>
        <v>8.2419999999999991</v>
      </c>
    </row>
    <row r="44" spans="1:2" x14ac:dyDescent="0.35">
      <c r="A44" s="4">
        <v>33025</v>
      </c>
      <c r="B44" s="7">
        <f>VLOOKUP($A44,Mater_M!A:AR,3,FALSE)</f>
        <v>8.6920000000000002</v>
      </c>
    </row>
    <row r="45" spans="1:2" x14ac:dyDescent="0.35">
      <c r="A45" s="4">
        <v>33117</v>
      </c>
      <c r="B45" s="7">
        <f>VLOOKUP($A45,Mater_M!A:AR,3,FALSE)</f>
        <v>8.8013333333333339</v>
      </c>
    </row>
    <row r="46" spans="1:2" x14ac:dyDescent="0.35">
      <c r="A46" s="4">
        <v>33208</v>
      </c>
      <c r="B46" s="7">
        <f>VLOOKUP($A46,Mater_M!A:AR,3,FALSE)</f>
        <v>8.9216666666666669</v>
      </c>
    </row>
    <row r="47" spans="1:2" x14ac:dyDescent="0.35">
      <c r="A47" s="4">
        <v>33298</v>
      </c>
      <c r="B47" s="7">
        <f>VLOOKUP($A47,Mater_M!A:AR,3,FALSE)</f>
        <v>8.5543333333333322</v>
      </c>
    </row>
    <row r="48" spans="1:2" x14ac:dyDescent="0.35">
      <c r="A48" s="4">
        <v>33390</v>
      </c>
      <c r="B48" s="7">
        <f>VLOOKUP($A48,Mater_M!A:AR,3,FALSE)</f>
        <v>8.3379999999999992</v>
      </c>
    </row>
    <row r="49" spans="1:2" x14ac:dyDescent="0.35">
      <c r="A49" s="4">
        <v>33482</v>
      </c>
      <c r="B49" s="7">
        <f>VLOOKUP($A49,Mater_M!A:AR,3,FALSE)</f>
        <v>8.5153333333333325</v>
      </c>
    </row>
    <row r="50" spans="1:2" x14ac:dyDescent="0.35">
      <c r="A50" s="4">
        <v>33573</v>
      </c>
      <c r="B50" s="7">
        <f>VLOOKUP($A50,Mater_M!A:AR,3,FALSE)</f>
        <v>8.259666666666666</v>
      </c>
    </row>
    <row r="51" spans="1:2" x14ac:dyDescent="0.35">
      <c r="A51" s="4">
        <v>33664</v>
      </c>
      <c r="B51" s="7">
        <f>VLOOKUP($A51,Mater_M!A:AR,3,FALSE)</f>
        <v>7.9203333333333328</v>
      </c>
    </row>
    <row r="52" spans="1:2" x14ac:dyDescent="0.35">
      <c r="A52" s="4">
        <v>33756</v>
      </c>
      <c r="B52" s="7">
        <f>VLOOKUP($A52,Mater_M!A:AR,3,FALSE)</f>
        <v>8.0080000000000009</v>
      </c>
    </row>
    <row r="53" spans="1:2" x14ac:dyDescent="0.35">
      <c r="A53" s="4">
        <v>33848</v>
      </c>
      <c r="B53" s="7">
        <f>VLOOKUP($A53,Mater_M!A:AR,3,FALSE)</f>
        <v>7.9239999999999995</v>
      </c>
    </row>
    <row r="54" spans="1:2" x14ac:dyDescent="0.35">
      <c r="A54" s="4">
        <v>33939</v>
      </c>
      <c r="B54" s="7">
        <f>VLOOKUP($A54,Mater_M!A:AR,3,FALSE)</f>
        <v>7.3296666666666672</v>
      </c>
    </row>
    <row r="55" spans="1:2" x14ac:dyDescent="0.35">
      <c r="A55" s="4">
        <v>34029</v>
      </c>
      <c r="B55" s="7">
        <f>VLOOKUP($A55,Mater_M!A:AR,3,FALSE)</f>
        <v>6.9080000000000004</v>
      </c>
    </row>
    <row r="56" spans="1:2" x14ac:dyDescent="0.35">
      <c r="A56" s="4">
        <v>34121</v>
      </c>
      <c r="B56" s="7">
        <f>VLOOKUP($A56,Mater_M!A:AR,3,FALSE)</f>
        <v>6.75</v>
      </c>
    </row>
    <row r="57" spans="1:2" x14ac:dyDescent="0.35">
      <c r="A57" s="4">
        <v>34213</v>
      </c>
      <c r="B57" s="7">
        <f>VLOOKUP($A57,Mater_M!A:AR,3,FALSE)</f>
        <v>6.3739999999999997</v>
      </c>
    </row>
    <row r="58" spans="1:2" x14ac:dyDescent="0.35">
      <c r="A58" s="4">
        <v>34304</v>
      </c>
      <c r="B58" s="7">
        <f>VLOOKUP($A58,Mater_M!A:AR,3,FALSE)</f>
        <v>5.8773333333333326</v>
      </c>
    </row>
    <row r="59" spans="1:2" x14ac:dyDescent="0.35">
      <c r="A59" s="4">
        <v>34394</v>
      </c>
      <c r="B59" s="7">
        <f>VLOOKUP($A59,Mater_M!A:AR,3,FALSE)</f>
        <v>6.0120000000000005</v>
      </c>
    </row>
    <row r="60" spans="1:2" x14ac:dyDescent="0.35">
      <c r="A60" s="4">
        <v>34486</v>
      </c>
      <c r="B60" s="7">
        <f>VLOOKUP($A60,Mater_M!A:AR,3,FALSE)</f>
        <v>6.7046666666666672</v>
      </c>
    </row>
    <row r="61" spans="1:2" x14ac:dyDescent="0.35">
      <c r="A61" s="4">
        <v>34578</v>
      </c>
      <c r="B61" s="7">
        <f>VLOOKUP($A61,Mater_M!A:AR,3,FALSE)</f>
        <v>7.1750000000000007</v>
      </c>
    </row>
    <row r="62" spans="1:2" x14ac:dyDescent="0.35">
      <c r="A62" s="4">
        <v>34669</v>
      </c>
      <c r="B62" s="7">
        <f>VLOOKUP($A62,Mater_M!A:AR,3,FALSE)</f>
        <v>7.5070000000000006</v>
      </c>
    </row>
    <row r="63" spans="1:2" x14ac:dyDescent="0.35">
      <c r="A63" s="4">
        <v>34759</v>
      </c>
      <c r="B63" s="7">
        <f>VLOOKUP($A63,Mater_M!A:AR,3,FALSE)</f>
        <v>7.41</v>
      </c>
    </row>
    <row r="64" spans="1:2" x14ac:dyDescent="0.35">
      <c r="A64" s="4">
        <v>34851</v>
      </c>
      <c r="B64" s="7">
        <f>VLOOKUP($A64,Mater_M!A:AR,3,FALSE)</f>
        <v>6.8719999999999999</v>
      </c>
    </row>
    <row r="65" spans="1:2" x14ac:dyDescent="0.35">
      <c r="A65" s="4">
        <v>34943</v>
      </c>
      <c r="B65" s="7">
        <f>VLOOKUP($A65,Mater_M!A:AR,3,FALSE)</f>
        <v>6.6836666666666673</v>
      </c>
    </row>
    <row r="66" spans="1:2" x14ac:dyDescent="0.35">
      <c r="A66" s="4">
        <v>35034</v>
      </c>
      <c r="B66" s="7">
        <f>VLOOKUP($A66,Mater_M!A:AR,3,FALSE)</f>
        <v>6.3120000000000003</v>
      </c>
    </row>
    <row r="67" spans="1:2" x14ac:dyDescent="0.35">
      <c r="A67" s="4">
        <v>35125</v>
      </c>
      <c r="B67" s="7">
        <f>VLOOKUP($A67,Mater_M!A:AR,3,FALSE)</f>
        <v>6.1759999999999993</v>
      </c>
    </row>
    <row r="68" spans="1:2" x14ac:dyDescent="0.35">
      <c r="A68" s="4">
        <v>35217</v>
      </c>
      <c r="B68" s="7">
        <f>VLOOKUP($A68,Mater_M!A:AR,3,FALSE)</f>
        <v>6.469333333333334</v>
      </c>
    </row>
    <row r="69" spans="1:2" x14ac:dyDescent="0.35">
      <c r="A69" s="4">
        <v>35309</v>
      </c>
      <c r="B69" s="7">
        <f>VLOOKUP($A69,Mater_M!A:AR,3,FALSE)</f>
        <v>6.3383333333333338</v>
      </c>
    </row>
    <row r="70" spans="1:2" x14ac:dyDescent="0.35">
      <c r="A70" s="4">
        <v>35400</v>
      </c>
      <c r="B70" s="7">
        <f>VLOOKUP($A70,Mater_M!A:AR,3,FALSE)</f>
        <v>5.883</v>
      </c>
    </row>
    <row r="71" spans="1:2" x14ac:dyDescent="0.35">
      <c r="A71" s="4">
        <v>35490</v>
      </c>
      <c r="B71" s="7">
        <f>VLOOKUP($A71,Mater_M!A:AR,3,FALSE)</f>
        <v>5.7106666666666657</v>
      </c>
    </row>
    <row r="72" spans="1:2" x14ac:dyDescent="0.35">
      <c r="A72" s="4">
        <v>35582</v>
      </c>
      <c r="B72" s="7">
        <f>VLOOKUP($A72,Mater_M!A:AR,3,FALSE)</f>
        <v>5.8163333333333327</v>
      </c>
    </row>
    <row r="73" spans="1:2" x14ac:dyDescent="0.35">
      <c r="A73" s="4">
        <v>35674</v>
      </c>
      <c r="B73" s="7">
        <f>VLOOKUP($A73,Mater_M!A:AR,3,FALSE)</f>
        <v>5.6079999999999997</v>
      </c>
    </row>
    <row r="74" spans="1:2" x14ac:dyDescent="0.35">
      <c r="A74" s="4">
        <v>35765</v>
      </c>
      <c r="B74" s="7">
        <f>VLOOKUP($A74,Mater_M!A:AR,3,FALSE)</f>
        <v>5.4839999999999991</v>
      </c>
    </row>
    <row r="75" spans="1:2" x14ac:dyDescent="0.35">
      <c r="A75" s="4">
        <v>35855</v>
      </c>
      <c r="B75" s="7">
        <f>VLOOKUP($A75,Mater_M!A:AR,3,FALSE)</f>
        <v>5.0063333333333331</v>
      </c>
    </row>
    <row r="76" spans="1:2" x14ac:dyDescent="0.35">
      <c r="A76" s="4">
        <v>35947</v>
      </c>
      <c r="B76" s="7">
        <f>VLOOKUP($A76,Mater_M!A:AR,3,FALSE)</f>
        <v>4.8866666666666667</v>
      </c>
    </row>
    <row r="77" spans="1:2" x14ac:dyDescent="0.35">
      <c r="A77" s="4">
        <v>36039</v>
      </c>
      <c r="B77" s="7">
        <f>VLOOKUP($A77,Mater_M!A:AR,3,FALSE)</f>
        <v>4.3839999999999995</v>
      </c>
    </row>
    <row r="78" spans="1:2" x14ac:dyDescent="0.35">
      <c r="A78" s="4">
        <v>36130</v>
      </c>
      <c r="B78" s="7">
        <f>VLOOKUP($A78,Mater_M!A:AR,3,FALSE)</f>
        <v>4.0010000000000003</v>
      </c>
    </row>
    <row r="79" spans="1:2" x14ac:dyDescent="0.35">
      <c r="A79" s="4">
        <v>36220</v>
      </c>
      <c r="B79" s="7">
        <f>VLOOKUP($A79,Mater_M!A:AR,3,FALSE)</f>
        <v>3.8560000000000003</v>
      </c>
    </row>
    <row r="80" spans="1:2" x14ac:dyDescent="0.35">
      <c r="A80" s="4">
        <v>36312</v>
      </c>
      <c r="B80" s="7">
        <f>VLOOKUP($A80,Mater_M!A:AR,3,FALSE)</f>
        <v>4.083333333333333</v>
      </c>
    </row>
    <row r="81" spans="1:2" x14ac:dyDescent="0.35">
      <c r="A81" s="4">
        <v>36404</v>
      </c>
      <c r="B81" s="7">
        <f>VLOOKUP($A81,Mater_M!A:AR,3,FALSE)</f>
        <v>4.8666666666666671</v>
      </c>
    </row>
    <row r="82" spans="1:2" x14ac:dyDescent="0.35">
      <c r="A82" s="4">
        <v>36495</v>
      </c>
      <c r="B82" s="7">
        <f>VLOOKUP($A82,Mater_M!A:AR,3,FALSE)</f>
        <v>5.1753333333333336</v>
      </c>
    </row>
    <row r="83" spans="1:2" x14ac:dyDescent="0.35">
      <c r="A83" s="4">
        <v>36586</v>
      </c>
      <c r="B83" s="7">
        <f>VLOOKUP($A83,Mater_M!A:AR,3,FALSE)</f>
        <v>5.4580000000000011</v>
      </c>
    </row>
    <row r="84" spans="1:2" x14ac:dyDescent="0.35">
      <c r="A84" s="4">
        <v>36678</v>
      </c>
      <c r="B84" s="7">
        <f>VLOOKUP($A84,Mater_M!A:AR,3,FALSE)</f>
        <v>5.2473333333333336</v>
      </c>
    </row>
    <row r="85" spans="1:2" x14ac:dyDescent="0.35">
      <c r="A85" s="4">
        <v>36770</v>
      </c>
      <c r="B85" s="7">
        <f>VLOOKUP($A85,Mater_M!A:AR,3,FALSE)</f>
        <v>5.2433333333333332</v>
      </c>
    </row>
    <row r="86" spans="1:2" x14ac:dyDescent="0.35">
      <c r="A86" s="4">
        <v>36861</v>
      </c>
      <c r="B86" s="7">
        <f>VLOOKUP($A86,Mater_M!A:AR,3,FALSE)</f>
        <v>5.0983333333333336</v>
      </c>
    </row>
    <row r="87" spans="1:2" x14ac:dyDescent="0.35">
      <c r="A87" s="4">
        <v>36951</v>
      </c>
      <c r="B87" s="7">
        <f>VLOOKUP($A87,Mater_M!A:AR,3,FALSE)</f>
        <v>4.7646666666666659</v>
      </c>
    </row>
    <row r="88" spans="1:2" x14ac:dyDescent="0.35">
      <c r="A88" s="4">
        <v>37043</v>
      </c>
      <c r="B88" s="7">
        <f>VLOOKUP($A88,Mater_M!A:AR,3,FALSE)</f>
        <v>4.9836666666666671</v>
      </c>
    </row>
    <row r="89" spans="1:2" x14ac:dyDescent="0.35">
      <c r="A89" s="4">
        <v>37135</v>
      </c>
      <c r="B89" s="7">
        <f>VLOOKUP($A89,Mater_M!A:AR,3,FALSE)</f>
        <v>4.8976666666666668</v>
      </c>
    </row>
    <row r="90" spans="1:2" x14ac:dyDescent="0.35">
      <c r="A90" s="4">
        <v>37226</v>
      </c>
      <c r="B90" s="7">
        <f>VLOOKUP($A90,Mater_M!A:AR,3,FALSE)</f>
        <v>4.6320000000000006</v>
      </c>
    </row>
    <row r="91" spans="1:2" x14ac:dyDescent="0.35">
      <c r="A91" s="4">
        <v>37316</v>
      </c>
      <c r="B91" s="7">
        <f>VLOOKUP($A91,Mater_M!A:AR,3,FALSE)</f>
        <v>4.9973333333333336</v>
      </c>
    </row>
    <row r="92" spans="1:2" x14ac:dyDescent="0.35">
      <c r="A92" s="4">
        <v>37408</v>
      </c>
      <c r="B92" s="7">
        <f>VLOOKUP($A92,Mater_M!A:AR,3,FALSE)</f>
        <v>5.1230000000000002</v>
      </c>
    </row>
    <row r="93" spans="1:2" x14ac:dyDescent="0.35">
      <c r="A93" s="4">
        <v>37500</v>
      </c>
      <c r="B93" s="7">
        <f>VLOOKUP($A93,Mater_M!A:AR,3,FALSE)</f>
        <v>4.6150000000000002</v>
      </c>
    </row>
    <row r="94" spans="1:2" x14ac:dyDescent="0.35">
      <c r="A94" s="4">
        <v>37591</v>
      </c>
      <c r="B94" s="7">
        <f>VLOOKUP($A94,Mater_M!A:AR,3,FALSE)</f>
        <v>4.4393333333333329</v>
      </c>
    </row>
    <row r="95" spans="1:2" x14ac:dyDescent="0.35">
      <c r="A95" s="4">
        <v>37681</v>
      </c>
      <c r="B95" s="7">
        <f>VLOOKUP($A95,Mater_M!A:AR,3,FALSE)</f>
        <v>4.0633333333333335</v>
      </c>
    </row>
    <row r="96" spans="1:2" x14ac:dyDescent="0.35">
      <c r="A96" s="4">
        <v>37773</v>
      </c>
      <c r="B96" s="7">
        <f>VLOOKUP($A96,Mater_M!A:AR,3,FALSE)</f>
        <v>3.8849999999999998</v>
      </c>
    </row>
    <row r="97" spans="1:2" x14ac:dyDescent="0.35">
      <c r="A97" s="4">
        <v>37865</v>
      </c>
      <c r="B97" s="7">
        <f>VLOOKUP($A97,Mater_M!A:AR,3,FALSE)</f>
        <v>4.12</v>
      </c>
    </row>
    <row r="98" spans="1:2" x14ac:dyDescent="0.35">
      <c r="A98" s="4">
        <v>37956</v>
      </c>
      <c r="B98" s="7">
        <f>VLOOKUP($A98,Mater_M!A:AR,3,FALSE)</f>
        <v>4.3296666666666663</v>
      </c>
    </row>
    <row r="99" spans="1:2" x14ac:dyDescent="0.35">
      <c r="A99" s="4">
        <v>38047</v>
      </c>
      <c r="B99" s="7">
        <f>VLOOKUP($A99,Mater_M!A:AR,3,FALSE)</f>
        <v>4.0843333333333334</v>
      </c>
    </row>
    <row r="100" spans="1:2" x14ac:dyDescent="0.35">
      <c r="A100" s="4">
        <v>38139</v>
      </c>
      <c r="B100" s="7">
        <f>VLOOKUP($A100,Mater_M!A:AR,3,FALSE)</f>
        <v>4.2616666666666667</v>
      </c>
    </row>
    <row r="101" spans="1:2" x14ac:dyDescent="0.35">
      <c r="A101" s="4">
        <v>38231</v>
      </c>
      <c r="B101" s="7">
        <f>VLOOKUP($A101,Mater_M!A:AR,3,FALSE)</f>
        <v>4.1286666666666667</v>
      </c>
    </row>
    <row r="102" spans="1:2" x14ac:dyDescent="0.35">
      <c r="A102" s="4">
        <v>38322</v>
      </c>
      <c r="B102" s="7">
        <f>VLOOKUP($A102,Mater_M!A:AR,3,FALSE)</f>
        <v>3.7953333333333332</v>
      </c>
    </row>
    <row r="103" spans="1:2" x14ac:dyDescent="0.35">
      <c r="A103" s="4">
        <v>38412</v>
      </c>
      <c r="B103" s="7">
        <f>VLOOKUP($A103,Mater_M!A:AR,3,FALSE)</f>
        <v>3.6233333333333335</v>
      </c>
    </row>
    <row r="104" spans="1:2" x14ac:dyDescent="0.35">
      <c r="A104" s="4">
        <v>38504</v>
      </c>
      <c r="B104" s="7">
        <f>VLOOKUP($A104,Mater_M!A:AR,3,FALSE)</f>
        <v>3.3490000000000002</v>
      </c>
    </row>
    <row r="105" spans="1:2" x14ac:dyDescent="0.35">
      <c r="A105" s="4">
        <v>38596</v>
      </c>
      <c r="B105" s="7">
        <f>VLOOKUP($A105,Mater_M!A:AR,3,FALSE)</f>
        <v>3.1920000000000002</v>
      </c>
    </row>
    <row r="106" spans="1:2" x14ac:dyDescent="0.35">
      <c r="A106" s="4">
        <v>38687</v>
      </c>
      <c r="B106" s="7">
        <f>VLOOKUP($A106,Mater_M!A:AR,3,FALSE)</f>
        <v>3.3693333333333335</v>
      </c>
    </row>
    <row r="107" spans="1:2" x14ac:dyDescent="0.35">
      <c r="A107" s="4">
        <v>38777</v>
      </c>
      <c r="B107" s="7">
        <f>VLOOKUP($A107,Mater_M!A:AR,3,FALSE)</f>
        <v>3.496</v>
      </c>
    </row>
    <row r="108" spans="1:2" x14ac:dyDescent="0.35">
      <c r="A108" s="4">
        <v>38869</v>
      </c>
      <c r="B108" s="7">
        <f>VLOOKUP($A108,Mater_M!A:AR,3,FALSE)</f>
        <v>3.9656666666666669</v>
      </c>
    </row>
    <row r="109" spans="1:2" x14ac:dyDescent="0.35">
      <c r="A109" s="4">
        <v>38961</v>
      </c>
      <c r="B109" s="7">
        <f>VLOOKUP($A109,Mater_M!A:AR,3,FALSE)</f>
        <v>3.8879999999999999</v>
      </c>
    </row>
    <row r="110" spans="1:2" x14ac:dyDescent="0.35">
      <c r="A110" s="4">
        <v>39052</v>
      </c>
      <c r="B110" s="7">
        <f>VLOOKUP($A110,Mater_M!A:AR,3,FALSE)</f>
        <v>3.7769999999999997</v>
      </c>
    </row>
    <row r="111" spans="1:2" x14ac:dyDescent="0.35">
      <c r="A111" s="4">
        <v>39142</v>
      </c>
      <c r="B111" s="7">
        <f>VLOOKUP($A111,Mater_M!A:AR,3,FALSE)</f>
        <v>4.0106666666666664</v>
      </c>
    </row>
    <row r="112" spans="1:2" x14ac:dyDescent="0.35">
      <c r="A112" s="4">
        <v>39234</v>
      </c>
      <c r="B112" s="7">
        <f>VLOOKUP($A112,Mater_M!A:AR,3,FALSE)</f>
        <v>4.3436666666666666</v>
      </c>
    </row>
    <row r="113" spans="1:2" x14ac:dyDescent="0.35">
      <c r="A113" s="4">
        <v>39326</v>
      </c>
      <c r="B113" s="7">
        <f>VLOOKUP($A113,Mater_M!A:AR,3,FALSE)</f>
        <v>4.3536666666666664</v>
      </c>
    </row>
    <row r="114" spans="1:2" x14ac:dyDescent="0.35">
      <c r="A114" s="4">
        <v>39417</v>
      </c>
      <c r="B114" s="7">
        <f>VLOOKUP($A114,Mater_M!A:AR,3,FALSE)</f>
        <v>4.2120000000000006</v>
      </c>
    </row>
    <row r="115" spans="1:2" x14ac:dyDescent="0.35">
      <c r="A115" s="4">
        <v>39508</v>
      </c>
      <c r="B115" s="7">
        <f>VLOOKUP($A115,Mater_M!A:AR,3,FALSE)</f>
        <v>3.9373333333333331</v>
      </c>
    </row>
    <row r="116" spans="1:2" x14ac:dyDescent="0.35">
      <c r="A116" s="4">
        <v>39600</v>
      </c>
      <c r="B116" s="7">
        <f>VLOOKUP($A116,Mater_M!A:AR,3,FALSE)</f>
        <v>4.2683333333333335</v>
      </c>
    </row>
    <row r="117" spans="1:2" x14ac:dyDescent="0.35">
      <c r="A117" s="4">
        <v>39692</v>
      </c>
      <c r="B117" s="7">
        <f>VLOOKUP($A117,Mater_M!A:AR,3,FALSE)</f>
        <v>4.2720000000000002</v>
      </c>
    </row>
    <row r="118" spans="1:2" x14ac:dyDescent="0.35">
      <c r="A118" s="4">
        <v>39783</v>
      </c>
      <c r="B118" s="7">
        <f>VLOOKUP($A118,Mater_M!A:AR,3,FALSE)</f>
        <v>3.5073333333333334</v>
      </c>
    </row>
    <row r="119" spans="1:2" x14ac:dyDescent="0.35">
      <c r="A119" s="4">
        <v>39873</v>
      </c>
      <c r="B119" s="7">
        <f>VLOOKUP($A119,Mater_M!A:AR,3,FALSE)</f>
        <v>3.1016666666666666</v>
      </c>
    </row>
    <row r="120" spans="1:2" x14ac:dyDescent="0.35">
      <c r="A120" s="4">
        <v>39965</v>
      </c>
      <c r="B120" s="7">
        <f>VLOOKUP($A120,Mater_M!A:AR,3,FALSE)</f>
        <v>3.3840000000000003</v>
      </c>
    </row>
    <row r="121" spans="1:2" x14ac:dyDescent="0.35">
      <c r="A121" s="4">
        <v>40057</v>
      </c>
      <c r="B121" s="7">
        <f>VLOOKUP($A121,Mater_M!A:AR,3,FALSE)</f>
        <v>3.3296666666666668</v>
      </c>
    </row>
    <row r="122" spans="1:2" x14ac:dyDescent="0.35">
      <c r="A122" s="4">
        <v>40148</v>
      </c>
      <c r="B122" s="7">
        <f>VLOOKUP($A122,Mater_M!A:AR,3,FALSE)</f>
        <v>3.2493333333333339</v>
      </c>
    </row>
    <row r="123" spans="1:2" x14ac:dyDescent="0.35">
      <c r="A123" s="4">
        <v>40238</v>
      </c>
      <c r="B123" s="7">
        <f>VLOOKUP($A123,Mater_M!A:AR,3,FALSE)</f>
        <v>3.1996666666666669</v>
      </c>
    </row>
    <row r="124" spans="1:2" x14ac:dyDescent="0.35">
      <c r="A124" s="4">
        <v>40330</v>
      </c>
      <c r="B124" s="7">
        <f>VLOOKUP($A124,Mater_M!A:AR,3,FALSE)</f>
        <v>2.8396666666666666</v>
      </c>
    </row>
    <row r="125" spans="1:2" x14ac:dyDescent="0.35">
      <c r="A125" s="4">
        <v>40422</v>
      </c>
      <c r="B125" s="7">
        <f>VLOOKUP($A125,Mater_M!A:AR,3,FALSE)</f>
        <v>2.4533333333333336</v>
      </c>
    </row>
    <row r="126" spans="1:2" x14ac:dyDescent="0.35">
      <c r="A126" s="4">
        <v>40513</v>
      </c>
      <c r="B126" s="7">
        <f>VLOOKUP($A126,Mater_M!A:AR,3,FALSE)</f>
        <v>2.6313333333333335</v>
      </c>
    </row>
    <row r="127" spans="1:2" x14ac:dyDescent="0.35">
      <c r="A127" s="4">
        <v>40603</v>
      </c>
      <c r="B127" s="7">
        <f>VLOOKUP($A127,Mater_M!A:AR,3,FALSE)</f>
        <v>3.1743333333333332</v>
      </c>
    </row>
    <row r="128" spans="1:2" x14ac:dyDescent="0.35">
      <c r="A128" s="4">
        <v>40695</v>
      </c>
      <c r="B128" s="7">
        <f>VLOOKUP($A128,Mater_M!A:AR,3,FALSE)</f>
        <v>3.1426666666666669</v>
      </c>
    </row>
    <row r="129" spans="1:2" x14ac:dyDescent="0.35">
      <c r="A129" s="4">
        <v>40787</v>
      </c>
      <c r="B129" s="7">
        <f>VLOOKUP($A129,Mater_M!A:AR,3,FALSE)</f>
        <v>2.3016666666666667</v>
      </c>
    </row>
    <row r="130" spans="1:2" x14ac:dyDescent="0.35">
      <c r="A130" s="4">
        <v>40878</v>
      </c>
      <c r="B130" s="7">
        <f>VLOOKUP($A130,Mater_M!A:AR,3,FALSE)</f>
        <v>1.9949999999999999</v>
      </c>
    </row>
    <row r="131" spans="1:2" x14ac:dyDescent="0.35">
      <c r="A131" s="4">
        <v>40969</v>
      </c>
      <c r="B131" s="7">
        <f>VLOOKUP($A131,Mater_M!A:AR,3,FALSE)</f>
        <v>1.8806666666666667</v>
      </c>
    </row>
    <row r="132" spans="1:2" x14ac:dyDescent="0.35">
      <c r="A132" s="4">
        <v>41061</v>
      </c>
      <c r="B132" s="7">
        <f>VLOOKUP($A132,Mater_M!A:AR,3,FALSE)</f>
        <v>1.5406666666666666</v>
      </c>
    </row>
    <row r="133" spans="1:2" x14ac:dyDescent="0.35">
      <c r="A133" s="4">
        <v>41153</v>
      </c>
      <c r="B133" s="7">
        <f>VLOOKUP($A133,Mater_M!A:AR,3,FALSE)</f>
        <v>1.4226666666666665</v>
      </c>
    </row>
    <row r="134" spans="1:2" x14ac:dyDescent="0.35">
      <c r="A134" s="4">
        <v>41244</v>
      </c>
      <c r="B134" s="7">
        <f>VLOOKUP($A134,Mater_M!A:AR,3,FALSE)</f>
        <v>1.4206666666666665</v>
      </c>
    </row>
    <row r="135" spans="1:2" x14ac:dyDescent="0.35">
      <c r="A135" s="4">
        <v>41334</v>
      </c>
      <c r="B135" s="7">
        <f>VLOOKUP($A135,Mater_M!A:AR,3,FALSE)</f>
        <v>1.5216666666666665</v>
      </c>
    </row>
    <row r="136" spans="1:2" x14ac:dyDescent="0.35">
      <c r="A136" s="4">
        <v>41426</v>
      </c>
      <c r="B136" s="7">
        <f>VLOOKUP($A136,Mater_M!A:AR,3,FALSE)</f>
        <v>1.4119999999999999</v>
      </c>
    </row>
    <row r="137" spans="1:2" x14ac:dyDescent="0.35">
      <c r="A137" s="4">
        <v>41518</v>
      </c>
      <c r="B137" s="7">
        <f>VLOOKUP($A137,Mater_M!A:AR,3,FALSE)</f>
        <v>1.7859999999999998</v>
      </c>
    </row>
    <row r="138" spans="1:2" x14ac:dyDescent="0.35">
      <c r="A138" s="4">
        <v>41609</v>
      </c>
      <c r="B138" s="7">
        <f>VLOOKUP($A138,Mater_M!A:AR,3,FALSE)</f>
        <v>1.7933333333333332</v>
      </c>
    </row>
    <row r="139" spans="1:2" x14ac:dyDescent="0.35">
      <c r="A139" s="4">
        <v>41699</v>
      </c>
      <c r="B139" s="7">
        <f>VLOOKUP($A139,Mater_M!A:AR,3,FALSE)</f>
        <v>1.6820000000000002</v>
      </c>
    </row>
    <row r="140" spans="1:2" x14ac:dyDescent="0.35">
      <c r="A140" s="4">
        <v>41791</v>
      </c>
      <c r="B140" s="7">
        <f>VLOOKUP($A140,Mater_M!A:AR,3,FALSE)</f>
        <v>1.4270000000000003</v>
      </c>
    </row>
    <row r="141" spans="1:2" x14ac:dyDescent="0.35">
      <c r="A141" s="4">
        <v>41883</v>
      </c>
      <c r="B141" s="7">
        <f>VLOOKUP($A141,Mater_M!A:AR,3,FALSE)</f>
        <v>1.0696666666666668</v>
      </c>
    </row>
    <row r="142" spans="1:2" x14ac:dyDescent="0.35">
      <c r="A142" s="4">
        <v>41974</v>
      </c>
      <c r="B142" s="7">
        <f>VLOOKUP($A142,Mater_M!A:AR,3,FALSE)</f>
        <v>0.77</v>
      </c>
    </row>
    <row r="143" spans="1:2" x14ac:dyDescent="0.35">
      <c r="A143" s="4">
        <v>42064</v>
      </c>
      <c r="B143" s="7">
        <f>VLOOKUP($A143,Mater_M!A:AR,3,FALSE)</f>
        <v>0.35266666666666668</v>
      </c>
    </row>
    <row r="144" spans="1:2" x14ac:dyDescent="0.35">
      <c r="A144" s="4">
        <v>42156</v>
      </c>
      <c r="B144" s="7">
        <f>VLOOKUP($A144,Mater_M!A:AR,3,FALSE)</f>
        <v>0.52599999999999991</v>
      </c>
    </row>
    <row r="145" spans="1:2" x14ac:dyDescent="0.35">
      <c r="A145" s="4">
        <v>42248</v>
      </c>
      <c r="B145" s="7">
        <f>VLOOKUP($A145,Mater_M!A:AR,3,FALSE)</f>
        <v>0.69900000000000018</v>
      </c>
    </row>
    <row r="146" spans="1:2" x14ac:dyDescent="0.35">
      <c r="A146" s="4">
        <v>42339</v>
      </c>
      <c r="B146" s="7">
        <f>VLOOKUP($A146,Mater_M!A:AR,3,FALSE)</f>
        <v>0.56366666666666676</v>
      </c>
    </row>
    <row r="147" spans="1:2" x14ac:dyDescent="0.35">
      <c r="A147" s="4">
        <v>42430</v>
      </c>
      <c r="B147" s="7">
        <f>VLOOKUP($A147,Mater_M!A:AR,3,FALSE)</f>
        <v>0.3163333333333333</v>
      </c>
    </row>
    <row r="148" spans="1:2" x14ac:dyDescent="0.35">
      <c r="A148" s="4">
        <v>42522</v>
      </c>
      <c r="B148" s="7">
        <f>VLOOKUP($A148,Mater_M!A:AR,3,FALSE)</f>
        <v>0.11599999999999999</v>
      </c>
    </row>
    <row r="149" spans="1:2" x14ac:dyDescent="0.35">
      <c r="A149" s="4">
        <v>42614</v>
      </c>
      <c r="B149" s="7">
        <f>VLOOKUP($A149,Mater_M!A:AR,3,FALSE)</f>
        <v>-6.9666666666666655E-2</v>
      </c>
    </row>
    <row r="150" spans="1:2" x14ac:dyDescent="0.35">
      <c r="A150" s="4">
        <v>42705</v>
      </c>
      <c r="B150" s="7">
        <f>VLOOKUP($A150,Mater_M!A:AR,3,FALSE)</f>
        <v>0.18966666666666665</v>
      </c>
    </row>
    <row r="151" spans="1:2" x14ac:dyDescent="0.35">
      <c r="A151" s="4">
        <v>42795</v>
      </c>
      <c r="B151" s="7">
        <f>VLOOKUP($A151,Mater_M!A:AR,3,FALSE)</f>
        <v>0.35366666666666663</v>
      </c>
    </row>
    <row r="152" spans="1:2" x14ac:dyDescent="0.35">
      <c r="A152" s="4">
        <v>42887</v>
      </c>
      <c r="B152" s="7">
        <f>VLOOKUP($A152,Mater_M!A:AR,3,FALSE)</f>
        <v>0.30533333333333329</v>
      </c>
    </row>
    <row r="153" spans="1:2" x14ac:dyDescent="0.35">
      <c r="A153" s="4">
        <v>42979</v>
      </c>
      <c r="B153" s="7">
        <f>VLOOKUP($A153,Mater_M!A:AR,3,FALSE)</f>
        <v>0.45400000000000001</v>
      </c>
    </row>
    <row r="154" spans="1:2" x14ac:dyDescent="0.35">
      <c r="A154" s="4">
        <v>43070</v>
      </c>
      <c r="B154" s="7">
        <f>VLOOKUP($A154,Mater_M!A:AR,3,FALSE)</f>
        <v>0.38100000000000001</v>
      </c>
    </row>
    <row r="155" spans="1:2" x14ac:dyDescent="0.35">
      <c r="A155" s="4">
        <v>43160</v>
      </c>
      <c r="B155" s="7">
        <f>VLOOKUP($A155,Mater_M!A:AR,3,FALSE)</f>
        <v>0.6196666666666667</v>
      </c>
    </row>
    <row r="156" spans="1:2" x14ac:dyDescent="0.35">
      <c r="A156" s="4">
        <v>43252</v>
      </c>
      <c r="B156" s="7">
        <f>VLOOKUP($A156,Mater_M!A:AR,3,FALSE)</f>
        <v>0.48500000000000004</v>
      </c>
    </row>
    <row r="157" spans="1:2" x14ac:dyDescent="0.35">
      <c r="A157" s="4">
        <v>43344</v>
      </c>
      <c r="B157" s="7">
        <f>VLOOKUP($A157,Mater_M!A:AR,3,FALSE)</f>
        <v>0.38666666666666666</v>
      </c>
    </row>
    <row r="158" spans="1:2" x14ac:dyDescent="0.35">
      <c r="A158" s="4">
        <v>43435</v>
      </c>
      <c r="B158" s="7">
        <f>VLOOKUP($A158,Mater_M!A:AR,3,FALSE)</f>
        <v>0.36533333333333334</v>
      </c>
    </row>
    <row r="159" spans="1:2" x14ac:dyDescent="0.35">
      <c r="A159" s="4">
        <v>43525</v>
      </c>
      <c r="B159" s="7">
        <f>VLOOKUP($A159,Mater_M!A:AR,3,FALSE)</f>
        <v>0.13299999999999998</v>
      </c>
    </row>
    <row r="160" spans="1:2" x14ac:dyDescent="0.35">
      <c r="A160" s="4">
        <v>43617</v>
      </c>
      <c r="B160" s="7">
        <f>VLOOKUP($A160,Mater_M!A:AR,3,FALSE)</f>
        <v>-0.11266666666666668</v>
      </c>
    </row>
    <row r="161" spans="1:2" x14ac:dyDescent="0.35">
      <c r="A161" s="4">
        <v>43709</v>
      </c>
      <c r="B161" s="7">
        <f>VLOOKUP($A161,Mater_M!A:AR,3,FALSE)</f>
        <v>-0.5099999999999999</v>
      </c>
    </row>
    <row r="162" spans="1:2" x14ac:dyDescent="0.35">
      <c r="A162" s="4">
        <v>43800</v>
      </c>
      <c r="B162" s="7">
        <f>VLOOKUP($A162,Mater_M!A:AR,3,FALSE)</f>
        <v>-0.34833333333333333</v>
      </c>
    </row>
    <row r="163" spans="1:2" x14ac:dyDescent="0.35">
      <c r="A163" s="4">
        <v>43891</v>
      </c>
      <c r="B163" s="7">
        <f>VLOOKUP($A163,Mater_M!A:AR,3,FALSE)</f>
        <v>-0.40533333333333332</v>
      </c>
    </row>
    <row r="164" spans="1:2" x14ac:dyDescent="0.35">
      <c r="A164" s="4">
        <v>43983</v>
      </c>
      <c r="B164" s="7">
        <f>VLOOKUP($A164,Mater_M!A:AR,3,FALSE)</f>
        <v>-0.44366666666666665</v>
      </c>
    </row>
    <row r="165" spans="1:2" x14ac:dyDescent="0.35">
      <c r="A165" s="4">
        <v>44075</v>
      </c>
      <c r="B165" s="7">
        <f>VLOOKUP($A165,Mater_M!A:AR,3,FALSE)</f>
        <v>-0.47333333333333333</v>
      </c>
    </row>
    <row r="166" spans="1:2" x14ac:dyDescent="0.35">
      <c r="A166" s="4">
        <v>44166</v>
      </c>
      <c r="B166" s="7">
        <f>VLOOKUP($A166,Mater_M!A:AR,3,FALSE)</f>
        <v>-0.57266666666666666</v>
      </c>
    </row>
    <row r="167" spans="1:2" x14ac:dyDescent="0.35">
      <c r="A167" s="4">
        <v>44256</v>
      </c>
      <c r="B167" s="7">
        <f>VLOOKUP($A167,Mater_M!A:AR,3,FALSE)</f>
        <v>-0.41233333333333338</v>
      </c>
    </row>
    <row r="168" spans="1:2" x14ac:dyDescent="0.35">
      <c r="A168" s="4">
        <v>44348</v>
      </c>
      <c r="B168" s="7">
        <f>VLOOKUP($A168,Mater_M!A:AR,3,FALSE)</f>
        <v>-0.21533333333333335</v>
      </c>
    </row>
    <row r="169" spans="1:2" x14ac:dyDescent="0.35">
      <c r="A169" s="4">
        <v>44440</v>
      </c>
      <c r="B169" s="7">
        <f>VLOOKUP($A169,Mater_M!A:AR,3,FALSE)</f>
        <v>-0.371</v>
      </c>
    </row>
    <row r="170" spans="1:2" x14ac:dyDescent="0.35">
      <c r="A170" s="4">
        <v>44531</v>
      </c>
      <c r="B170" s="7">
        <f>VLOOKUP($A170,Mater_M!A:AR,3,FALSE)</f>
        <v>-0.23700000000000002</v>
      </c>
    </row>
    <row r="171" spans="1:2" x14ac:dyDescent="0.35">
      <c r="A171" s="4">
        <v>44621</v>
      </c>
      <c r="B171" s="7">
        <f>VLOOKUP($A171,Mater_M!A:AR,3,FALSE)</f>
        <v>0.16133333333333333</v>
      </c>
    </row>
    <row r="172" spans="1:2" x14ac:dyDescent="0.35">
      <c r="A172" s="4">
        <v>44713</v>
      </c>
      <c r="B172" s="7">
        <f>VLOOKUP($A172,Mater_M!A:AR,3,FALSE)</f>
        <v>1.097</v>
      </c>
    </row>
    <row r="173" spans="1:2" x14ac:dyDescent="0.35">
      <c r="A173" s="4">
        <v>44805</v>
      </c>
      <c r="B173" s="7">
        <f>VLOOKUP($A173,Mater_M!A:AR,3,FALSE)</f>
        <v>1.3593333333333335</v>
      </c>
    </row>
    <row r="174" spans="1:2" x14ac:dyDescent="0.35">
      <c r="A174" s="4">
        <v>44896</v>
      </c>
      <c r="B174" s="7">
        <f>VLOOKUP($A174,Mater_M!A:AR,3,FALSE)</f>
        <v>2.137</v>
      </c>
    </row>
    <row r="175" spans="1:2" x14ac:dyDescent="0.35">
      <c r="A175" s="4">
        <v>44986</v>
      </c>
      <c r="B175" s="7">
        <f>VLOOKUP($A175,Mater_M!A:AR,3,FALSE)</f>
        <v>2.3426666666666667</v>
      </c>
    </row>
    <row r="176" spans="1:2" x14ac:dyDescent="0.35">
      <c r="A176" s="4">
        <v>45078</v>
      </c>
      <c r="B176" s="7">
        <f>VLOOKUP($A176,Mater_M!A:AR,3,FALSE)</f>
        <v>2.3706666666666667</v>
      </c>
    </row>
    <row r="177" spans="1:2" x14ac:dyDescent="0.35">
      <c r="A177" s="4">
        <v>45170</v>
      </c>
      <c r="B177" s="7">
        <f>VLOOKUP($A177,Mater_M!A:AR,3,FALSE)</f>
        <v>2.593</v>
      </c>
    </row>
    <row r="178" spans="1:2" x14ac:dyDescent="0.35">
      <c r="A178" s="4">
        <v>45261</v>
      </c>
      <c r="B178" s="7">
        <f>VLOOKUP($A178,Mater_M!A:AR,3,FALSE)</f>
        <v>2.5263333333333331</v>
      </c>
    </row>
    <row r="179" spans="1:2" x14ac:dyDescent="0.35">
      <c r="A179" s="4">
        <v>45352</v>
      </c>
      <c r="B179" s="7">
        <f>VLOOKUP($A179,Mater_M!A:AR,3,FALSE)</f>
        <v>2.3163333333333331</v>
      </c>
    </row>
    <row r="180" spans="1:2" x14ac:dyDescent="0.35">
      <c r="A180" s="4">
        <v>45444</v>
      </c>
      <c r="B180" s="7">
        <f>VLOOKUP($A180,Mater_M!A:AR,3,FALSE)</f>
        <v>2.4976666666666669</v>
      </c>
    </row>
    <row r="181" spans="1:2" x14ac:dyDescent="0.35">
      <c r="A181" s="4">
        <v>45536</v>
      </c>
      <c r="B181" s="7">
        <f>VLOOKUP($A181,Mater_M!A:AR,3,FALSE)</f>
        <v>2.2966666666666669</v>
      </c>
    </row>
    <row r="182" spans="1:2" x14ac:dyDescent="0.35">
      <c r="A182" s="4">
        <v>45627</v>
      </c>
      <c r="B182" s="7">
        <f>VLOOKUP($A182,Mater_M!A:AR,3,FALSE)</f>
        <v>2.2606666666666668</v>
      </c>
    </row>
    <row r="183" spans="1:2" x14ac:dyDescent="0.35">
      <c r="A183" s="4">
        <v>45717</v>
      </c>
      <c r="B183" s="7">
        <f>VLOOKUP($A183,Mater_M!A:AR,3,FALSE)</f>
        <v>2.58</v>
      </c>
    </row>
    <row r="184" spans="1:2" x14ac:dyDescent="0.35">
      <c r="A184" s="4">
        <v>45809</v>
      </c>
      <c r="B184" s="7">
        <f>VLOOKUP($A184,Mater_M!A:AR,3,FALSE)</f>
        <v>2.5540000000000003</v>
      </c>
    </row>
    <row r="185" spans="1:2" x14ac:dyDescent="0.35">
      <c r="A185" s="4">
        <v>45901</v>
      </c>
      <c r="B185" s="7">
        <f>VLOOKUP($A185,Mater_M!A:AR,3,FALSE)</f>
        <v>2.6970000000000005</v>
      </c>
    </row>
    <row r="186" spans="1:2" x14ac:dyDescent="0.35">
      <c r="A186" s="4">
        <v>45992</v>
      </c>
      <c r="B186" s="7">
        <f>VLOOKUP($A186,Mater_M!A:AR,3,FALSE)</f>
        <v>2.7173333333333329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237"/>
  <sheetViews>
    <sheetView showGridLines="0" workbookViewId="0">
      <pane xSplit="1" ySplit="1" topLeftCell="B154" activePane="bottomRight" state="frozen"/>
      <selection pane="topRight" activeCell="B1" sqref="B1"/>
      <selection pane="bottomLeft" activeCell="A2" sqref="A2"/>
      <selection pane="bottomRight" activeCell="D26" sqref="D26"/>
    </sheetView>
  </sheetViews>
  <sheetFormatPr baseColWidth="10" defaultRowHeight="14.5" x14ac:dyDescent="0.35"/>
  <cols>
    <col min="2" max="2" width="10.90625" style="5"/>
    <col min="3" max="3" width="22" style="5" bestFit="1" customWidth="1"/>
  </cols>
  <sheetData>
    <row r="1" spans="1:3" ht="28.5" customHeight="1" x14ac:dyDescent="0.35">
      <c r="B1" s="22" t="s">
        <v>561</v>
      </c>
      <c r="C1" s="22" t="s">
        <v>562</v>
      </c>
    </row>
    <row r="2" spans="1:3" x14ac:dyDescent="0.35">
      <c r="A2" s="4">
        <v>29311</v>
      </c>
      <c r="B2" s="23">
        <f>OEM!H7</f>
        <v>16.154900000000001</v>
      </c>
      <c r="C2" s="23">
        <v>15.8482748543995</v>
      </c>
    </row>
    <row r="3" spans="1:3" x14ac:dyDescent="0.35">
      <c r="A3" s="4">
        <v>29402</v>
      </c>
      <c r="B3" s="23">
        <f>OEM!H8</f>
        <v>16.2807</v>
      </c>
      <c r="C3" s="23">
        <v>15.9937077409851</v>
      </c>
    </row>
    <row r="4" spans="1:3" x14ac:dyDescent="0.35">
      <c r="A4" s="4">
        <v>29494</v>
      </c>
      <c r="B4" s="23">
        <f>OEM!H9</f>
        <v>15.72297</v>
      </c>
      <c r="C4" s="23">
        <v>16.095644069018601</v>
      </c>
    </row>
    <row r="5" spans="1:3" x14ac:dyDescent="0.35">
      <c r="A5" s="4">
        <v>29586</v>
      </c>
      <c r="B5" s="23">
        <f>OEM!H10</f>
        <v>15.980729999999999</v>
      </c>
      <c r="C5" s="23">
        <v>16.200947410940099</v>
      </c>
    </row>
    <row r="6" spans="1:3" x14ac:dyDescent="0.35">
      <c r="A6" s="4">
        <v>29676</v>
      </c>
      <c r="B6" s="23">
        <f>OEM!H11</f>
        <v>16.553239999999999</v>
      </c>
      <c r="C6" s="23">
        <v>16.3165863553413</v>
      </c>
    </row>
    <row r="7" spans="1:3" x14ac:dyDescent="0.35">
      <c r="A7" s="4">
        <v>29767</v>
      </c>
      <c r="B7" s="23">
        <f>OEM!H12</f>
        <v>16.68214</v>
      </c>
      <c r="C7" s="23">
        <v>16.325677927561198</v>
      </c>
    </row>
    <row r="8" spans="1:3" x14ac:dyDescent="0.35">
      <c r="A8" s="4">
        <v>29859</v>
      </c>
      <c r="B8" s="23">
        <f>OEM!H13</f>
        <v>16.11065</v>
      </c>
      <c r="C8" s="23">
        <v>16.4831340856975</v>
      </c>
    </row>
    <row r="9" spans="1:3" x14ac:dyDescent="0.35">
      <c r="A9" s="4">
        <v>29951</v>
      </c>
      <c r="B9" s="23">
        <f>OEM!H14</f>
        <v>16.374770000000002</v>
      </c>
      <c r="C9" s="23">
        <v>16.595975600272499</v>
      </c>
    </row>
    <row r="10" spans="1:3" x14ac:dyDescent="0.35">
      <c r="A10" s="4">
        <v>30041</v>
      </c>
      <c r="B10" s="23">
        <f>OEM!H15</f>
        <v>16.87782</v>
      </c>
      <c r="C10" s="23">
        <v>16.608420229741199</v>
      </c>
    </row>
    <row r="11" spans="1:3" x14ac:dyDescent="0.35">
      <c r="A11" s="4">
        <v>30132</v>
      </c>
      <c r="B11" s="23">
        <f>OEM!H16</f>
        <v>17.009239999999998</v>
      </c>
      <c r="C11" s="23">
        <v>16.681569512914098</v>
      </c>
    </row>
    <row r="12" spans="1:3" x14ac:dyDescent="0.35">
      <c r="A12" s="4">
        <v>30224</v>
      </c>
      <c r="B12" s="23">
        <f>OEM!H17</f>
        <v>16.426549999999999</v>
      </c>
      <c r="C12" s="23">
        <v>16.8002219285252</v>
      </c>
    </row>
    <row r="13" spans="1:3" x14ac:dyDescent="0.35">
      <c r="A13" s="4">
        <v>30316</v>
      </c>
      <c r="B13" s="23">
        <f>OEM!H18</f>
        <v>16.69584</v>
      </c>
      <c r="C13" s="23">
        <v>16.9236853154238</v>
      </c>
    </row>
    <row r="14" spans="1:3" x14ac:dyDescent="0.35">
      <c r="A14" s="4">
        <v>30406</v>
      </c>
      <c r="B14" s="23">
        <f>OEM!H19</f>
        <v>17.217140000000001</v>
      </c>
      <c r="C14" s="23">
        <v>16.8911510454761</v>
      </c>
    </row>
    <row r="15" spans="1:3" x14ac:dyDescent="0.35">
      <c r="A15" s="4">
        <v>30497</v>
      </c>
      <c r="B15" s="23">
        <f>OEM!H20</f>
        <v>17.351209999999998</v>
      </c>
      <c r="C15" s="23">
        <v>17.0695167627938</v>
      </c>
    </row>
    <row r="16" spans="1:3" x14ac:dyDescent="0.35">
      <c r="A16" s="4">
        <v>30589</v>
      </c>
      <c r="B16" s="23">
        <f>OEM!H21</f>
        <v>16.756810000000002</v>
      </c>
      <c r="C16" s="23">
        <v>17.132710591983599</v>
      </c>
    </row>
    <row r="17" spans="1:3" x14ac:dyDescent="0.35">
      <c r="A17" s="4">
        <v>30681</v>
      </c>
      <c r="B17" s="23">
        <f>OEM!H22</f>
        <v>17.031510000000001</v>
      </c>
      <c r="C17" s="23">
        <v>17.271763789259602</v>
      </c>
    </row>
    <row r="18" spans="1:3" x14ac:dyDescent="0.35">
      <c r="A18" s="4">
        <v>30772</v>
      </c>
      <c r="B18" s="23">
        <f>OEM!H23</f>
        <v>17.689250000000001</v>
      </c>
      <c r="C18" s="23">
        <v>17.447877769792999</v>
      </c>
    </row>
    <row r="19" spans="1:3" x14ac:dyDescent="0.35">
      <c r="A19" s="4">
        <v>30863</v>
      </c>
      <c r="B19" s="23">
        <f>OEM!H24</f>
        <v>17.826989999999999</v>
      </c>
      <c r="C19" s="23">
        <v>17.444857554184399</v>
      </c>
    </row>
    <row r="20" spans="1:3" x14ac:dyDescent="0.35">
      <c r="A20" s="4">
        <v>30955</v>
      </c>
      <c r="B20" s="23">
        <f>OEM!H25</f>
        <v>17.216290000000001</v>
      </c>
      <c r="C20" s="23">
        <v>17.591982093697801</v>
      </c>
    </row>
    <row r="21" spans="1:3" x14ac:dyDescent="0.35">
      <c r="A21" s="4">
        <v>31047</v>
      </c>
      <c r="B21" s="23">
        <f>OEM!H26</f>
        <v>17.498529999999999</v>
      </c>
      <c r="C21" s="23">
        <v>17.749798965411099</v>
      </c>
    </row>
    <row r="22" spans="1:3" x14ac:dyDescent="0.35">
      <c r="A22" s="4">
        <v>31137</v>
      </c>
      <c r="B22" s="23">
        <f>OEM!H27</f>
        <v>18.809449999999998</v>
      </c>
      <c r="C22" s="23">
        <v>18.512846159069099</v>
      </c>
    </row>
    <row r="23" spans="1:3" x14ac:dyDescent="0.35">
      <c r="A23" s="4">
        <v>31228</v>
      </c>
      <c r="B23" s="23">
        <f>OEM!H28</f>
        <v>19.47148</v>
      </c>
      <c r="C23" s="23">
        <v>19.1471671745166</v>
      </c>
    </row>
    <row r="24" spans="1:3" x14ac:dyDescent="0.35">
      <c r="A24" s="4">
        <v>31320</v>
      </c>
      <c r="B24" s="23">
        <f>OEM!H29</f>
        <v>19.13316</v>
      </c>
      <c r="C24" s="23">
        <v>19.500854645695199</v>
      </c>
    </row>
    <row r="25" spans="1:3" x14ac:dyDescent="0.35">
      <c r="A25" s="4">
        <v>31412</v>
      </c>
      <c r="B25" s="23">
        <f>OEM!H30</f>
        <v>19.49944</v>
      </c>
      <c r="C25" s="23">
        <v>19.7375097439405</v>
      </c>
    </row>
    <row r="26" spans="1:3" x14ac:dyDescent="0.35">
      <c r="A26" s="4">
        <v>31502</v>
      </c>
      <c r="B26" s="23">
        <f>OEM!H31</f>
        <v>20.319970000000001</v>
      </c>
      <c r="C26" s="23">
        <v>19.995294680280502</v>
      </c>
    </row>
    <row r="27" spans="1:3" x14ac:dyDescent="0.35">
      <c r="A27" s="4">
        <v>31593</v>
      </c>
      <c r="B27" s="23">
        <f>OEM!H32</f>
        <v>20.360600000000002</v>
      </c>
      <c r="C27" s="23">
        <v>20.087197837410699</v>
      </c>
    </row>
    <row r="28" spans="1:3" x14ac:dyDescent="0.35">
      <c r="A28" s="4">
        <v>31685</v>
      </c>
      <c r="B28" s="23">
        <f>OEM!H33</f>
        <v>19.96302</v>
      </c>
      <c r="C28" s="23">
        <v>20.3285518474367</v>
      </c>
    </row>
    <row r="29" spans="1:3" x14ac:dyDescent="0.35">
      <c r="A29" s="4">
        <v>31777</v>
      </c>
      <c r="B29" s="23">
        <f>OEM!H34</f>
        <v>20.648679999999999</v>
      </c>
      <c r="C29" s="23">
        <v>20.870225181578899</v>
      </c>
    </row>
    <row r="30" spans="1:3" x14ac:dyDescent="0.35">
      <c r="A30" s="4">
        <v>31867</v>
      </c>
      <c r="B30" s="23">
        <f>OEM!H35</f>
        <v>21.42409</v>
      </c>
      <c r="C30" s="23">
        <v>21.2193902919899</v>
      </c>
    </row>
    <row r="31" spans="1:3" x14ac:dyDescent="0.35">
      <c r="A31" s="4">
        <v>31958</v>
      </c>
      <c r="B31" s="23">
        <f>OEM!H36</f>
        <v>21.860009999999999</v>
      </c>
      <c r="C31" s="23">
        <v>21.484441351081099</v>
      </c>
    </row>
    <row r="32" spans="1:3" x14ac:dyDescent="0.35">
      <c r="A32" s="4">
        <v>32050</v>
      </c>
      <c r="B32" s="23">
        <f>OEM!H37</f>
        <v>21.539639999999999</v>
      </c>
      <c r="C32" s="23">
        <v>21.890955055966401</v>
      </c>
    </row>
    <row r="33" spans="1:3" x14ac:dyDescent="0.35">
      <c r="A33" s="4">
        <v>32142</v>
      </c>
      <c r="B33" s="23">
        <f>OEM!H38</f>
        <v>22.348549999999999</v>
      </c>
      <c r="C33" s="23">
        <v>22.5630097749115</v>
      </c>
    </row>
    <row r="34" spans="1:3" x14ac:dyDescent="0.35">
      <c r="A34" s="4">
        <v>32233</v>
      </c>
      <c r="B34" s="23">
        <f>OEM!H39</f>
        <v>23.64554</v>
      </c>
      <c r="C34" s="23">
        <v>23.378835400885801</v>
      </c>
    </row>
    <row r="35" spans="1:3" x14ac:dyDescent="0.35">
      <c r="A35" s="4">
        <v>32324</v>
      </c>
      <c r="B35" s="23">
        <f>OEM!H40</f>
        <v>24.971060000000001</v>
      </c>
      <c r="C35" s="23">
        <v>24.6822194685626</v>
      </c>
    </row>
    <row r="36" spans="1:3" x14ac:dyDescent="0.35">
      <c r="A36" s="4">
        <v>32416</v>
      </c>
      <c r="B36" s="23">
        <f>OEM!H41</f>
        <v>26.512989999999999</v>
      </c>
      <c r="C36" s="23">
        <v>26.855324472929901</v>
      </c>
    </row>
    <row r="37" spans="1:3" x14ac:dyDescent="0.35">
      <c r="A37" s="4">
        <v>32508</v>
      </c>
      <c r="B37" s="23">
        <f>OEM!H42</f>
        <v>28.44218</v>
      </c>
      <c r="C37" s="23">
        <v>28.658937086904</v>
      </c>
    </row>
    <row r="38" spans="1:3" x14ac:dyDescent="0.35">
      <c r="A38" s="4">
        <v>32598</v>
      </c>
      <c r="B38" s="23">
        <f>OEM!H43</f>
        <v>30.178270000000001</v>
      </c>
      <c r="C38" s="23">
        <v>29.9066162314496</v>
      </c>
    </row>
    <row r="39" spans="1:3" x14ac:dyDescent="0.35">
      <c r="A39" s="4">
        <v>32689</v>
      </c>
      <c r="B39" s="23">
        <f>OEM!H44</f>
        <v>31.141940000000002</v>
      </c>
      <c r="C39" s="23">
        <v>30.835985427127799</v>
      </c>
    </row>
    <row r="40" spans="1:3" x14ac:dyDescent="0.35">
      <c r="A40" s="4">
        <v>32781</v>
      </c>
      <c r="B40" s="23">
        <f>OEM!H45</f>
        <v>30.568190000000001</v>
      </c>
      <c r="C40" s="23">
        <v>30.9059871757776</v>
      </c>
    </row>
    <row r="41" spans="1:3" x14ac:dyDescent="0.35">
      <c r="A41" s="4">
        <v>32873</v>
      </c>
      <c r="B41" s="23">
        <f>OEM!H46</f>
        <v>30.58344</v>
      </c>
      <c r="C41" s="23">
        <v>30.819477125768</v>
      </c>
    </row>
    <row r="42" spans="1:3" x14ac:dyDescent="0.35">
      <c r="A42" s="4">
        <v>32963</v>
      </c>
      <c r="B42" s="23">
        <f>OEM!H47</f>
        <v>31.39414</v>
      </c>
      <c r="C42" s="23">
        <v>31.2450684206955</v>
      </c>
    </row>
    <row r="43" spans="1:3" x14ac:dyDescent="0.35">
      <c r="A43" s="4">
        <v>33054</v>
      </c>
      <c r="B43" s="23">
        <f>OEM!H48</f>
        <v>31.868369999999999</v>
      </c>
      <c r="C43" s="23">
        <v>31.449122322913698</v>
      </c>
    </row>
    <row r="44" spans="1:3" x14ac:dyDescent="0.35">
      <c r="A44" s="4">
        <v>33146</v>
      </c>
      <c r="B44" s="23">
        <f>OEM!H49</f>
        <v>31.23123</v>
      </c>
      <c r="C44" s="23">
        <v>31.555480106935299</v>
      </c>
    </row>
    <row r="45" spans="1:3" x14ac:dyDescent="0.35">
      <c r="A45" s="4">
        <v>33238</v>
      </c>
      <c r="B45" s="23">
        <f>OEM!H50</f>
        <v>31.714759999999998</v>
      </c>
      <c r="C45" s="23">
        <v>31.949016249143501</v>
      </c>
    </row>
    <row r="46" spans="1:3" x14ac:dyDescent="0.35">
      <c r="A46" s="4">
        <v>33328</v>
      </c>
      <c r="B46" s="23">
        <f>OEM!H51</f>
        <v>31.97974</v>
      </c>
      <c r="C46" s="23">
        <v>31.748310800599899</v>
      </c>
    </row>
    <row r="47" spans="1:3" x14ac:dyDescent="0.35">
      <c r="A47" s="4">
        <v>33419</v>
      </c>
      <c r="B47" s="23">
        <f>OEM!H52</f>
        <v>32.853839999999998</v>
      </c>
      <c r="C47" s="23">
        <v>32.5340038960436</v>
      </c>
    </row>
    <row r="48" spans="1:3" x14ac:dyDescent="0.35">
      <c r="A48" s="4">
        <v>33511</v>
      </c>
      <c r="B48" s="23">
        <f>OEM!H53</f>
        <v>32.698709999999998</v>
      </c>
      <c r="C48" s="23">
        <v>33.016796581643099</v>
      </c>
    </row>
    <row r="49" spans="1:3" x14ac:dyDescent="0.35">
      <c r="A49" s="4">
        <v>33603</v>
      </c>
      <c r="B49" s="23">
        <f>OEM!H54</f>
        <v>33.16292</v>
      </c>
      <c r="C49" s="23">
        <v>33.401101006642399</v>
      </c>
    </row>
    <row r="50" spans="1:3" x14ac:dyDescent="0.35">
      <c r="A50" s="4">
        <v>33694</v>
      </c>
      <c r="B50" s="23">
        <f>OEM!H55</f>
        <v>33.695929999999997</v>
      </c>
      <c r="C50" s="23">
        <v>33.548084820627203</v>
      </c>
    </row>
    <row r="51" spans="1:3" x14ac:dyDescent="0.35">
      <c r="A51" s="4">
        <v>33785</v>
      </c>
      <c r="B51" s="23">
        <f>OEM!H56</f>
        <v>34.668750000000003</v>
      </c>
      <c r="C51" s="23">
        <v>34.254821032477899</v>
      </c>
    </row>
    <row r="52" spans="1:3" x14ac:dyDescent="0.35">
      <c r="A52" s="4">
        <v>33877</v>
      </c>
      <c r="B52" s="23">
        <f>OEM!H57</f>
        <v>34.718559999999997</v>
      </c>
      <c r="C52" s="23">
        <v>35.0455244714598</v>
      </c>
    </row>
    <row r="53" spans="1:3" x14ac:dyDescent="0.35">
      <c r="A53" s="4">
        <v>33969</v>
      </c>
      <c r="B53" s="23">
        <f>OEM!H58</f>
        <v>35.915669999999999</v>
      </c>
      <c r="C53" s="23">
        <v>36.180757027069603</v>
      </c>
    </row>
    <row r="54" spans="1:3" x14ac:dyDescent="0.35">
      <c r="A54" s="4">
        <v>34059</v>
      </c>
      <c r="B54" s="23">
        <f>OEM!H59</f>
        <v>37.436990000000002</v>
      </c>
      <c r="C54" s="23">
        <v>37.203148237035599</v>
      </c>
    </row>
    <row r="55" spans="1:3" x14ac:dyDescent="0.35">
      <c r="A55" s="4">
        <v>34150</v>
      </c>
      <c r="B55" s="23">
        <f>OEM!H60</f>
        <v>39.486440000000002</v>
      </c>
      <c r="C55" s="23">
        <v>39.120806479606401</v>
      </c>
    </row>
    <row r="56" spans="1:3" x14ac:dyDescent="0.35">
      <c r="A56" s="4">
        <v>34242</v>
      </c>
      <c r="B56" s="23">
        <f>OEM!H61</f>
        <v>40.306609999999999</v>
      </c>
      <c r="C56" s="23">
        <v>40.643675236325898</v>
      </c>
    </row>
    <row r="57" spans="1:3" x14ac:dyDescent="0.35">
      <c r="A57" s="4">
        <v>34334</v>
      </c>
      <c r="B57" s="23">
        <f>OEM!H62</f>
        <v>42.071530000000003</v>
      </c>
      <c r="C57" s="23">
        <v>42.361860973147003</v>
      </c>
    </row>
    <row r="58" spans="1:3" x14ac:dyDescent="0.35">
      <c r="A58" s="4">
        <v>34424</v>
      </c>
      <c r="B58" s="23">
        <f>OEM!H63</f>
        <v>45.761339999999997</v>
      </c>
      <c r="C58" s="23">
        <v>45.416788529703403</v>
      </c>
    </row>
    <row r="59" spans="1:3" x14ac:dyDescent="0.35">
      <c r="A59" s="4">
        <v>34515</v>
      </c>
      <c r="B59" s="23">
        <f>OEM!H64</f>
        <v>48.121180000000003</v>
      </c>
      <c r="C59" s="23">
        <v>47.843243673190599</v>
      </c>
    </row>
    <row r="60" spans="1:3" x14ac:dyDescent="0.35">
      <c r="A60" s="4">
        <v>34607</v>
      </c>
      <c r="B60" s="23">
        <f>OEM!H65</f>
        <v>50.675190000000001</v>
      </c>
      <c r="C60" s="23">
        <v>51.027764439381002</v>
      </c>
    </row>
    <row r="61" spans="1:3" x14ac:dyDescent="0.35">
      <c r="A61" s="4">
        <v>34699</v>
      </c>
      <c r="B61" s="23">
        <f>OEM!H66</f>
        <v>53.382339999999999</v>
      </c>
      <c r="C61" s="23">
        <v>53.6705931409128</v>
      </c>
    </row>
    <row r="62" spans="1:3" x14ac:dyDescent="0.35">
      <c r="A62" s="4">
        <v>34789</v>
      </c>
      <c r="B62" s="23">
        <f>OEM!H67</f>
        <v>56.096069999999997</v>
      </c>
      <c r="C62" s="23">
        <v>55.785970262325797</v>
      </c>
    </row>
    <row r="63" spans="1:3" x14ac:dyDescent="0.35">
      <c r="A63" s="4">
        <v>34880</v>
      </c>
      <c r="B63" s="23">
        <f>OEM!H68</f>
        <v>57.612870000000001</v>
      </c>
      <c r="C63" s="23">
        <v>57.266215575538901</v>
      </c>
    </row>
    <row r="64" spans="1:3" x14ac:dyDescent="0.35">
      <c r="A64" s="4">
        <v>34972</v>
      </c>
      <c r="B64" s="23">
        <f>OEM!H69</f>
        <v>58.154359999999997</v>
      </c>
      <c r="C64" s="23">
        <v>58.533862802570901</v>
      </c>
    </row>
    <row r="65" spans="1:3" x14ac:dyDescent="0.35">
      <c r="A65" s="4">
        <v>35064</v>
      </c>
      <c r="B65" s="23">
        <f>OEM!H70</f>
        <v>59.322009999999999</v>
      </c>
      <c r="C65" s="23">
        <v>59.612396202668499</v>
      </c>
    </row>
    <row r="66" spans="1:3" x14ac:dyDescent="0.35">
      <c r="A66" s="4">
        <v>35155</v>
      </c>
      <c r="B66" s="23">
        <f>OEM!H71</f>
        <v>61.351219999999998</v>
      </c>
      <c r="C66" s="23">
        <v>60.948037103888097</v>
      </c>
    </row>
    <row r="67" spans="1:3" x14ac:dyDescent="0.35">
      <c r="A67" s="4">
        <v>35246</v>
      </c>
      <c r="B67" s="23">
        <f>OEM!H72</f>
        <v>62.836329999999997</v>
      </c>
      <c r="C67" s="23">
        <v>62.576061951598199</v>
      </c>
    </row>
    <row r="68" spans="1:3" x14ac:dyDescent="0.35">
      <c r="A68" s="4">
        <v>35338</v>
      </c>
      <c r="B68" s="23">
        <f>OEM!H73</f>
        <v>62.764270000000003</v>
      </c>
      <c r="C68" s="23">
        <v>63.158369359570401</v>
      </c>
    </row>
    <row r="69" spans="1:3" x14ac:dyDescent="0.35">
      <c r="A69" s="4">
        <v>35430</v>
      </c>
      <c r="B69" s="23">
        <f>OEM!H74</f>
        <v>63.454770000000003</v>
      </c>
      <c r="C69" s="23">
        <v>63.7204631768534</v>
      </c>
    </row>
    <row r="70" spans="1:3" x14ac:dyDescent="0.35">
      <c r="A70" s="4">
        <v>35520</v>
      </c>
      <c r="B70" s="23">
        <f>OEM!H75</f>
        <v>64.517449999999997</v>
      </c>
      <c r="C70" s="23">
        <v>64.029604740882903</v>
      </c>
    </row>
    <row r="71" spans="1:3" x14ac:dyDescent="0.35">
      <c r="A71" s="4">
        <v>35611</v>
      </c>
      <c r="B71" s="23">
        <f>OEM!H76</f>
        <v>64.679900000000004</v>
      </c>
      <c r="C71" s="23">
        <v>64.523574204060296</v>
      </c>
    </row>
    <row r="72" spans="1:3" x14ac:dyDescent="0.35">
      <c r="A72" s="4">
        <v>35703</v>
      </c>
      <c r="B72" s="23">
        <f>OEM!H77</f>
        <v>64.100390000000004</v>
      </c>
      <c r="C72" s="23">
        <v>64.518134157956595</v>
      </c>
    </row>
    <row r="73" spans="1:3" x14ac:dyDescent="0.35">
      <c r="A73" s="4">
        <v>35795</v>
      </c>
      <c r="B73" s="23">
        <f>OEM!H78</f>
        <v>64.089079999999996</v>
      </c>
      <c r="C73" s="23">
        <v>64.314684175435005</v>
      </c>
    </row>
    <row r="74" spans="1:3" x14ac:dyDescent="0.35">
      <c r="A74" s="4">
        <v>35885</v>
      </c>
      <c r="B74" s="23">
        <f>OEM!H79</f>
        <v>64.710470000000001</v>
      </c>
      <c r="C74" s="23">
        <v>64.236038215302301</v>
      </c>
    </row>
    <row r="75" spans="1:3" x14ac:dyDescent="0.35">
      <c r="A75" s="4">
        <v>35976</v>
      </c>
      <c r="B75" s="23">
        <f>OEM!H80</f>
        <v>64.120890000000003</v>
      </c>
      <c r="C75" s="23">
        <v>63.971048956739203</v>
      </c>
    </row>
    <row r="76" spans="1:3" x14ac:dyDescent="0.35">
      <c r="A76" s="4">
        <v>36068</v>
      </c>
      <c r="B76" s="23">
        <f>OEM!H81</f>
        <v>63.181319999999999</v>
      </c>
      <c r="C76" s="23">
        <v>63.624488105252901</v>
      </c>
    </row>
    <row r="77" spans="1:3" x14ac:dyDescent="0.35">
      <c r="A77" s="4">
        <v>36160</v>
      </c>
      <c r="B77" s="23">
        <f>OEM!H82</f>
        <v>63.383989999999997</v>
      </c>
      <c r="C77" s="23">
        <v>63.567537205672501</v>
      </c>
    </row>
    <row r="78" spans="1:3" x14ac:dyDescent="0.35">
      <c r="A78" s="4">
        <v>36250</v>
      </c>
      <c r="B78" s="23">
        <f>OEM!H83</f>
        <v>63.782690000000002</v>
      </c>
      <c r="C78" s="23">
        <v>63.187915206588499</v>
      </c>
    </row>
    <row r="79" spans="1:3" x14ac:dyDescent="0.35">
      <c r="A79" s="4">
        <v>36341</v>
      </c>
      <c r="B79" s="23">
        <f>OEM!H84</f>
        <v>62.731349999999999</v>
      </c>
      <c r="C79" s="23">
        <v>62.713937419880899</v>
      </c>
    </row>
    <row r="80" spans="1:3" x14ac:dyDescent="0.35">
      <c r="A80" s="4">
        <v>36433</v>
      </c>
      <c r="B80" s="23">
        <f>OEM!H85</f>
        <v>62.44576</v>
      </c>
      <c r="C80" s="23">
        <v>62.913075517280703</v>
      </c>
    </row>
    <row r="81" spans="1:3" x14ac:dyDescent="0.35">
      <c r="A81" s="4">
        <v>36525</v>
      </c>
      <c r="B81" s="23">
        <f>OEM!H86</f>
        <v>62.85613</v>
      </c>
      <c r="C81" s="23">
        <v>63.0109880171646</v>
      </c>
    </row>
    <row r="82" spans="1:3" x14ac:dyDescent="0.35">
      <c r="A82" s="4">
        <v>36616</v>
      </c>
      <c r="B82" s="23">
        <f>OEM!H87</f>
        <v>63.846760000000003</v>
      </c>
      <c r="C82" s="23">
        <v>63.282395141205598</v>
      </c>
    </row>
    <row r="83" spans="1:3" x14ac:dyDescent="0.35">
      <c r="A83" s="4">
        <v>36707</v>
      </c>
      <c r="B83" s="23">
        <f>OEM!H88</f>
        <v>62.792090000000002</v>
      </c>
      <c r="C83" s="23">
        <v>62.734560988352001</v>
      </c>
    </row>
    <row r="84" spans="1:3" x14ac:dyDescent="0.35">
      <c r="A84" s="4">
        <v>36799</v>
      </c>
      <c r="B84" s="23">
        <f>OEM!H89</f>
        <v>62.610759999999999</v>
      </c>
      <c r="C84" s="23">
        <v>63.095282659654103</v>
      </c>
    </row>
    <row r="85" spans="1:3" x14ac:dyDescent="0.35">
      <c r="A85" s="4">
        <v>36891</v>
      </c>
      <c r="B85" s="23">
        <f>OEM!H90</f>
        <v>63.440779999999997</v>
      </c>
      <c r="C85" s="23">
        <v>63.590365330944103</v>
      </c>
    </row>
    <row r="86" spans="1:3" x14ac:dyDescent="0.35">
      <c r="A86" s="4">
        <v>36981</v>
      </c>
      <c r="B86" s="23">
        <f>OEM!H91</f>
        <v>64.270880000000005</v>
      </c>
      <c r="C86" s="23">
        <v>63.676391636686198</v>
      </c>
    </row>
    <row r="87" spans="1:3" x14ac:dyDescent="0.35">
      <c r="A87" s="4">
        <v>37072</v>
      </c>
      <c r="B87" s="23">
        <f>OEM!H92</f>
        <v>63.776119999999999</v>
      </c>
      <c r="C87" s="23">
        <v>63.732128537542401</v>
      </c>
    </row>
    <row r="88" spans="1:3" x14ac:dyDescent="0.35">
      <c r="A88" s="4">
        <v>37164</v>
      </c>
      <c r="B88" s="23">
        <f>OEM!H93</f>
        <v>63.107509999999998</v>
      </c>
      <c r="C88" s="23">
        <v>63.5924150949661</v>
      </c>
    </row>
    <row r="89" spans="1:3" x14ac:dyDescent="0.35">
      <c r="A89" s="4">
        <v>37256</v>
      </c>
      <c r="B89" s="23">
        <f>OEM!H94</f>
        <v>63.355899999999998</v>
      </c>
      <c r="C89" s="23">
        <v>63.514939469963402</v>
      </c>
    </row>
    <row r="90" spans="1:3" x14ac:dyDescent="0.35">
      <c r="A90" s="4">
        <v>37346</v>
      </c>
      <c r="B90" s="23">
        <f>OEM!H95</f>
        <v>63.885300000000001</v>
      </c>
      <c r="C90" s="23">
        <v>63.186606344528698</v>
      </c>
    </row>
    <row r="91" spans="1:3" x14ac:dyDescent="0.35">
      <c r="A91" s="4">
        <v>37437</v>
      </c>
      <c r="B91" s="23">
        <f>OEM!H96</f>
        <v>63.094900000000003</v>
      </c>
      <c r="C91" s="23">
        <v>63.149248085356703</v>
      </c>
    </row>
    <row r="92" spans="1:3" x14ac:dyDescent="0.35">
      <c r="A92" s="4">
        <v>37529</v>
      </c>
      <c r="B92" s="23">
        <f>OEM!H97</f>
        <v>62.62377</v>
      </c>
      <c r="C92" s="23">
        <v>63.104295228767597</v>
      </c>
    </row>
    <row r="93" spans="1:3" x14ac:dyDescent="0.35">
      <c r="A93" s="4">
        <v>37621</v>
      </c>
      <c r="B93" s="23">
        <f>OEM!H98</f>
        <v>62.954540000000001</v>
      </c>
      <c r="C93" s="23">
        <v>63.128049962949497</v>
      </c>
    </row>
    <row r="94" spans="1:3" x14ac:dyDescent="0.35">
      <c r="A94" s="4">
        <v>37711</v>
      </c>
      <c r="B94" s="23">
        <f>OEM!H99</f>
        <v>64.203869999999995</v>
      </c>
      <c r="C94" s="23">
        <v>63.601336812109899</v>
      </c>
    </row>
    <row r="95" spans="1:3" x14ac:dyDescent="0.35">
      <c r="A95" s="4">
        <v>37802</v>
      </c>
      <c r="B95" s="23">
        <f>OEM!H100</f>
        <v>63.516460000000002</v>
      </c>
      <c r="C95" s="23">
        <v>63.464747844511898</v>
      </c>
    </row>
    <row r="96" spans="1:3" x14ac:dyDescent="0.35">
      <c r="A96" s="4">
        <v>37894</v>
      </c>
      <c r="B96" s="23">
        <f>OEM!H101</f>
        <v>63.146160000000002</v>
      </c>
      <c r="C96" s="23">
        <v>63.607546335677299</v>
      </c>
    </row>
    <row r="97" spans="1:3" x14ac:dyDescent="0.35">
      <c r="A97" s="4">
        <v>37986</v>
      </c>
      <c r="B97" s="23">
        <f>OEM!H102</f>
        <v>64.63364</v>
      </c>
      <c r="C97" s="23">
        <v>64.833921711268502</v>
      </c>
    </row>
    <row r="98" spans="1:3" x14ac:dyDescent="0.35">
      <c r="A98" s="4">
        <v>38077</v>
      </c>
      <c r="B98" s="23">
        <f>OEM!H103</f>
        <v>65.979309999999998</v>
      </c>
      <c r="C98" s="23">
        <v>65.3568777490825</v>
      </c>
    </row>
    <row r="99" spans="1:3" x14ac:dyDescent="0.35">
      <c r="A99" s="4">
        <v>38168</v>
      </c>
      <c r="B99" s="23">
        <f>OEM!H104</f>
        <v>66.308700000000002</v>
      </c>
      <c r="C99" s="23">
        <v>66.283728667572504</v>
      </c>
    </row>
    <row r="100" spans="1:3" x14ac:dyDescent="0.35">
      <c r="A100" s="4">
        <v>38260</v>
      </c>
      <c r="B100" s="23">
        <f>OEM!H105</f>
        <v>66.471689999999995</v>
      </c>
      <c r="C100" s="23">
        <v>66.882686631667795</v>
      </c>
    </row>
    <row r="101" spans="1:3" x14ac:dyDescent="0.35">
      <c r="A101" s="4">
        <v>38352</v>
      </c>
      <c r="B101" s="23">
        <f>OEM!H106</f>
        <v>66.676770000000005</v>
      </c>
      <c r="C101" s="23">
        <v>66.905091624663399</v>
      </c>
    </row>
    <row r="102" spans="1:3" x14ac:dyDescent="0.35">
      <c r="A102" s="4">
        <v>38442</v>
      </c>
      <c r="B102" s="23">
        <f>OEM!H107</f>
        <v>67.847759999999994</v>
      </c>
      <c r="C102" s="23">
        <v>67.176297911719402</v>
      </c>
    </row>
    <row r="103" spans="1:3" x14ac:dyDescent="0.35">
      <c r="A103" s="4">
        <v>38533</v>
      </c>
      <c r="B103" s="23">
        <f>OEM!H108</f>
        <v>67.458240000000004</v>
      </c>
      <c r="C103" s="23">
        <v>67.510383652342398</v>
      </c>
    </row>
    <row r="104" spans="1:3" x14ac:dyDescent="0.35">
      <c r="A104" s="4">
        <v>38625</v>
      </c>
      <c r="B104" s="23">
        <f>OEM!H109</f>
        <v>67.356579999999994</v>
      </c>
      <c r="C104" s="23">
        <v>67.725142691827699</v>
      </c>
    </row>
    <row r="105" spans="1:3" x14ac:dyDescent="0.35">
      <c r="A105" s="4">
        <v>38717</v>
      </c>
      <c r="B105" s="23">
        <f>OEM!H110</f>
        <v>67.587900000000005</v>
      </c>
      <c r="C105" s="23">
        <v>67.837623615214994</v>
      </c>
    </row>
    <row r="106" spans="1:3" x14ac:dyDescent="0.35">
      <c r="A106" s="4">
        <v>38807</v>
      </c>
      <c r="B106" s="23">
        <f>OEM!H111</f>
        <v>68.660259999999994</v>
      </c>
      <c r="C106" s="23">
        <v>68.095877393148001</v>
      </c>
    </row>
    <row r="107" spans="1:3" x14ac:dyDescent="0.35">
      <c r="A107" s="4">
        <v>38898</v>
      </c>
      <c r="B107" s="23">
        <f>OEM!H112</f>
        <v>68.379840000000002</v>
      </c>
      <c r="C107" s="23">
        <v>68.341970443214706</v>
      </c>
    </row>
    <row r="108" spans="1:3" x14ac:dyDescent="0.35">
      <c r="A108" s="4">
        <v>38990</v>
      </c>
      <c r="B108" s="23">
        <f>OEM!H113</f>
        <v>68.210040000000006</v>
      </c>
      <c r="C108" s="23">
        <v>68.543150704637895</v>
      </c>
    </row>
    <row r="109" spans="1:3" x14ac:dyDescent="0.35">
      <c r="A109" s="4">
        <v>39082</v>
      </c>
      <c r="B109" s="23">
        <f>OEM!H114</f>
        <v>68.962389999999999</v>
      </c>
      <c r="C109" s="23">
        <v>69.231164164639793</v>
      </c>
    </row>
    <row r="110" spans="1:3" x14ac:dyDescent="0.35">
      <c r="A110" s="4">
        <v>39172</v>
      </c>
      <c r="B110" s="23">
        <f>OEM!H115</f>
        <v>70.536450000000002</v>
      </c>
      <c r="C110" s="23">
        <v>69.922028702309007</v>
      </c>
    </row>
    <row r="111" spans="1:3" x14ac:dyDescent="0.35">
      <c r="A111" s="4">
        <v>39263</v>
      </c>
      <c r="B111" s="23">
        <f>OEM!H116</f>
        <v>70.840289999999996</v>
      </c>
      <c r="C111" s="23">
        <v>70.870301727654393</v>
      </c>
    </row>
    <row r="112" spans="1:3" x14ac:dyDescent="0.35">
      <c r="A112" s="4">
        <v>39355</v>
      </c>
      <c r="B112" s="23">
        <f>OEM!H117</f>
        <v>72.371409999999997</v>
      </c>
      <c r="C112" s="23">
        <v>72.673698566263099</v>
      </c>
    </row>
    <row r="113" spans="1:3" x14ac:dyDescent="0.35">
      <c r="A113" s="4">
        <v>39447</v>
      </c>
      <c r="B113" s="23">
        <f>OEM!H118</f>
        <v>73.536720000000003</v>
      </c>
      <c r="C113" s="23">
        <v>73.822819014079002</v>
      </c>
    </row>
    <row r="114" spans="1:3" x14ac:dyDescent="0.35">
      <c r="A114" s="4">
        <v>39538</v>
      </c>
      <c r="B114" s="23">
        <f>OEM!H119</f>
        <v>76.204909999999998</v>
      </c>
      <c r="C114" s="23">
        <v>75.548788497972893</v>
      </c>
    </row>
    <row r="115" spans="1:3" x14ac:dyDescent="0.35">
      <c r="A115" s="4">
        <v>39629</v>
      </c>
      <c r="B115" s="23">
        <f>OEM!H120</f>
        <v>76.341170000000005</v>
      </c>
      <c r="C115" s="23">
        <v>76.417005904371607</v>
      </c>
    </row>
    <row r="116" spans="1:3" x14ac:dyDescent="0.35">
      <c r="A116" s="4">
        <v>39721</v>
      </c>
      <c r="B116" s="23">
        <f>OEM!H121</f>
        <v>76.179370000000006</v>
      </c>
      <c r="C116" s="23">
        <v>76.454499433782004</v>
      </c>
    </row>
    <row r="117" spans="1:3" x14ac:dyDescent="0.35">
      <c r="A117" s="4">
        <v>39813</v>
      </c>
      <c r="B117" s="23">
        <f>OEM!H122</f>
        <v>75.39452</v>
      </c>
      <c r="C117" s="23">
        <v>75.673001760680904</v>
      </c>
    </row>
    <row r="118" spans="1:3" x14ac:dyDescent="0.35">
      <c r="A118" s="4">
        <v>39903</v>
      </c>
      <c r="B118" s="23">
        <f>OEM!H123</f>
        <v>75.738579999999999</v>
      </c>
      <c r="C118" s="23">
        <v>75.177806966202994</v>
      </c>
    </row>
    <row r="119" spans="1:3" x14ac:dyDescent="0.35">
      <c r="A119" s="4">
        <v>39994</v>
      </c>
      <c r="B119" s="23">
        <f>OEM!H124</f>
        <v>75.170720000000003</v>
      </c>
      <c r="C119" s="23">
        <v>75.197922381076495</v>
      </c>
    </row>
    <row r="120" spans="1:3" x14ac:dyDescent="0.35">
      <c r="A120" s="4">
        <v>40086</v>
      </c>
      <c r="B120" s="23">
        <f>OEM!H125</f>
        <v>75.214370000000002</v>
      </c>
      <c r="C120" s="23">
        <v>75.494870935357497</v>
      </c>
    </row>
    <row r="121" spans="1:3" x14ac:dyDescent="0.35">
      <c r="A121" s="4">
        <v>40178</v>
      </c>
      <c r="B121" s="23">
        <f>OEM!H126</f>
        <v>75.893420000000006</v>
      </c>
      <c r="C121" s="23">
        <v>76.138423484902205</v>
      </c>
    </row>
    <row r="122" spans="1:3" x14ac:dyDescent="0.35">
      <c r="A122" s="4">
        <v>40268</v>
      </c>
      <c r="B122" s="23">
        <f>OEM!H127</f>
        <v>77.404499999999999</v>
      </c>
      <c r="C122" s="23">
        <v>76.781481985312098</v>
      </c>
    </row>
    <row r="123" spans="1:3" x14ac:dyDescent="0.35">
      <c r="A123" s="4">
        <v>40359</v>
      </c>
      <c r="B123" s="23">
        <f>OEM!H128</f>
        <v>77.375630000000001</v>
      </c>
      <c r="C123" s="23">
        <v>77.477622144299801</v>
      </c>
    </row>
    <row r="124" spans="1:3" x14ac:dyDescent="0.35">
      <c r="A124" s="4">
        <v>40451</v>
      </c>
      <c r="B124" s="23">
        <f>OEM!H129</f>
        <v>77.82217</v>
      </c>
      <c r="C124" s="23">
        <v>78.107081026134907</v>
      </c>
    </row>
    <row r="125" spans="1:3" x14ac:dyDescent="0.35">
      <c r="A125" s="4">
        <v>40543</v>
      </c>
      <c r="B125" s="23">
        <f>OEM!H130</f>
        <v>79.460499999999996</v>
      </c>
      <c r="C125" s="23">
        <v>79.692766683535893</v>
      </c>
    </row>
    <row r="126" spans="1:3" x14ac:dyDescent="0.35">
      <c r="A126" s="4">
        <v>40633</v>
      </c>
      <c r="B126" s="23">
        <f>OEM!H131</f>
        <v>81.32629</v>
      </c>
      <c r="C126" s="23">
        <v>80.789240297484795</v>
      </c>
    </row>
    <row r="127" spans="1:3" x14ac:dyDescent="0.35">
      <c r="A127" s="4">
        <v>40724</v>
      </c>
      <c r="B127" s="23">
        <f>OEM!H132</f>
        <v>81.810590000000005</v>
      </c>
      <c r="C127" s="23">
        <v>81.844744757562594</v>
      </c>
    </row>
    <row r="128" spans="1:3" x14ac:dyDescent="0.35">
      <c r="A128" s="4">
        <v>40816</v>
      </c>
      <c r="B128" s="23">
        <f>OEM!H133</f>
        <v>82.698359999999994</v>
      </c>
      <c r="C128" s="23">
        <v>82.962005492452604</v>
      </c>
    </row>
    <row r="129" spans="1:3" x14ac:dyDescent="0.35">
      <c r="A129" s="4">
        <v>40908</v>
      </c>
      <c r="B129" s="23">
        <f>OEM!H134</f>
        <v>83.112819999999999</v>
      </c>
      <c r="C129" s="23">
        <v>83.338075063134696</v>
      </c>
    </row>
    <row r="130" spans="1:3" x14ac:dyDescent="0.35">
      <c r="A130" s="4">
        <v>40999</v>
      </c>
      <c r="B130" s="23">
        <f>OEM!H135</f>
        <v>84.387500000000003</v>
      </c>
      <c r="C130" s="23">
        <v>83.803471578014097</v>
      </c>
    </row>
    <row r="131" spans="1:3" x14ac:dyDescent="0.35">
      <c r="A131" s="4">
        <v>41090</v>
      </c>
      <c r="B131" s="23">
        <f>OEM!H136</f>
        <v>84.155349999999999</v>
      </c>
      <c r="C131" s="23">
        <v>84.265071632037007</v>
      </c>
    </row>
    <row r="132" spans="1:3" x14ac:dyDescent="0.35">
      <c r="A132" s="4">
        <v>41182</v>
      </c>
      <c r="B132" s="23">
        <f>OEM!H137</f>
        <v>84.269739999999999</v>
      </c>
      <c r="C132" s="23">
        <v>84.517456974145901</v>
      </c>
    </row>
    <row r="133" spans="1:3" x14ac:dyDescent="0.35">
      <c r="A133" s="4">
        <v>41274</v>
      </c>
      <c r="B133" s="23">
        <f>OEM!H138</f>
        <v>84.830520000000007</v>
      </c>
      <c r="C133" s="23">
        <v>85.048801587061206</v>
      </c>
    </row>
    <row r="134" spans="1:3" x14ac:dyDescent="0.35">
      <c r="A134" s="4">
        <v>41364</v>
      </c>
      <c r="B134" s="23">
        <f>OEM!H139</f>
        <v>86.440439999999995</v>
      </c>
      <c r="C134" s="23">
        <v>85.815746198421905</v>
      </c>
    </row>
    <row r="135" spans="1:3" x14ac:dyDescent="0.35">
      <c r="A135" s="4">
        <v>41455</v>
      </c>
      <c r="B135" s="23">
        <f>OEM!H140</f>
        <v>86.174580000000006</v>
      </c>
      <c r="C135" s="23">
        <v>86.352809242272798</v>
      </c>
    </row>
    <row r="136" spans="1:3" x14ac:dyDescent="0.35">
      <c r="A136" s="4">
        <v>41547</v>
      </c>
      <c r="B136" s="23">
        <f>OEM!H141</f>
        <v>86.629800000000003</v>
      </c>
      <c r="C136" s="23">
        <v>86.854802711798101</v>
      </c>
    </row>
    <row r="137" spans="1:3" x14ac:dyDescent="0.35">
      <c r="A137" s="4">
        <v>41639</v>
      </c>
      <c r="B137" s="23">
        <f>OEM!H142</f>
        <v>87.289749999999998</v>
      </c>
      <c r="C137" s="23">
        <v>87.493182402979798</v>
      </c>
    </row>
    <row r="138" spans="1:3" x14ac:dyDescent="0.35">
      <c r="A138" s="4">
        <v>41729</v>
      </c>
      <c r="B138" s="23">
        <f>OEM!H143</f>
        <v>88.427779999999998</v>
      </c>
      <c r="C138" s="23">
        <v>87.923351254137003</v>
      </c>
    </row>
    <row r="139" spans="1:3" x14ac:dyDescent="0.35">
      <c r="A139" s="4">
        <v>41820</v>
      </c>
      <c r="B139" s="23">
        <f>OEM!H144</f>
        <v>88.069739999999996</v>
      </c>
      <c r="C139" s="23">
        <v>88.168380089379298</v>
      </c>
    </row>
    <row r="140" spans="1:3" x14ac:dyDescent="0.35">
      <c r="A140" s="4">
        <v>41912</v>
      </c>
      <c r="B140" s="23">
        <f>OEM!H145</f>
        <v>88.332099999999997</v>
      </c>
      <c r="C140" s="23">
        <v>88.527302384715796</v>
      </c>
    </row>
    <row r="141" spans="1:3" x14ac:dyDescent="0.35">
      <c r="A141" s="4">
        <v>42004</v>
      </c>
      <c r="B141" s="23">
        <f>OEM!H146</f>
        <v>88.599119999999999</v>
      </c>
      <c r="C141" s="23">
        <v>88.7905134226217</v>
      </c>
    </row>
    <row r="142" spans="1:3" x14ac:dyDescent="0.35">
      <c r="A142" s="4">
        <v>42094</v>
      </c>
      <c r="B142" s="23">
        <f>OEM!H147</f>
        <v>89.489270000000005</v>
      </c>
      <c r="C142" s="23">
        <v>88.929327929905099</v>
      </c>
    </row>
    <row r="143" spans="1:3" x14ac:dyDescent="0.35">
      <c r="A143" s="4">
        <v>42185</v>
      </c>
      <c r="B143" s="23">
        <f>OEM!H148</f>
        <v>89.273300000000006</v>
      </c>
      <c r="C143" s="23">
        <v>89.469979242936603</v>
      </c>
    </row>
    <row r="144" spans="1:3" x14ac:dyDescent="0.35">
      <c r="A144" s="4">
        <v>42277</v>
      </c>
      <c r="B144" s="23">
        <f>OEM!H149</f>
        <v>89.863079999999997</v>
      </c>
      <c r="C144" s="23">
        <v>90.034976038749306</v>
      </c>
    </row>
    <row r="145" spans="1:3" x14ac:dyDescent="0.35">
      <c r="A145" s="4">
        <v>42369</v>
      </c>
      <c r="B145" s="23">
        <f>OEM!H150</f>
        <v>89.89855</v>
      </c>
      <c r="C145" s="23">
        <v>90.071797067246294</v>
      </c>
    </row>
    <row r="146" spans="1:3" x14ac:dyDescent="0.35">
      <c r="A146" s="4">
        <v>42460</v>
      </c>
      <c r="B146" s="23">
        <f>OEM!H151</f>
        <v>91.399259999999998</v>
      </c>
      <c r="C146" s="23">
        <v>90.823268596626093</v>
      </c>
    </row>
    <row r="147" spans="1:3" x14ac:dyDescent="0.35">
      <c r="A147" s="4">
        <v>42551</v>
      </c>
      <c r="B147" s="23">
        <f>OEM!H152</f>
        <v>91.118430000000004</v>
      </c>
      <c r="C147" s="23">
        <v>91.371322825047997</v>
      </c>
    </row>
    <row r="148" spans="1:3" x14ac:dyDescent="0.35">
      <c r="A148" s="4">
        <v>42643</v>
      </c>
      <c r="B148" s="23">
        <f>OEM!H153</f>
        <v>91.36063</v>
      </c>
      <c r="C148" s="23">
        <v>91.520327485699795</v>
      </c>
    </row>
    <row r="149" spans="1:3" x14ac:dyDescent="0.35">
      <c r="A149" s="4">
        <v>42735</v>
      </c>
      <c r="B149" s="23">
        <f>OEM!H154</f>
        <v>91.846249999999998</v>
      </c>
      <c r="C149" s="23">
        <v>91.985216305578106</v>
      </c>
    </row>
    <row r="150" spans="1:3" x14ac:dyDescent="0.35">
      <c r="A150" s="4">
        <v>42825</v>
      </c>
      <c r="B150" s="23">
        <f>OEM!H155</f>
        <v>92.674160000000001</v>
      </c>
      <c r="C150" s="23">
        <v>92.209543057457196</v>
      </c>
    </row>
    <row r="151" spans="1:3" x14ac:dyDescent="0.35">
      <c r="A151" s="4">
        <v>42916</v>
      </c>
      <c r="B151" s="23">
        <f>OEM!H156</f>
        <v>92.393749999999997</v>
      </c>
      <c r="C151" s="23">
        <v>92.586184278345996</v>
      </c>
    </row>
    <row r="152" spans="1:3" x14ac:dyDescent="0.35">
      <c r="A152" s="4">
        <v>43008</v>
      </c>
      <c r="B152" s="23">
        <f>OEM!H157</f>
        <v>92.822460000000007</v>
      </c>
      <c r="C152" s="23">
        <v>92.970187223703505</v>
      </c>
    </row>
    <row r="153" spans="1:3" x14ac:dyDescent="0.35">
      <c r="A153" s="4">
        <v>43100</v>
      </c>
      <c r="B153" s="23">
        <f>OEM!H158</f>
        <v>93.499459999999999</v>
      </c>
      <c r="C153" s="23">
        <v>93.602130214165797</v>
      </c>
    </row>
    <row r="154" spans="1:3" x14ac:dyDescent="0.35">
      <c r="A154" s="4">
        <v>43190</v>
      </c>
      <c r="B154" s="23">
        <f>OEM!H159</f>
        <v>94.681979999999996</v>
      </c>
      <c r="C154" s="23">
        <v>94.122399566722905</v>
      </c>
    </row>
    <row r="155" spans="1:3" x14ac:dyDescent="0.35">
      <c r="A155" s="4">
        <v>43281</v>
      </c>
      <c r="B155" s="23">
        <f>OEM!H160</f>
        <v>94.087599999999995</v>
      </c>
      <c r="C155" s="23">
        <v>94.422067900722794</v>
      </c>
    </row>
    <row r="156" spans="1:3" x14ac:dyDescent="0.35">
      <c r="A156" s="4">
        <v>43373</v>
      </c>
      <c r="B156" s="23">
        <f>OEM!H161</f>
        <v>94.957989999999995</v>
      </c>
      <c r="C156" s="23">
        <v>95.085409608958898</v>
      </c>
    </row>
    <row r="157" spans="1:3" x14ac:dyDescent="0.35">
      <c r="A157" s="4">
        <v>43465</v>
      </c>
      <c r="B157" s="23">
        <f>OEM!H162</f>
        <v>95.556259999999995</v>
      </c>
      <c r="C157" s="23">
        <v>95.634536993192597</v>
      </c>
    </row>
    <row r="158" spans="1:3" x14ac:dyDescent="0.35">
      <c r="A158" s="4">
        <v>43555</v>
      </c>
      <c r="B158" s="23">
        <f>OEM!H163</f>
        <v>96.416759999999996</v>
      </c>
      <c r="C158" s="23">
        <v>95.970039252524401</v>
      </c>
    </row>
    <row r="159" spans="1:3" x14ac:dyDescent="0.35">
      <c r="A159" s="4">
        <v>43646</v>
      </c>
      <c r="B159" s="23">
        <f>OEM!H164</f>
        <v>96.565150000000003</v>
      </c>
      <c r="C159" s="23">
        <v>96.826475114906302</v>
      </c>
    </row>
    <row r="160" spans="1:3" x14ac:dyDescent="0.35">
      <c r="A160" s="4">
        <v>43738</v>
      </c>
      <c r="B160" s="23">
        <f>OEM!H165</f>
        <v>97.68056</v>
      </c>
      <c r="C160" s="23">
        <v>97.786667491448995</v>
      </c>
    </row>
    <row r="161" spans="1:3" x14ac:dyDescent="0.35">
      <c r="A161" s="4">
        <v>43830</v>
      </c>
      <c r="B161" s="23">
        <f>OEM!H166</f>
        <v>99.632739999999998</v>
      </c>
      <c r="C161" s="23">
        <v>99.7152360359797</v>
      </c>
    </row>
    <row r="162" spans="1:3" x14ac:dyDescent="0.35">
      <c r="A162" s="4">
        <v>43921</v>
      </c>
      <c r="B162" s="23">
        <f>OEM!H167</f>
        <v>101.2046</v>
      </c>
      <c r="C162" s="23">
        <v>100.73382186850699</v>
      </c>
    </row>
    <row r="163" spans="1:3" x14ac:dyDescent="0.35">
      <c r="A163" s="4">
        <v>44012</v>
      </c>
      <c r="B163" s="23">
        <f>OEM!H168</f>
        <v>99.204620000000006</v>
      </c>
      <c r="C163" s="23">
        <v>99.498268026675504</v>
      </c>
    </row>
    <row r="164" spans="1:3" x14ac:dyDescent="0.35">
      <c r="A164" s="4">
        <v>44104</v>
      </c>
      <c r="B164" s="23">
        <f>OEM!H169</f>
        <v>99.892039999999994</v>
      </c>
      <c r="C164" s="23">
        <v>99.949736688045704</v>
      </c>
    </row>
    <row r="165" spans="1:3" x14ac:dyDescent="0.35">
      <c r="A165" s="4">
        <v>44196</v>
      </c>
      <c r="B165" s="23">
        <f>OEM!H170</f>
        <v>99.698759999999993</v>
      </c>
      <c r="C165" s="23">
        <v>99.804672510657596</v>
      </c>
    </row>
    <row r="166" spans="1:3" x14ac:dyDescent="0.35">
      <c r="A166" s="4">
        <v>44286</v>
      </c>
      <c r="B166" s="23">
        <f>OEM!H171</f>
        <v>101.17</v>
      </c>
      <c r="C166" s="23">
        <v>100.67875548926899</v>
      </c>
    </row>
    <row r="167" spans="1:3" x14ac:dyDescent="0.35">
      <c r="A167" s="4">
        <v>44377</v>
      </c>
      <c r="B167" s="23">
        <f>OEM!H172</f>
        <v>100.2953</v>
      </c>
      <c r="C167" s="23">
        <v>100.65827594799499</v>
      </c>
    </row>
    <row r="168" spans="1:3" x14ac:dyDescent="0.35">
      <c r="A168" s="4">
        <v>44469</v>
      </c>
      <c r="B168" s="23">
        <f>OEM!H173</f>
        <v>100.7242</v>
      </c>
      <c r="C168" s="23">
        <v>100.712415400556</v>
      </c>
    </row>
    <row r="169" spans="1:3" x14ac:dyDescent="0.35">
      <c r="A169" s="4">
        <v>44561</v>
      </c>
      <c r="B169" s="23">
        <f>OEM!H174</f>
        <v>101.4588</v>
      </c>
      <c r="C169" s="23">
        <v>101.570404037733</v>
      </c>
    </row>
    <row r="170" spans="1:3" x14ac:dyDescent="0.35">
      <c r="A170" s="4">
        <v>44651</v>
      </c>
      <c r="B170" s="23">
        <f>OEM!H175</f>
        <v>102.28279999999999</v>
      </c>
      <c r="C170" s="23">
        <v>101.928972537973</v>
      </c>
    </row>
    <row r="171" spans="1:3" x14ac:dyDescent="0.35">
      <c r="A171" s="4">
        <v>44742</v>
      </c>
      <c r="B171" s="23">
        <f>OEM!H176</f>
        <v>102.53489999999999</v>
      </c>
      <c r="C171" s="23">
        <v>102.83970653512399</v>
      </c>
    </row>
    <row r="172" spans="1:3" x14ac:dyDescent="0.35">
      <c r="A172" s="4">
        <v>44834</v>
      </c>
      <c r="B172" s="23">
        <f>OEM!H177</f>
        <v>103.4102</v>
      </c>
      <c r="C172" s="23">
        <v>103.31347249168201</v>
      </c>
    </row>
    <row r="173" spans="1:3" x14ac:dyDescent="0.35">
      <c r="A173" s="4">
        <v>44926</v>
      </c>
      <c r="B173" s="23">
        <f>OEM!H178</f>
        <v>103.3189</v>
      </c>
      <c r="C173" s="23">
        <v>103.426560620803</v>
      </c>
    </row>
    <row r="174" spans="1:3" x14ac:dyDescent="0.35">
      <c r="A174" s="4">
        <v>45016</v>
      </c>
      <c r="B174" s="23">
        <f>OEM!H179</f>
        <v>103.5754</v>
      </c>
      <c r="C174" s="23">
        <v>103.221234523012</v>
      </c>
    </row>
    <row r="175" spans="1:3" x14ac:dyDescent="0.35">
      <c r="A175" s="4">
        <v>45107</v>
      </c>
      <c r="B175" s="23">
        <f>OEM!H180</f>
        <v>102.6373</v>
      </c>
      <c r="C175" s="23">
        <v>103.02326221349701</v>
      </c>
    </row>
    <row r="176" spans="1:3" x14ac:dyDescent="0.35">
      <c r="A176" s="4">
        <v>45199</v>
      </c>
      <c r="B176" s="23">
        <f>OEM!H181</f>
        <v>103.3413</v>
      </c>
      <c r="C176" s="23">
        <v>103.173441258582</v>
      </c>
    </row>
    <row r="177" spans="1:3" x14ac:dyDescent="0.35">
      <c r="A177" s="4">
        <v>45291</v>
      </c>
      <c r="B177" s="23">
        <f>OEM!H182</f>
        <v>102.9747</v>
      </c>
      <c r="C177" s="23">
        <v>103.09283089302301</v>
      </c>
    </row>
    <row r="178" spans="1:3" x14ac:dyDescent="0.35">
      <c r="A178" s="4">
        <v>45382</v>
      </c>
      <c r="B178" s="23">
        <f>OEM!H183</f>
        <v>103.57510000000001</v>
      </c>
      <c r="C178" s="23">
        <v>103.198071042149</v>
      </c>
    </row>
    <row r="179" spans="1:3" x14ac:dyDescent="0.35">
      <c r="A179" s="4">
        <v>45473</v>
      </c>
      <c r="B179" s="23">
        <f>OEM!H184</f>
        <v>102.9111</v>
      </c>
      <c r="C179" s="23">
        <v>103.372085058011</v>
      </c>
    </row>
    <row r="180" spans="1:3" x14ac:dyDescent="0.35">
      <c r="A180" s="4">
        <v>45565</v>
      </c>
      <c r="B180" s="23">
        <f>OEM!H185</f>
        <v>103.8579</v>
      </c>
      <c r="C180" s="23">
        <v>103.631203817241</v>
      </c>
    </row>
    <row r="181" spans="1:3" x14ac:dyDescent="0.35">
      <c r="A181" s="4">
        <v>45657</v>
      </c>
      <c r="B181" s="23">
        <f>OEM!H186</f>
        <v>103.1808</v>
      </c>
      <c r="C181" s="23">
        <v>103.30419532353</v>
      </c>
    </row>
    <row r="182" spans="1:3" x14ac:dyDescent="0.35">
      <c r="A182" s="4">
        <v>45747</v>
      </c>
      <c r="B182" s="23">
        <f>OEM!H187</f>
        <v>103.4686</v>
      </c>
      <c r="C182" s="23">
        <v>103.218801144952</v>
      </c>
    </row>
    <row r="183" spans="1:3" x14ac:dyDescent="0.35">
      <c r="A183" s="4">
        <v>45838</v>
      </c>
      <c r="B183" s="23">
        <f>OEM!H188</f>
        <v>102.8767</v>
      </c>
      <c r="C183" s="23">
        <v>103.252516185657</v>
      </c>
    </row>
    <row r="184" spans="1:3" x14ac:dyDescent="0.35">
      <c r="B184" s="23"/>
      <c r="C184" s="23"/>
    </row>
    <row r="185" spans="1:3" x14ac:dyDescent="0.35">
      <c r="B185" s="23"/>
      <c r="C185" s="23"/>
    </row>
    <row r="186" spans="1:3" x14ac:dyDescent="0.35">
      <c r="B186" s="23"/>
      <c r="C186" s="23"/>
    </row>
    <row r="187" spans="1:3" x14ac:dyDescent="0.35">
      <c r="B187" s="23"/>
      <c r="C187" s="23"/>
    </row>
    <row r="188" spans="1:3" x14ac:dyDescent="0.35">
      <c r="B188" s="23"/>
      <c r="C188" s="23"/>
    </row>
    <row r="189" spans="1:3" x14ac:dyDescent="0.35">
      <c r="B189" s="23"/>
      <c r="C189" s="23"/>
    </row>
    <row r="190" spans="1:3" x14ac:dyDescent="0.35">
      <c r="B190" s="23"/>
      <c r="C190" s="23"/>
    </row>
    <row r="191" spans="1:3" x14ac:dyDescent="0.35">
      <c r="B191" s="23"/>
      <c r="C191" s="23"/>
    </row>
    <row r="192" spans="1:3" x14ac:dyDescent="0.35">
      <c r="B192" s="23"/>
      <c r="C192" s="23"/>
    </row>
    <row r="193" spans="2:3" x14ac:dyDescent="0.35">
      <c r="B193" s="23"/>
      <c r="C193" s="23"/>
    </row>
    <row r="194" spans="2:3" x14ac:dyDescent="0.35">
      <c r="B194" s="23"/>
      <c r="C194" s="23"/>
    </row>
    <row r="195" spans="2:3" x14ac:dyDescent="0.35">
      <c r="B195" s="23"/>
      <c r="C195" s="23"/>
    </row>
    <row r="196" spans="2:3" x14ac:dyDescent="0.35">
      <c r="B196" s="23"/>
      <c r="C196" s="23"/>
    </row>
    <row r="197" spans="2:3" x14ac:dyDescent="0.35">
      <c r="B197" s="23"/>
      <c r="C197" s="23"/>
    </row>
    <row r="198" spans="2:3" x14ac:dyDescent="0.35">
      <c r="B198" s="23"/>
      <c r="C198" s="23"/>
    </row>
    <row r="199" spans="2:3" x14ac:dyDescent="0.35">
      <c r="B199" s="23"/>
      <c r="C199" s="23"/>
    </row>
    <row r="200" spans="2:3" x14ac:dyDescent="0.35">
      <c r="B200" s="23"/>
      <c r="C200" s="23"/>
    </row>
    <row r="201" spans="2:3" x14ac:dyDescent="0.35">
      <c r="B201" s="23"/>
      <c r="C201" s="23"/>
    </row>
    <row r="202" spans="2:3" x14ac:dyDescent="0.35">
      <c r="B202" s="23"/>
      <c r="C202" s="23"/>
    </row>
    <row r="203" spans="2:3" x14ac:dyDescent="0.35">
      <c r="B203" s="23"/>
      <c r="C203" s="23"/>
    </row>
    <row r="204" spans="2:3" x14ac:dyDescent="0.35">
      <c r="B204" s="23"/>
      <c r="C204" s="23"/>
    </row>
    <row r="205" spans="2:3" x14ac:dyDescent="0.35">
      <c r="B205" s="23"/>
      <c r="C205" s="23"/>
    </row>
    <row r="206" spans="2:3" x14ac:dyDescent="0.35">
      <c r="B206" s="23"/>
      <c r="C206" s="23"/>
    </row>
    <row r="207" spans="2:3" x14ac:dyDescent="0.35">
      <c r="B207" s="23"/>
      <c r="C207" s="23"/>
    </row>
    <row r="208" spans="2:3" x14ac:dyDescent="0.35">
      <c r="B208" s="23"/>
      <c r="C208" s="23"/>
    </row>
    <row r="209" spans="2:3" x14ac:dyDescent="0.35">
      <c r="B209" s="23"/>
      <c r="C209" s="23"/>
    </row>
    <row r="210" spans="2:3" x14ac:dyDescent="0.35">
      <c r="B210" s="23"/>
      <c r="C210" s="23"/>
    </row>
    <row r="211" spans="2:3" x14ac:dyDescent="0.35">
      <c r="B211" s="23"/>
      <c r="C211" s="23"/>
    </row>
    <row r="212" spans="2:3" x14ac:dyDescent="0.35">
      <c r="B212" s="23"/>
      <c r="C212" s="23"/>
    </row>
    <row r="213" spans="2:3" x14ac:dyDescent="0.35">
      <c r="B213" s="23"/>
      <c r="C213" s="23"/>
    </row>
    <row r="214" spans="2:3" x14ac:dyDescent="0.35">
      <c r="B214" s="23"/>
      <c r="C214" s="23"/>
    </row>
    <row r="215" spans="2:3" x14ac:dyDescent="0.35">
      <c r="B215" s="23"/>
      <c r="C215" s="23"/>
    </row>
    <row r="216" spans="2:3" x14ac:dyDescent="0.35">
      <c r="B216" s="23"/>
      <c r="C216" s="23"/>
    </row>
    <row r="217" spans="2:3" x14ac:dyDescent="0.35">
      <c r="B217" s="23"/>
      <c r="C217" s="23"/>
    </row>
    <row r="218" spans="2:3" x14ac:dyDescent="0.35">
      <c r="B218" s="23"/>
      <c r="C218" s="23"/>
    </row>
    <row r="219" spans="2:3" x14ac:dyDescent="0.35">
      <c r="B219" s="23"/>
      <c r="C219" s="23"/>
    </row>
    <row r="220" spans="2:3" x14ac:dyDescent="0.35">
      <c r="B220" s="23"/>
      <c r="C220" s="23"/>
    </row>
    <row r="221" spans="2:3" x14ac:dyDescent="0.35">
      <c r="B221" s="23"/>
      <c r="C221" s="23"/>
    </row>
    <row r="222" spans="2:3" x14ac:dyDescent="0.35">
      <c r="B222" s="23"/>
      <c r="C222" s="23"/>
    </row>
    <row r="223" spans="2:3" x14ac:dyDescent="0.35">
      <c r="B223" s="23"/>
      <c r="C223" s="23"/>
    </row>
    <row r="224" spans="2:3" x14ac:dyDescent="0.35">
      <c r="B224" s="23"/>
      <c r="C224" s="23"/>
    </row>
    <row r="225" spans="2:3" x14ac:dyDescent="0.35">
      <c r="B225" s="23"/>
      <c r="C225" s="23"/>
    </row>
    <row r="226" spans="2:3" x14ac:dyDescent="0.35">
      <c r="B226" s="23"/>
      <c r="C226" s="23"/>
    </row>
    <row r="227" spans="2:3" x14ac:dyDescent="0.35">
      <c r="B227" s="23"/>
      <c r="C227" s="23"/>
    </row>
    <row r="228" spans="2:3" x14ac:dyDescent="0.35">
      <c r="B228" s="23"/>
      <c r="C228" s="23"/>
    </row>
    <row r="229" spans="2:3" x14ac:dyDescent="0.35">
      <c r="B229" s="23"/>
      <c r="C229" s="23"/>
    </row>
    <row r="230" spans="2:3" x14ac:dyDescent="0.35">
      <c r="B230" s="23"/>
      <c r="C230" s="23"/>
    </row>
    <row r="231" spans="2:3" x14ac:dyDescent="0.35">
      <c r="B231" s="23"/>
      <c r="C231" s="23"/>
    </row>
    <row r="232" spans="2:3" x14ac:dyDescent="0.35">
      <c r="B232" s="23"/>
      <c r="C232" s="23"/>
    </row>
    <row r="233" spans="2:3" x14ac:dyDescent="0.35">
      <c r="B233" s="23"/>
      <c r="C233" s="23"/>
    </row>
    <row r="234" spans="2:3" x14ac:dyDescent="0.35">
      <c r="B234" s="23"/>
      <c r="C234" s="23"/>
    </row>
    <row r="235" spans="2:3" x14ac:dyDescent="0.35">
      <c r="B235" s="23"/>
      <c r="C235" s="23"/>
    </row>
    <row r="236" spans="2:3" x14ac:dyDescent="0.35">
      <c r="B236" s="23"/>
      <c r="C236" s="23"/>
    </row>
    <row r="237" spans="2:3" x14ac:dyDescent="0.35">
      <c r="B237" s="23"/>
      <c r="C237" s="23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0C1FB-250D-4CE3-8325-D5EC060B8B29}">
  <dimension ref="A1:F198"/>
  <sheetViews>
    <sheetView zoomScale="85" zoomScaleNormal="85" workbookViewId="0">
      <selection activeCell="D197" sqref="D197"/>
    </sheetView>
  </sheetViews>
  <sheetFormatPr baseColWidth="10" defaultRowHeight="14.5" x14ac:dyDescent="0.35"/>
  <cols>
    <col min="3" max="3" width="19.36328125" customWidth="1"/>
    <col min="4" max="4" width="34.36328125" customWidth="1"/>
    <col min="5" max="5" width="69.08984375" customWidth="1"/>
  </cols>
  <sheetData>
    <row r="1" spans="1:6" x14ac:dyDescent="0.35">
      <c r="A1" s="1" t="s">
        <v>1158</v>
      </c>
      <c r="B1" s="1" t="s">
        <v>4</v>
      </c>
      <c r="C1" t="s">
        <v>1157</v>
      </c>
      <c r="D1" s="24" t="s">
        <v>1355</v>
      </c>
      <c r="E1" s="24" t="s">
        <v>1366</v>
      </c>
      <c r="F1" s="24" t="s">
        <v>1368</v>
      </c>
    </row>
    <row r="2" spans="1:6" x14ac:dyDescent="0.35">
      <c r="A2" t="s">
        <v>195</v>
      </c>
      <c r="C2" t="s">
        <v>1354</v>
      </c>
      <c r="D2" t="s">
        <v>1361</v>
      </c>
      <c r="E2" t="s">
        <v>1367</v>
      </c>
      <c r="F2" t="s">
        <v>1372</v>
      </c>
    </row>
    <row r="3" spans="1:6" x14ac:dyDescent="0.35">
      <c r="A3" t="s">
        <v>194</v>
      </c>
      <c r="C3" t="s">
        <v>1353</v>
      </c>
      <c r="D3" t="s">
        <v>1360</v>
      </c>
      <c r="E3" t="s">
        <v>1365</v>
      </c>
      <c r="F3" t="s">
        <v>550</v>
      </c>
    </row>
    <row r="4" spans="1:6" x14ac:dyDescent="0.35">
      <c r="A4" t="s">
        <v>193</v>
      </c>
      <c r="C4" t="s">
        <v>1352</v>
      </c>
      <c r="D4" t="s">
        <v>1378</v>
      </c>
      <c r="E4" t="s">
        <v>1359</v>
      </c>
      <c r="F4" t="s">
        <v>1378</v>
      </c>
    </row>
    <row r="5" spans="1:6" x14ac:dyDescent="0.35">
      <c r="A5" t="s">
        <v>191</v>
      </c>
      <c r="C5" t="s">
        <v>1351</v>
      </c>
      <c r="D5" t="s">
        <v>1358</v>
      </c>
      <c r="E5" t="s">
        <v>1351</v>
      </c>
      <c r="F5" t="s">
        <v>226</v>
      </c>
    </row>
    <row r="6" spans="1:6" x14ac:dyDescent="0.35">
      <c r="A6" t="s">
        <v>190</v>
      </c>
      <c r="C6" t="s">
        <v>199</v>
      </c>
      <c r="D6" t="s">
        <v>528</v>
      </c>
      <c r="E6" t="s">
        <v>528</v>
      </c>
      <c r="F6" t="s">
        <v>528</v>
      </c>
    </row>
    <row r="7" spans="1:6" x14ac:dyDescent="0.35">
      <c r="A7" t="s">
        <v>1346</v>
      </c>
      <c r="C7" t="s">
        <v>1350</v>
      </c>
      <c r="D7" t="s">
        <v>1390</v>
      </c>
      <c r="E7" t="s">
        <v>1391</v>
      </c>
      <c r="F7" t="s">
        <v>1392</v>
      </c>
    </row>
    <row r="8" spans="1:6" x14ac:dyDescent="0.35">
      <c r="A8" t="s">
        <v>189</v>
      </c>
      <c r="C8" t="s">
        <v>198</v>
      </c>
      <c r="D8" t="s">
        <v>222</v>
      </c>
      <c r="E8" t="s">
        <v>222</v>
      </c>
      <c r="F8" t="s">
        <v>222</v>
      </c>
    </row>
    <row r="9" spans="1:6" x14ac:dyDescent="0.35">
      <c r="A9" t="s">
        <v>1345</v>
      </c>
      <c r="C9" t="s">
        <v>1349</v>
      </c>
      <c r="D9" t="s">
        <v>236</v>
      </c>
      <c r="E9" t="s">
        <v>1364</v>
      </c>
      <c r="F9" t="s">
        <v>1371</v>
      </c>
    </row>
    <row r="10" spans="1:6" x14ac:dyDescent="0.35">
      <c r="A10" t="s">
        <v>188</v>
      </c>
      <c r="C10" t="s">
        <v>197</v>
      </c>
      <c r="D10" t="s">
        <v>221</v>
      </c>
      <c r="E10" t="s">
        <v>221</v>
      </c>
      <c r="F10" t="s">
        <v>221</v>
      </c>
    </row>
    <row r="11" spans="1:6" x14ac:dyDescent="0.35">
      <c r="A11" t="s">
        <v>1344</v>
      </c>
      <c r="C11" t="s">
        <v>1348</v>
      </c>
      <c r="D11" t="s">
        <v>1357</v>
      </c>
      <c r="E11" t="s">
        <v>1363</v>
      </c>
      <c r="F11" t="s">
        <v>1370</v>
      </c>
    </row>
    <row r="12" spans="1:6" x14ac:dyDescent="0.35">
      <c r="A12" t="s">
        <v>1343</v>
      </c>
      <c r="C12" t="s">
        <v>1347</v>
      </c>
      <c r="D12" t="s">
        <v>1356</v>
      </c>
      <c r="E12" t="s">
        <v>1362</v>
      </c>
      <c r="F12" t="s">
        <v>1369</v>
      </c>
    </row>
    <row r="13" spans="1:6" x14ac:dyDescent="0.35">
      <c r="A13" t="s">
        <v>1342</v>
      </c>
      <c r="C13" t="s">
        <v>1282</v>
      </c>
      <c r="D13" t="s">
        <v>1282</v>
      </c>
      <c r="E13" t="s">
        <v>1282</v>
      </c>
      <c r="F13" t="s">
        <v>527</v>
      </c>
    </row>
    <row r="14" spans="1:6" x14ac:dyDescent="0.35">
      <c r="A14" t="s">
        <v>1159</v>
      </c>
      <c r="B14" s="25">
        <v>29311</v>
      </c>
      <c r="C14" s="26">
        <v>290378</v>
      </c>
      <c r="D14" s="3">
        <v>17</v>
      </c>
      <c r="E14" s="2" t="e">
        <v>#N/A</v>
      </c>
      <c r="F14" s="27">
        <v>2.2525666666666666</v>
      </c>
    </row>
    <row r="15" spans="1:6" x14ac:dyDescent="0.35">
      <c r="A15" t="s">
        <v>1160</v>
      </c>
      <c r="B15" s="25">
        <v>29402</v>
      </c>
      <c r="C15" s="26">
        <v>284713</v>
      </c>
      <c r="D15" s="3">
        <v>17</v>
      </c>
      <c r="E15" s="2" t="e">
        <v>#N/A</v>
      </c>
      <c r="F15" s="27">
        <v>2.2824333333333335</v>
      </c>
    </row>
    <row r="16" spans="1:6" x14ac:dyDescent="0.35">
      <c r="A16" t="s">
        <v>1161</v>
      </c>
      <c r="B16" s="25">
        <v>29494</v>
      </c>
      <c r="C16" s="26">
        <v>284402</v>
      </c>
      <c r="D16" s="3">
        <v>16.03</v>
      </c>
      <c r="E16" s="2" t="e">
        <v>#N/A</v>
      </c>
      <c r="F16" s="27">
        <v>2.3816000000000002</v>
      </c>
    </row>
    <row r="17" spans="1:6" x14ac:dyDescent="0.35">
      <c r="A17" t="s">
        <v>1162</v>
      </c>
      <c r="B17" s="25">
        <v>29586</v>
      </c>
      <c r="C17" s="26">
        <v>281496</v>
      </c>
      <c r="D17" s="3">
        <v>15.200000000000001</v>
      </c>
      <c r="E17" s="2" t="e">
        <v>#N/A</v>
      </c>
      <c r="F17" s="27">
        <v>2.3855</v>
      </c>
    </row>
    <row r="18" spans="1:6" x14ac:dyDescent="0.35">
      <c r="A18" t="s">
        <v>1163</v>
      </c>
      <c r="B18" s="25">
        <v>29676</v>
      </c>
      <c r="C18" s="26">
        <v>281257</v>
      </c>
      <c r="D18" s="3">
        <v>13.546666666666667</v>
      </c>
      <c r="E18" s="2" t="e">
        <v>#N/A</v>
      </c>
      <c r="F18" s="27">
        <v>2.3096333333333328</v>
      </c>
    </row>
    <row r="19" spans="1:6" x14ac:dyDescent="0.35">
      <c r="A19" t="s">
        <v>1164</v>
      </c>
      <c r="B19" s="25">
        <v>29767</v>
      </c>
      <c r="C19" s="26">
        <v>282155</v>
      </c>
      <c r="D19" s="3">
        <v>12</v>
      </c>
      <c r="E19" s="2" t="e">
        <v>#N/A</v>
      </c>
      <c r="F19" s="27">
        <v>2.0791666666666666</v>
      </c>
    </row>
    <row r="20" spans="1:6" x14ac:dyDescent="0.35">
      <c r="A20" t="s">
        <v>1165</v>
      </c>
      <c r="B20" s="25">
        <v>29859</v>
      </c>
      <c r="C20" s="26">
        <v>285437</v>
      </c>
      <c r="D20" s="3">
        <v>12.513333333333334</v>
      </c>
      <c r="E20" s="2" t="e">
        <v>#N/A</v>
      </c>
      <c r="F20" s="27">
        <v>1.8361999999999998</v>
      </c>
    </row>
    <row r="21" spans="1:6" x14ac:dyDescent="0.35">
      <c r="A21" t="s">
        <v>1166</v>
      </c>
      <c r="B21" s="25">
        <v>29951</v>
      </c>
      <c r="C21" s="26">
        <v>285814</v>
      </c>
      <c r="D21" s="3">
        <v>14.61</v>
      </c>
      <c r="E21" s="2" t="e">
        <v>#N/A</v>
      </c>
      <c r="F21" s="27">
        <v>1.8821666666666665</v>
      </c>
    </row>
    <row r="22" spans="1:6" x14ac:dyDescent="0.35">
      <c r="A22" t="s">
        <v>1167</v>
      </c>
      <c r="B22" s="25">
        <v>30041</v>
      </c>
      <c r="C22" s="26">
        <v>286275</v>
      </c>
      <c r="D22" s="3">
        <v>13.793333333333331</v>
      </c>
      <c r="E22" s="2" t="e">
        <v>#N/A</v>
      </c>
      <c r="F22" s="27">
        <v>1.8460999999999999</v>
      </c>
    </row>
    <row r="23" spans="1:6" x14ac:dyDescent="0.35">
      <c r="A23" t="s">
        <v>1168</v>
      </c>
      <c r="B23" s="25">
        <v>30132</v>
      </c>
      <c r="C23" s="26">
        <v>289232</v>
      </c>
      <c r="D23" s="3">
        <v>13.016666666666667</v>
      </c>
      <c r="E23" s="2" t="e">
        <v>#N/A</v>
      </c>
      <c r="F23" s="27">
        <v>1.7795666666666665</v>
      </c>
    </row>
    <row r="24" spans="1:6" x14ac:dyDescent="0.35">
      <c r="A24" t="s">
        <v>1169</v>
      </c>
      <c r="B24" s="25">
        <v>30224</v>
      </c>
      <c r="C24" s="26">
        <v>289852</v>
      </c>
      <c r="D24" s="3">
        <v>11.353333333333333</v>
      </c>
      <c r="E24" s="2" t="e">
        <v>#N/A</v>
      </c>
      <c r="F24" s="27">
        <v>1.7241333333333333</v>
      </c>
    </row>
    <row r="25" spans="1:6" x14ac:dyDescent="0.35">
      <c r="A25" t="s">
        <v>1170</v>
      </c>
      <c r="B25" s="25">
        <v>30316</v>
      </c>
      <c r="C25" s="26">
        <v>291832</v>
      </c>
      <c r="D25" s="3">
        <v>9.6833333333333318</v>
      </c>
      <c r="E25" s="2" t="e">
        <v>#N/A</v>
      </c>
      <c r="F25" s="27">
        <v>1.6481000000000001</v>
      </c>
    </row>
    <row r="26" spans="1:6" x14ac:dyDescent="0.35">
      <c r="A26" t="s">
        <v>1171</v>
      </c>
      <c r="B26" s="25">
        <v>30406</v>
      </c>
      <c r="C26" s="26">
        <v>297563</v>
      </c>
      <c r="D26" s="3">
        <v>10.816666666666668</v>
      </c>
      <c r="E26" s="2" t="e">
        <v>#N/A</v>
      </c>
      <c r="F26" s="27">
        <v>1.5328333333333333</v>
      </c>
    </row>
    <row r="27" spans="1:6" x14ac:dyDescent="0.35">
      <c r="A27" t="s">
        <v>1172</v>
      </c>
      <c r="B27" s="25">
        <v>30497</v>
      </c>
      <c r="C27" s="26">
        <v>299623</v>
      </c>
      <c r="D27" s="3">
        <v>10.016666666666666</v>
      </c>
      <c r="E27" s="2" t="e">
        <v>#N/A</v>
      </c>
      <c r="F27" s="27">
        <v>1.5521</v>
      </c>
    </row>
    <row r="28" spans="1:6" x14ac:dyDescent="0.35">
      <c r="A28" t="s">
        <v>1173</v>
      </c>
      <c r="B28" s="25">
        <v>30589</v>
      </c>
      <c r="C28" s="26">
        <v>303085</v>
      </c>
      <c r="D28" s="3">
        <v>9.56</v>
      </c>
      <c r="E28" s="2" t="e">
        <v>#N/A</v>
      </c>
      <c r="F28" s="27">
        <v>1.5095000000000001</v>
      </c>
    </row>
    <row r="29" spans="1:6" x14ac:dyDescent="0.35">
      <c r="A29" t="s">
        <v>1174</v>
      </c>
      <c r="B29" s="25">
        <v>30681</v>
      </c>
      <c r="C29" s="26">
        <v>305361</v>
      </c>
      <c r="D29" s="3">
        <v>9.06</v>
      </c>
      <c r="E29" s="2" t="e">
        <v>#N/A</v>
      </c>
      <c r="F29" s="27">
        <v>1.4690999999999999</v>
      </c>
    </row>
    <row r="30" spans="1:6" x14ac:dyDescent="0.35">
      <c r="A30" t="s">
        <v>1175</v>
      </c>
      <c r="B30" s="25">
        <v>30772</v>
      </c>
      <c r="C30" s="26">
        <v>307964</v>
      </c>
      <c r="D30" s="3">
        <v>8.9433333333333334</v>
      </c>
      <c r="E30" s="2" t="e">
        <v>#N/A</v>
      </c>
      <c r="F30" s="27">
        <v>1.4349999999999998</v>
      </c>
    </row>
    <row r="31" spans="1:6" x14ac:dyDescent="0.35">
      <c r="A31" t="s">
        <v>1176</v>
      </c>
      <c r="B31" s="25">
        <v>30863</v>
      </c>
      <c r="C31" s="26">
        <v>304892</v>
      </c>
      <c r="D31" s="3">
        <v>8.8433333333333337</v>
      </c>
      <c r="E31" s="2" t="e">
        <v>#N/A</v>
      </c>
      <c r="F31" s="27">
        <v>1.3958000000000002</v>
      </c>
    </row>
    <row r="32" spans="1:6" x14ac:dyDescent="0.35">
      <c r="A32" t="s">
        <v>1177</v>
      </c>
      <c r="B32" s="25">
        <v>30955</v>
      </c>
      <c r="C32" s="26">
        <v>307122</v>
      </c>
      <c r="D32" s="3">
        <v>10.89</v>
      </c>
      <c r="E32" s="2" t="e">
        <v>#N/A</v>
      </c>
      <c r="F32" s="27">
        <v>1.2965</v>
      </c>
    </row>
    <row r="33" spans="1:6" x14ac:dyDescent="0.35">
      <c r="A33" t="s">
        <v>1178</v>
      </c>
      <c r="B33" s="25">
        <v>31047</v>
      </c>
      <c r="C33" s="26">
        <v>312697</v>
      </c>
      <c r="D33" s="3">
        <v>9.9533333333333331</v>
      </c>
      <c r="E33" s="2" t="e">
        <v>#N/A</v>
      </c>
      <c r="F33" s="27">
        <v>1.2149666666666665</v>
      </c>
    </row>
    <row r="34" spans="1:6" x14ac:dyDescent="0.35">
      <c r="A34" t="s">
        <v>1179</v>
      </c>
      <c r="B34" s="25">
        <v>31137</v>
      </c>
      <c r="C34" s="26">
        <v>315753</v>
      </c>
      <c r="D34" s="3">
        <v>12.966666666666669</v>
      </c>
      <c r="E34" s="2" t="e">
        <v>#N/A</v>
      </c>
      <c r="F34" s="27">
        <v>1.1151666666666669</v>
      </c>
    </row>
    <row r="35" spans="1:6" x14ac:dyDescent="0.35">
      <c r="A35" t="s">
        <v>1180</v>
      </c>
      <c r="B35" s="25">
        <v>31228</v>
      </c>
      <c r="C35" s="26">
        <v>322451</v>
      </c>
      <c r="D35" s="3">
        <v>12.480000000000002</v>
      </c>
      <c r="E35" s="2" t="e">
        <v>#N/A</v>
      </c>
      <c r="F35" s="27">
        <v>1.2556</v>
      </c>
    </row>
    <row r="36" spans="1:6" x14ac:dyDescent="0.35">
      <c r="A36" t="s">
        <v>1181</v>
      </c>
      <c r="B36" s="25">
        <v>31320</v>
      </c>
      <c r="C36" s="26">
        <v>322392</v>
      </c>
      <c r="D36" s="3">
        <v>11.573333333333336</v>
      </c>
      <c r="E36" s="2" t="e">
        <v>#N/A</v>
      </c>
      <c r="F36" s="27">
        <v>1.3763333333333334</v>
      </c>
    </row>
    <row r="37" spans="1:6" x14ac:dyDescent="0.35">
      <c r="A37" t="s">
        <v>1182</v>
      </c>
      <c r="B37" s="25">
        <v>31412</v>
      </c>
      <c r="C37" s="26">
        <v>322604</v>
      </c>
      <c r="D37" s="3">
        <v>11.38</v>
      </c>
      <c r="E37" s="2" t="e">
        <v>#N/A</v>
      </c>
      <c r="F37" s="27">
        <v>1.4352666666666665</v>
      </c>
    </row>
    <row r="38" spans="1:6" x14ac:dyDescent="0.35">
      <c r="A38" t="s">
        <v>1183</v>
      </c>
      <c r="B38" s="25">
        <v>31502</v>
      </c>
      <c r="C38" s="26">
        <v>325968</v>
      </c>
      <c r="D38" s="3">
        <v>12.12</v>
      </c>
      <c r="E38" s="2" t="e">
        <v>#N/A</v>
      </c>
      <c r="F38" s="27">
        <v>1.4405000000000001</v>
      </c>
    </row>
    <row r="39" spans="1:6" x14ac:dyDescent="0.35">
      <c r="A39" t="s">
        <v>1184</v>
      </c>
      <c r="B39" s="25">
        <v>31593</v>
      </c>
      <c r="C39" s="26">
        <v>328872</v>
      </c>
      <c r="D39" s="3">
        <v>10.326666666666668</v>
      </c>
      <c r="E39" s="2" t="e">
        <v>#N/A</v>
      </c>
      <c r="F39" s="27">
        <v>1.5093666666666665</v>
      </c>
    </row>
    <row r="40" spans="1:6" x14ac:dyDescent="0.35">
      <c r="A40" t="s">
        <v>1185</v>
      </c>
      <c r="B40" s="25">
        <v>31685</v>
      </c>
      <c r="C40" s="26">
        <v>330966</v>
      </c>
      <c r="D40" s="3">
        <v>9.8800000000000008</v>
      </c>
      <c r="E40" s="2" t="e">
        <v>#N/A</v>
      </c>
      <c r="F40" s="27">
        <v>1.4876666666666667</v>
      </c>
    </row>
    <row r="41" spans="1:6" x14ac:dyDescent="0.35">
      <c r="A41" t="s">
        <v>1186</v>
      </c>
      <c r="B41" s="25">
        <v>31777</v>
      </c>
      <c r="C41" s="26">
        <v>337367</v>
      </c>
      <c r="D41" s="3">
        <v>10.733333333333334</v>
      </c>
      <c r="E41" s="2" t="e">
        <v>#N/A</v>
      </c>
      <c r="F41" s="27">
        <v>1.4298333333333335</v>
      </c>
    </row>
    <row r="42" spans="1:6" x14ac:dyDescent="0.35">
      <c r="A42" t="s">
        <v>1187</v>
      </c>
      <c r="B42" s="25">
        <v>31867</v>
      </c>
      <c r="C42" s="26">
        <v>339754</v>
      </c>
      <c r="D42" s="3">
        <v>10.673333333333334</v>
      </c>
      <c r="E42" s="2" t="e">
        <v>#N/A</v>
      </c>
      <c r="F42" s="27">
        <v>1.5419</v>
      </c>
    </row>
    <row r="43" spans="1:6" x14ac:dyDescent="0.35">
      <c r="A43" t="s">
        <v>1188</v>
      </c>
      <c r="B43" s="25">
        <v>31958</v>
      </c>
      <c r="C43" s="26">
        <v>344795</v>
      </c>
      <c r="D43" s="3">
        <v>9.2200000000000006</v>
      </c>
      <c r="E43" s="2" t="e">
        <v>#N/A</v>
      </c>
      <c r="F43" s="27">
        <v>1.6422333333333334</v>
      </c>
    </row>
    <row r="44" spans="1:6" x14ac:dyDescent="0.35">
      <c r="A44" t="s">
        <v>1189</v>
      </c>
      <c r="B44" s="25">
        <v>32050</v>
      </c>
      <c r="C44" s="26">
        <v>353365</v>
      </c>
      <c r="D44" s="3">
        <v>9.4966666666666679</v>
      </c>
      <c r="E44" s="2" t="e">
        <v>#N/A</v>
      </c>
      <c r="F44" s="27">
        <v>1.617733333333333</v>
      </c>
    </row>
    <row r="45" spans="1:6" x14ac:dyDescent="0.35">
      <c r="A45" t="s">
        <v>1190</v>
      </c>
      <c r="B45" s="25">
        <v>32142</v>
      </c>
      <c r="C45" s="26">
        <v>357439</v>
      </c>
      <c r="D45" s="3">
        <v>9.0266666666666655</v>
      </c>
      <c r="E45" s="2" t="e">
        <v>#N/A</v>
      </c>
      <c r="F45" s="27">
        <v>1.7554000000000001</v>
      </c>
    </row>
    <row r="46" spans="1:6" x14ac:dyDescent="0.35">
      <c r="A46" t="s">
        <v>1191</v>
      </c>
      <c r="B46" s="25">
        <v>32233</v>
      </c>
      <c r="C46" s="26">
        <v>363267</v>
      </c>
      <c r="D46" s="3">
        <v>8.6333333333333346</v>
      </c>
      <c r="E46" s="2">
        <v>48.806511468710831</v>
      </c>
      <c r="F46" s="27">
        <v>1.7973666666666668</v>
      </c>
    </row>
    <row r="47" spans="1:6" x14ac:dyDescent="0.35">
      <c r="A47" t="s">
        <v>1192</v>
      </c>
      <c r="B47" s="25">
        <v>32324</v>
      </c>
      <c r="C47" s="26">
        <v>365209</v>
      </c>
      <c r="D47" s="3">
        <v>7.9533333333333331</v>
      </c>
      <c r="E47" s="2">
        <v>49.22618380594507</v>
      </c>
      <c r="F47" s="27">
        <v>1.8414999999999999</v>
      </c>
    </row>
    <row r="48" spans="1:6" x14ac:dyDescent="0.35">
      <c r="A48" t="s">
        <v>1193</v>
      </c>
      <c r="B48" s="25">
        <v>32416</v>
      </c>
      <c r="C48" s="26">
        <v>369774</v>
      </c>
      <c r="D48" s="3">
        <v>10.89</v>
      </c>
      <c r="E48" s="2">
        <v>49.862457777098626</v>
      </c>
      <c r="F48" s="27">
        <v>1.6952</v>
      </c>
    </row>
    <row r="49" spans="1:6" x14ac:dyDescent="0.35">
      <c r="A49" t="s">
        <v>1194</v>
      </c>
      <c r="B49" s="25">
        <v>32508</v>
      </c>
      <c r="C49" s="26">
        <v>372752</v>
      </c>
      <c r="D49" s="3">
        <v>12.273333333333333</v>
      </c>
      <c r="E49" s="2">
        <v>50.533578185111764</v>
      </c>
      <c r="F49" s="27">
        <v>1.7910333333333333</v>
      </c>
    </row>
    <row r="50" spans="1:6" x14ac:dyDescent="0.35">
      <c r="A50" t="s">
        <v>1195</v>
      </c>
      <c r="B50" s="25">
        <v>32598</v>
      </c>
      <c r="C50" s="26">
        <v>374612</v>
      </c>
      <c r="D50" s="3">
        <v>12.88</v>
      </c>
      <c r="E50" s="2">
        <v>51.259160914373574</v>
      </c>
      <c r="F50" s="27">
        <v>1.7468333333333332</v>
      </c>
    </row>
    <row r="51" spans="1:6" x14ac:dyDescent="0.35">
      <c r="A51" t="s">
        <v>1196</v>
      </c>
      <c r="B51" s="25">
        <v>32689</v>
      </c>
      <c r="C51" s="26">
        <v>376951</v>
      </c>
      <c r="D51" s="3">
        <v>13.223333333333334</v>
      </c>
      <c r="E51" s="2">
        <v>51.840860739459139</v>
      </c>
      <c r="F51" s="27">
        <v>1.6281666666666668</v>
      </c>
    </row>
    <row r="52" spans="1:6" x14ac:dyDescent="0.35">
      <c r="A52" t="s">
        <v>1197</v>
      </c>
      <c r="B52" s="25">
        <v>32781</v>
      </c>
      <c r="C52" s="26">
        <v>377573</v>
      </c>
      <c r="D52" s="3">
        <v>13.76</v>
      </c>
      <c r="E52" s="2">
        <v>52.427737062422061</v>
      </c>
      <c r="F52" s="27">
        <v>1.5976666666666663</v>
      </c>
    </row>
    <row r="53" spans="1:6" x14ac:dyDescent="0.35">
      <c r="A53" t="s">
        <v>1198</v>
      </c>
      <c r="B53" s="25">
        <v>32873</v>
      </c>
      <c r="C53" s="26">
        <v>377508</v>
      </c>
      <c r="D53" s="3">
        <v>14.81</v>
      </c>
      <c r="E53" s="2">
        <v>53.331517617918131</v>
      </c>
      <c r="F53" s="27">
        <v>1.5854999999999999</v>
      </c>
    </row>
    <row r="54" spans="1:6" x14ac:dyDescent="0.35">
      <c r="A54" t="s">
        <v>1199</v>
      </c>
      <c r="B54" s="25">
        <v>32963</v>
      </c>
      <c r="C54" s="26">
        <v>379458</v>
      </c>
      <c r="D54" s="3">
        <v>14.88</v>
      </c>
      <c r="E54" s="2">
        <v>54.222591191715075</v>
      </c>
      <c r="F54" s="27">
        <v>1.6572666666666667</v>
      </c>
    </row>
    <row r="55" spans="1:6" x14ac:dyDescent="0.35">
      <c r="A55" t="s">
        <v>1200</v>
      </c>
      <c r="B55" s="25">
        <v>33054</v>
      </c>
      <c r="C55" s="26">
        <v>381997</v>
      </c>
      <c r="D55" s="3">
        <v>14.88</v>
      </c>
      <c r="E55" s="2">
        <v>55.277046962360664</v>
      </c>
      <c r="F55" s="27">
        <v>1.6749666666666665</v>
      </c>
    </row>
    <row r="56" spans="1:6" x14ac:dyDescent="0.35">
      <c r="A56" t="s">
        <v>1201</v>
      </c>
      <c r="B56" s="25">
        <v>33146</v>
      </c>
      <c r="C56" s="26">
        <v>377831</v>
      </c>
      <c r="D56" s="3">
        <v>14.88</v>
      </c>
      <c r="E56" s="2">
        <v>56.360326059017105</v>
      </c>
      <c r="F56" s="27">
        <v>1.8635000000000002</v>
      </c>
    </row>
    <row r="57" spans="1:6" x14ac:dyDescent="0.35">
      <c r="A57" t="s">
        <v>1202</v>
      </c>
      <c r="B57" s="25">
        <v>33238</v>
      </c>
      <c r="C57" s="26">
        <v>375916</v>
      </c>
      <c r="D57" s="3">
        <v>13.950000000000001</v>
      </c>
      <c r="E57" s="2">
        <v>57.530704335528576</v>
      </c>
      <c r="F57" s="27">
        <v>1.9439</v>
      </c>
    </row>
    <row r="58" spans="1:6" x14ac:dyDescent="0.35">
      <c r="A58" t="s">
        <v>1203</v>
      </c>
      <c r="B58" s="25">
        <v>33328</v>
      </c>
      <c r="C58" s="26">
        <v>374060</v>
      </c>
      <c r="D58" s="3">
        <v>13.386666666666665</v>
      </c>
      <c r="E58" s="2">
        <v>57.987863329645435</v>
      </c>
      <c r="F58" s="27">
        <v>1.9066999999999998</v>
      </c>
    </row>
    <row r="59" spans="1:6" x14ac:dyDescent="0.35">
      <c r="A59" t="s">
        <v>1204</v>
      </c>
      <c r="B59" s="25">
        <v>33419</v>
      </c>
      <c r="C59" s="26">
        <v>373608</v>
      </c>
      <c r="D59" s="3">
        <v>11.736666666666666</v>
      </c>
      <c r="E59" s="2">
        <v>59.907205094854056</v>
      </c>
      <c r="F59" s="27">
        <v>1.7077333333333333</v>
      </c>
    </row>
    <row r="60" spans="1:6" x14ac:dyDescent="0.35">
      <c r="A60" t="s">
        <v>1205</v>
      </c>
      <c r="B60" s="25">
        <v>33511</v>
      </c>
      <c r="C60" s="26">
        <v>372878</v>
      </c>
      <c r="D60" s="3">
        <v>10.790000000000001</v>
      </c>
      <c r="E60" s="2">
        <v>60.795959059430075</v>
      </c>
      <c r="F60" s="27">
        <v>1.6872999999999998</v>
      </c>
    </row>
    <row r="61" spans="1:6" x14ac:dyDescent="0.35">
      <c r="A61" t="s">
        <v>1206</v>
      </c>
      <c r="B61" s="25">
        <v>33603</v>
      </c>
      <c r="C61" s="26">
        <v>373357</v>
      </c>
      <c r="D61" s="3">
        <v>10.38</v>
      </c>
      <c r="E61" s="2">
        <v>61.532523361833512</v>
      </c>
      <c r="F61" s="27">
        <v>1.7766333333333335</v>
      </c>
    </row>
    <row r="62" spans="1:6" x14ac:dyDescent="0.35">
      <c r="A62" t="s">
        <v>1207</v>
      </c>
      <c r="B62" s="25">
        <v>33694</v>
      </c>
      <c r="C62" s="26">
        <v>373317</v>
      </c>
      <c r="D62" s="3">
        <v>10.38</v>
      </c>
      <c r="E62" s="2">
        <v>62.041971285424118</v>
      </c>
      <c r="F62" s="27">
        <v>1.7702</v>
      </c>
    </row>
    <row r="63" spans="1:6" x14ac:dyDescent="0.35">
      <c r="A63" t="s">
        <v>1208</v>
      </c>
      <c r="B63" s="25">
        <v>33785</v>
      </c>
      <c r="C63" s="26">
        <v>372751</v>
      </c>
      <c r="D63" s="3">
        <v>10.053333333333335</v>
      </c>
      <c r="E63" s="2">
        <v>62.458774930791293</v>
      </c>
      <c r="F63" s="27">
        <v>1.8070666666666666</v>
      </c>
    </row>
    <row r="64" spans="1:6" x14ac:dyDescent="0.35">
      <c r="A64" t="s">
        <v>1209</v>
      </c>
      <c r="B64" s="25">
        <v>33877</v>
      </c>
      <c r="C64" s="26">
        <v>374537</v>
      </c>
      <c r="D64" s="3">
        <v>9.7733333333333334</v>
      </c>
      <c r="E64" s="2">
        <v>62.701766808449648</v>
      </c>
      <c r="F64" s="27">
        <v>1.9025333333333334</v>
      </c>
    </row>
    <row r="65" spans="1:6" x14ac:dyDescent="0.35">
      <c r="A65" t="s">
        <v>1210</v>
      </c>
      <c r="B65" s="25">
        <v>33969</v>
      </c>
      <c r="C65" s="26">
        <v>377418</v>
      </c>
      <c r="D65" s="3">
        <v>7.52</v>
      </c>
      <c r="E65" s="2">
        <v>63.20453333731443</v>
      </c>
      <c r="F65" s="27">
        <v>1.5769</v>
      </c>
    </row>
    <row r="66" spans="1:6" x14ac:dyDescent="0.35">
      <c r="A66" t="s">
        <v>1211</v>
      </c>
      <c r="B66" s="25">
        <v>34059</v>
      </c>
      <c r="C66" s="26">
        <v>379370</v>
      </c>
      <c r="D66" s="3">
        <v>6.1466666666666656</v>
      </c>
      <c r="E66" s="2">
        <v>63.522508508576124</v>
      </c>
      <c r="F66" s="27">
        <v>1.4779</v>
      </c>
    </row>
    <row r="67" spans="1:6" x14ac:dyDescent="0.35">
      <c r="A67" t="s">
        <v>1212</v>
      </c>
      <c r="B67" s="25">
        <v>34150</v>
      </c>
      <c r="C67" s="26">
        <v>381045</v>
      </c>
      <c r="D67" s="3">
        <v>5.88</v>
      </c>
      <c r="E67" s="2">
        <v>64.066810642587384</v>
      </c>
      <c r="F67" s="27">
        <v>1.5335333333333334</v>
      </c>
    </row>
    <row r="68" spans="1:6" x14ac:dyDescent="0.35">
      <c r="A68" t="s">
        <v>1213</v>
      </c>
      <c r="B68" s="25">
        <v>34242</v>
      </c>
      <c r="C68" s="26">
        <v>384524</v>
      </c>
      <c r="D68" s="3">
        <v>5.88</v>
      </c>
      <c r="E68" s="2">
        <v>64.483438648998103</v>
      </c>
      <c r="F68" s="27">
        <v>1.5039</v>
      </c>
    </row>
    <row r="69" spans="1:6" x14ac:dyDescent="0.35">
      <c r="A69" t="s">
        <v>1214</v>
      </c>
      <c r="B69" s="25">
        <v>34334</v>
      </c>
      <c r="C69" s="26">
        <v>387143</v>
      </c>
      <c r="D69" s="3">
        <v>5.666666666666667</v>
      </c>
      <c r="E69" s="2">
        <v>64.735459800809252</v>
      </c>
      <c r="F69" s="27">
        <v>1.4914666666666667</v>
      </c>
    </row>
    <row r="70" spans="1:6" x14ac:dyDescent="0.35">
      <c r="A70" t="s">
        <v>1215</v>
      </c>
      <c r="B70" s="25">
        <v>34424</v>
      </c>
      <c r="C70" s="26">
        <v>391026</v>
      </c>
      <c r="D70" s="3">
        <v>5.2333333333333334</v>
      </c>
      <c r="E70" s="2">
        <v>65.056754508902756</v>
      </c>
      <c r="F70" s="27">
        <v>1.4878</v>
      </c>
    </row>
    <row r="71" spans="1:6" x14ac:dyDescent="0.35">
      <c r="A71" t="s">
        <v>1216</v>
      </c>
      <c r="B71" s="25">
        <v>34515</v>
      </c>
      <c r="C71" s="26">
        <v>394588</v>
      </c>
      <c r="D71" s="3">
        <v>5.13</v>
      </c>
      <c r="E71" s="2">
        <v>65.360130787740147</v>
      </c>
      <c r="F71" s="27">
        <v>1.5042333333333333</v>
      </c>
    </row>
    <row r="72" spans="1:6" x14ac:dyDescent="0.35">
      <c r="A72" t="s">
        <v>1217</v>
      </c>
      <c r="B72" s="25">
        <v>34607</v>
      </c>
      <c r="C72" s="26">
        <v>398566</v>
      </c>
      <c r="D72" s="3">
        <v>5.2433333333333332</v>
      </c>
      <c r="E72" s="2">
        <v>65.631457111313651</v>
      </c>
      <c r="F72" s="27">
        <v>1.5516666666666665</v>
      </c>
    </row>
    <row r="73" spans="1:6" x14ac:dyDescent="0.35">
      <c r="A73" t="s">
        <v>1218</v>
      </c>
      <c r="B73" s="25">
        <v>34699</v>
      </c>
      <c r="C73" s="26">
        <v>400279</v>
      </c>
      <c r="D73" s="3">
        <v>5.7633333333333328</v>
      </c>
      <c r="E73" s="2">
        <v>65.856795829101159</v>
      </c>
      <c r="F73" s="27">
        <v>1.5847666666666667</v>
      </c>
    </row>
    <row r="74" spans="1:6" x14ac:dyDescent="0.35">
      <c r="A74" t="s">
        <v>1219</v>
      </c>
      <c r="B74" s="25">
        <v>34789</v>
      </c>
      <c r="C74" s="26">
        <v>402390</v>
      </c>
      <c r="D74" s="3">
        <v>6.4533333333333331</v>
      </c>
      <c r="E74" s="2">
        <v>66.590861520397382</v>
      </c>
      <c r="F74" s="27">
        <v>1.5822666666666667</v>
      </c>
    </row>
    <row r="75" spans="1:6" x14ac:dyDescent="0.35">
      <c r="A75" t="s">
        <v>1220</v>
      </c>
      <c r="B75" s="25">
        <v>34880</v>
      </c>
      <c r="C75" s="26">
        <v>403259</v>
      </c>
      <c r="D75" s="3">
        <v>6.63</v>
      </c>
      <c r="E75" s="2">
        <v>66.959746363426376</v>
      </c>
      <c r="F75" s="27">
        <v>1.5965</v>
      </c>
    </row>
    <row r="76" spans="1:6" x14ac:dyDescent="0.35">
      <c r="A76" t="s">
        <v>1221</v>
      </c>
      <c r="B76" s="25">
        <v>34972</v>
      </c>
      <c r="C76" s="26">
        <v>407795</v>
      </c>
      <c r="D76" s="3">
        <v>6.63</v>
      </c>
      <c r="E76" s="2">
        <v>67.41347209085113</v>
      </c>
      <c r="F76" s="27">
        <v>1.5736666666666668</v>
      </c>
    </row>
    <row r="77" spans="1:6" x14ac:dyDescent="0.35">
      <c r="A77" t="s">
        <v>1222</v>
      </c>
      <c r="B77" s="25">
        <v>35064</v>
      </c>
      <c r="C77" s="26">
        <v>409132</v>
      </c>
      <c r="D77" s="3">
        <v>6.580000000000001</v>
      </c>
      <c r="E77" s="2">
        <v>67.76539198490994</v>
      </c>
      <c r="F77" s="27">
        <v>1.5603</v>
      </c>
    </row>
    <row r="78" spans="1:6" x14ac:dyDescent="0.35">
      <c r="A78" t="s">
        <v>1223</v>
      </c>
      <c r="B78" s="25">
        <v>35155</v>
      </c>
      <c r="C78" s="26">
        <v>412022</v>
      </c>
      <c r="D78" s="3">
        <v>6.123333333333334</v>
      </c>
      <c r="E78" s="2">
        <v>68.338576430112496</v>
      </c>
      <c r="F78" s="27">
        <v>1.5306333333333333</v>
      </c>
    </row>
    <row r="79" spans="1:6" x14ac:dyDescent="0.35">
      <c r="A79" t="s">
        <v>1224</v>
      </c>
      <c r="B79" s="25">
        <v>35246</v>
      </c>
      <c r="C79" s="26">
        <v>413325</v>
      </c>
      <c r="D79" s="3">
        <v>5.87</v>
      </c>
      <c r="E79" s="2">
        <v>68.593587190748821</v>
      </c>
      <c r="F79" s="27">
        <v>1.5242666666666667</v>
      </c>
    </row>
    <row r="80" spans="1:6" x14ac:dyDescent="0.35">
      <c r="A80" t="s">
        <v>1225</v>
      </c>
      <c r="B80" s="25">
        <v>35338</v>
      </c>
      <c r="C80" s="26">
        <v>417019</v>
      </c>
      <c r="D80" s="3">
        <v>5.69</v>
      </c>
      <c r="E80" s="2">
        <v>68.955417030338509</v>
      </c>
      <c r="F80" s="27">
        <v>1.5540666666666667</v>
      </c>
    </row>
    <row r="81" spans="1:6" x14ac:dyDescent="0.35">
      <c r="A81" t="s">
        <v>1226</v>
      </c>
      <c r="B81" s="25">
        <v>35430</v>
      </c>
      <c r="C81" s="26">
        <v>422639</v>
      </c>
      <c r="D81" s="3">
        <v>5.8633333333333333</v>
      </c>
      <c r="E81" s="2">
        <v>69.368192969301049</v>
      </c>
      <c r="F81" s="27">
        <v>1.6375</v>
      </c>
    </row>
    <row r="82" spans="1:6" x14ac:dyDescent="0.35">
      <c r="A82" t="s">
        <v>1227</v>
      </c>
      <c r="B82" s="25">
        <v>35520</v>
      </c>
      <c r="C82" s="26">
        <v>429418</v>
      </c>
      <c r="D82" s="3">
        <v>5.94</v>
      </c>
      <c r="E82" s="2">
        <v>69.600153969518132</v>
      </c>
      <c r="F82" s="27">
        <v>1.6312333333333333</v>
      </c>
    </row>
    <row r="83" spans="1:6" x14ac:dyDescent="0.35">
      <c r="A83" t="s">
        <v>1228</v>
      </c>
      <c r="B83" s="25">
        <v>35611</v>
      </c>
      <c r="C83" s="26">
        <v>434199</v>
      </c>
      <c r="D83" s="3">
        <v>6.2033333333333331</v>
      </c>
      <c r="E83" s="2">
        <v>69.751646304730741</v>
      </c>
      <c r="F83" s="27">
        <v>1.6354666666666666</v>
      </c>
    </row>
    <row r="84" spans="1:6" x14ac:dyDescent="0.35">
      <c r="A84" t="s">
        <v>1229</v>
      </c>
      <c r="B84" s="25">
        <v>35703</v>
      </c>
      <c r="C84" s="26">
        <v>438100</v>
      </c>
      <c r="D84" s="3">
        <v>6.873333333333334</v>
      </c>
      <c r="E84" s="2">
        <v>70.300066315392968</v>
      </c>
      <c r="F84" s="27">
        <v>1.6247333333333334</v>
      </c>
    </row>
    <row r="85" spans="1:6" x14ac:dyDescent="0.35">
      <c r="A85" t="s">
        <v>1230</v>
      </c>
      <c r="B85" s="25">
        <v>35795</v>
      </c>
      <c r="C85" s="26">
        <v>444540</v>
      </c>
      <c r="D85" s="3">
        <v>7.1533333333333333</v>
      </c>
      <c r="E85" s="2">
        <v>70.597744955161573</v>
      </c>
      <c r="F85" s="27">
        <v>1.6605333333333334</v>
      </c>
    </row>
    <row r="86" spans="1:6" x14ac:dyDescent="0.35">
      <c r="A86" t="s">
        <v>1231</v>
      </c>
      <c r="B86" s="25">
        <v>35885</v>
      </c>
      <c r="C86" s="26">
        <v>447712</v>
      </c>
      <c r="D86" s="3">
        <v>7.25</v>
      </c>
      <c r="E86" s="2">
        <v>70.745328097602382</v>
      </c>
      <c r="F86" s="27">
        <v>1.6459000000000001</v>
      </c>
    </row>
    <row r="87" spans="1:6" x14ac:dyDescent="0.35">
      <c r="A87" t="s">
        <v>1232</v>
      </c>
      <c r="B87" s="25">
        <v>35976</v>
      </c>
      <c r="C87" s="26">
        <v>450292</v>
      </c>
      <c r="D87" s="3">
        <v>7.3233333333333333</v>
      </c>
      <c r="E87" s="2">
        <v>71.032658969278856</v>
      </c>
      <c r="F87" s="27">
        <v>1.6536333333333335</v>
      </c>
    </row>
    <row r="88" spans="1:6" x14ac:dyDescent="0.35">
      <c r="A88" t="s">
        <v>1233</v>
      </c>
      <c r="B88" s="25">
        <v>36068</v>
      </c>
      <c r="C88" s="26">
        <v>451005</v>
      </c>
      <c r="D88" s="3">
        <v>7.5</v>
      </c>
      <c r="E88" s="2">
        <v>71.265754354583848</v>
      </c>
      <c r="F88" s="27">
        <v>1.6533999999999998</v>
      </c>
    </row>
    <row r="89" spans="1:6" x14ac:dyDescent="0.35">
      <c r="A89" t="s">
        <v>1234</v>
      </c>
      <c r="B89" s="25">
        <v>36160</v>
      </c>
      <c r="C89" s="26">
        <v>453937</v>
      </c>
      <c r="D89" s="3">
        <v>6.8499999999999988</v>
      </c>
      <c r="E89" s="2">
        <v>71.576093006681845</v>
      </c>
      <c r="F89" s="27">
        <v>1.6754333333333333</v>
      </c>
    </row>
    <row r="90" spans="1:6" x14ac:dyDescent="0.35">
      <c r="A90" t="s">
        <v>1235</v>
      </c>
      <c r="B90" s="25">
        <v>36250</v>
      </c>
      <c r="C90" s="26">
        <v>457044</v>
      </c>
      <c r="D90" s="3">
        <v>5.706666666666667</v>
      </c>
      <c r="E90" s="2">
        <v>71.859034711582382</v>
      </c>
      <c r="F90" s="27">
        <v>1.6329</v>
      </c>
    </row>
    <row r="91" spans="1:6" x14ac:dyDescent="0.35">
      <c r="A91" t="s">
        <v>1236</v>
      </c>
      <c r="B91" s="25">
        <v>36341</v>
      </c>
      <c r="C91" s="26">
        <v>458710</v>
      </c>
      <c r="D91" s="3">
        <v>5.2066666666666661</v>
      </c>
      <c r="E91" s="2">
        <v>72.071161442905918</v>
      </c>
      <c r="F91" s="27">
        <v>1.6064333333333334</v>
      </c>
    </row>
    <row r="92" spans="1:6" x14ac:dyDescent="0.35">
      <c r="A92" t="s">
        <v>1237</v>
      </c>
      <c r="B92" s="25">
        <v>36433</v>
      </c>
      <c r="C92" s="26">
        <v>466387</v>
      </c>
      <c r="D92" s="3">
        <v>5.0633333333333335</v>
      </c>
      <c r="E92" s="2">
        <v>72.163213442441474</v>
      </c>
      <c r="F92" s="27">
        <v>1.6018666666666668</v>
      </c>
    </row>
    <row r="93" spans="1:6" x14ac:dyDescent="0.35">
      <c r="A93" t="s">
        <v>1238</v>
      </c>
      <c r="B93" s="25">
        <v>36525</v>
      </c>
      <c r="C93" s="26">
        <v>473892</v>
      </c>
      <c r="D93" s="3">
        <v>5.4066666666666663</v>
      </c>
      <c r="E93" s="2">
        <v>72.368946627086643</v>
      </c>
      <c r="F93" s="27">
        <v>1.6303000000000001</v>
      </c>
    </row>
    <row r="94" spans="1:6" x14ac:dyDescent="0.35">
      <c r="A94" t="s">
        <v>1239</v>
      </c>
      <c r="B94" s="25">
        <v>36616</v>
      </c>
      <c r="C94" s="26">
        <v>480212</v>
      </c>
      <c r="D94" s="3">
        <v>5.8599999999999994</v>
      </c>
      <c r="E94" s="2">
        <v>72.39181887682706</v>
      </c>
      <c r="F94" s="27">
        <v>1.6067666666666669</v>
      </c>
    </row>
    <row r="95" spans="1:6" x14ac:dyDescent="0.35">
      <c r="A95" t="s">
        <v>1240</v>
      </c>
      <c r="B95" s="25">
        <v>36707</v>
      </c>
      <c r="C95" s="26">
        <v>483672</v>
      </c>
      <c r="D95" s="3">
        <v>6</v>
      </c>
      <c r="E95" s="2">
        <v>72.548817447881461</v>
      </c>
      <c r="F95" s="27">
        <v>1.5335000000000001</v>
      </c>
    </row>
    <row r="96" spans="1:6" x14ac:dyDescent="0.35">
      <c r="A96" t="s">
        <v>1241</v>
      </c>
      <c r="B96" s="25">
        <v>36799</v>
      </c>
      <c r="C96" s="26">
        <v>486617</v>
      </c>
      <c r="D96" s="3">
        <v>6</v>
      </c>
      <c r="E96" s="2">
        <v>72.723498722876229</v>
      </c>
      <c r="F96" s="27">
        <v>1.4767000000000001</v>
      </c>
    </row>
    <row r="97" spans="1:6" x14ac:dyDescent="0.35">
      <c r="A97" t="s">
        <v>1242</v>
      </c>
      <c r="B97" s="25">
        <v>36891</v>
      </c>
      <c r="C97" s="26">
        <v>489506</v>
      </c>
      <c r="D97" s="3">
        <v>6</v>
      </c>
      <c r="E97" s="2">
        <v>73.104102370783224</v>
      </c>
      <c r="F97" s="27">
        <v>1.4464333333333332</v>
      </c>
    </row>
    <row r="98" spans="1:6" x14ac:dyDescent="0.35">
      <c r="A98" t="s">
        <v>1243</v>
      </c>
      <c r="B98" s="25">
        <v>36981</v>
      </c>
      <c r="C98" s="26">
        <v>493575</v>
      </c>
      <c r="D98" s="3">
        <v>5.8533333333333326</v>
      </c>
      <c r="E98" s="2">
        <v>73.013719621835236</v>
      </c>
      <c r="F98" s="27">
        <v>1.4581666666666664</v>
      </c>
    </row>
    <row r="99" spans="1:6" x14ac:dyDescent="0.35">
      <c r="A99" t="s">
        <v>1244</v>
      </c>
      <c r="B99" s="25">
        <v>37072</v>
      </c>
      <c r="C99" s="26">
        <v>495602</v>
      </c>
      <c r="D99" s="3">
        <v>5.37</v>
      </c>
      <c r="E99" s="2">
        <v>73.629494268862786</v>
      </c>
      <c r="F99" s="27">
        <v>1.4211</v>
      </c>
    </row>
    <row r="100" spans="1:6" x14ac:dyDescent="0.35">
      <c r="A100" t="s">
        <v>1245</v>
      </c>
      <c r="B100" s="25">
        <v>37164</v>
      </c>
      <c r="C100" s="26">
        <v>497938</v>
      </c>
      <c r="D100" s="3">
        <v>5.05</v>
      </c>
      <c r="E100" s="2">
        <v>73.88847129778469</v>
      </c>
      <c r="F100" s="27">
        <v>1.4386000000000001</v>
      </c>
    </row>
    <row r="101" spans="1:6" x14ac:dyDescent="0.35">
      <c r="A101" t="s">
        <v>1246</v>
      </c>
      <c r="B101" s="25">
        <v>37256</v>
      </c>
      <c r="C101" s="26">
        <v>499278</v>
      </c>
      <c r="D101" s="3">
        <v>4.2133333333333338</v>
      </c>
      <c r="E101" s="2">
        <v>73.835633617781724</v>
      </c>
      <c r="F101" s="27">
        <v>1.4423333333333332</v>
      </c>
    </row>
    <row r="102" spans="1:6" x14ac:dyDescent="0.35">
      <c r="A102" t="s">
        <v>1247</v>
      </c>
      <c r="B102" s="25">
        <v>37346</v>
      </c>
      <c r="C102" s="26">
        <v>500794</v>
      </c>
      <c r="D102" s="3">
        <v>4</v>
      </c>
      <c r="E102" s="2">
        <v>74.098642205215469</v>
      </c>
      <c r="F102" s="27">
        <v>1.4259666666666666</v>
      </c>
    </row>
    <row r="103" spans="1:6" x14ac:dyDescent="0.35">
      <c r="A103" t="s">
        <v>1248</v>
      </c>
      <c r="B103" s="25">
        <v>37437</v>
      </c>
      <c r="C103" s="26">
        <v>503433</v>
      </c>
      <c r="D103" s="3">
        <v>4</v>
      </c>
      <c r="E103" s="2">
        <v>74.35525950712119</v>
      </c>
      <c r="F103" s="27">
        <v>1.4621333333333333</v>
      </c>
    </row>
    <row r="104" spans="1:6" x14ac:dyDescent="0.35">
      <c r="A104" t="s">
        <v>529</v>
      </c>
      <c r="B104" s="25">
        <v>37529</v>
      </c>
      <c r="C104" s="26">
        <v>506386</v>
      </c>
      <c r="D104" s="3">
        <v>4</v>
      </c>
      <c r="E104" s="2">
        <v>74.61229451207565</v>
      </c>
      <c r="F104" s="27">
        <v>1.5498666666666667</v>
      </c>
    </row>
    <row r="105" spans="1:6" x14ac:dyDescent="0.35">
      <c r="A105" t="s">
        <v>1249</v>
      </c>
      <c r="B105" s="25">
        <v>37621</v>
      </c>
      <c r="C105" s="26">
        <v>509728</v>
      </c>
      <c r="D105" s="3">
        <v>4</v>
      </c>
      <c r="E105" s="2">
        <v>74.930768023612004</v>
      </c>
      <c r="F105" s="27">
        <v>1.5716333333333334</v>
      </c>
    </row>
    <row r="106" spans="1:6" x14ac:dyDescent="0.35">
      <c r="A106" t="s">
        <v>1250</v>
      </c>
      <c r="B106" s="25">
        <v>37711</v>
      </c>
      <c r="C106" s="26">
        <v>514031</v>
      </c>
      <c r="D106" s="3">
        <v>3.8466666666666662</v>
      </c>
      <c r="E106" s="2">
        <v>75.226590354853172</v>
      </c>
      <c r="F106" s="27">
        <v>1.6026333333333334</v>
      </c>
    </row>
    <row r="107" spans="1:6" x14ac:dyDescent="0.35">
      <c r="A107" t="s">
        <v>1251</v>
      </c>
      <c r="B107" s="25">
        <v>37802</v>
      </c>
      <c r="C107" s="26">
        <v>518802</v>
      </c>
      <c r="D107" s="3">
        <v>3.75</v>
      </c>
      <c r="E107" s="2">
        <v>75.307568695891945</v>
      </c>
      <c r="F107" s="27">
        <v>1.6190666666666667</v>
      </c>
    </row>
    <row r="108" spans="1:6" x14ac:dyDescent="0.35">
      <c r="A108" t="s">
        <v>1252</v>
      </c>
      <c r="B108" s="25">
        <v>37894</v>
      </c>
      <c r="C108" s="26">
        <v>524213</v>
      </c>
      <c r="D108" s="3">
        <v>3.5266666666666668</v>
      </c>
      <c r="E108" s="2">
        <v>75.603813462978181</v>
      </c>
      <c r="F108" s="27">
        <v>1.6105</v>
      </c>
    </row>
    <row r="109" spans="1:6" x14ac:dyDescent="0.35">
      <c r="A109" t="s">
        <v>1253</v>
      </c>
      <c r="B109" s="25">
        <v>37986</v>
      </c>
      <c r="C109" s="26">
        <v>528320</v>
      </c>
      <c r="D109" s="3">
        <v>3.6533333333333338</v>
      </c>
      <c r="E109" s="2">
        <v>75.957086051541594</v>
      </c>
      <c r="F109" s="27">
        <v>1.7068333333333332</v>
      </c>
    </row>
    <row r="110" spans="1:6" x14ac:dyDescent="0.35">
      <c r="A110" t="s">
        <v>1254</v>
      </c>
      <c r="B110" s="25">
        <v>38077</v>
      </c>
      <c r="C110" s="26">
        <v>529996</v>
      </c>
      <c r="D110" s="3">
        <v>3.9033333333333338</v>
      </c>
      <c r="E110" s="2">
        <v>76.195392767794445</v>
      </c>
      <c r="F110" s="27">
        <v>1.8396333333333335</v>
      </c>
    </row>
    <row r="111" spans="1:6" x14ac:dyDescent="0.35">
      <c r="A111" t="s">
        <v>1255</v>
      </c>
      <c r="B111" s="25">
        <v>38168</v>
      </c>
      <c r="C111" s="26">
        <v>532543</v>
      </c>
      <c r="D111" s="3">
        <v>4.2133333333333329</v>
      </c>
      <c r="E111" s="2">
        <v>76.384968758160397</v>
      </c>
      <c r="F111" s="27">
        <v>1.8056666666666665</v>
      </c>
    </row>
    <row r="112" spans="1:6" x14ac:dyDescent="0.35">
      <c r="A112" t="s">
        <v>1256</v>
      </c>
      <c r="B112" s="25">
        <v>38260</v>
      </c>
      <c r="C112" s="26">
        <v>534447</v>
      </c>
      <c r="D112" s="3">
        <v>4.6533333333333333</v>
      </c>
      <c r="E112" s="2">
        <v>76.562209431177394</v>
      </c>
      <c r="F112" s="27">
        <v>1.8192666666666668</v>
      </c>
    </row>
    <row r="113" spans="1:6" x14ac:dyDescent="0.35">
      <c r="A113" t="s">
        <v>1257</v>
      </c>
      <c r="B113" s="25">
        <v>38352</v>
      </c>
      <c r="C113" s="26">
        <v>536886</v>
      </c>
      <c r="D113" s="3">
        <v>4.75</v>
      </c>
      <c r="E113" s="2">
        <v>77.01235694105867</v>
      </c>
      <c r="F113" s="27">
        <v>1.8656666666666668</v>
      </c>
    </row>
    <row r="114" spans="1:6" x14ac:dyDescent="0.35">
      <c r="A114" t="s">
        <v>1258</v>
      </c>
      <c r="B114" s="25">
        <v>38442</v>
      </c>
      <c r="C114" s="26">
        <v>541028</v>
      </c>
      <c r="D114" s="3">
        <v>4.75</v>
      </c>
      <c r="E114" s="2">
        <v>77.485585228482535</v>
      </c>
      <c r="F114" s="27">
        <v>1.8903666666666668</v>
      </c>
    </row>
    <row r="115" spans="1:6" x14ac:dyDescent="0.35">
      <c r="A115" t="s">
        <v>1259</v>
      </c>
      <c r="B115" s="25">
        <v>38533</v>
      </c>
      <c r="C115" s="26">
        <v>545530</v>
      </c>
      <c r="D115" s="3">
        <v>4.75</v>
      </c>
      <c r="E115" s="2">
        <v>77.844293347608854</v>
      </c>
      <c r="F115" s="27">
        <v>1.8565666666666667</v>
      </c>
    </row>
    <row r="116" spans="1:6" x14ac:dyDescent="0.35">
      <c r="A116" t="s">
        <v>1260</v>
      </c>
      <c r="B116" s="25">
        <v>38625</v>
      </c>
      <c r="C116" s="26">
        <v>550552</v>
      </c>
      <c r="D116" s="3">
        <v>4.5933333333333337</v>
      </c>
      <c r="E116" s="2">
        <v>78.384948234144048</v>
      </c>
      <c r="F116" s="27">
        <v>1.7838333333333332</v>
      </c>
    </row>
    <row r="117" spans="1:6" x14ac:dyDescent="0.35">
      <c r="A117" t="s">
        <v>1261</v>
      </c>
      <c r="B117" s="25">
        <v>38717</v>
      </c>
      <c r="C117" s="26">
        <v>556311</v>
      </c>
      <c r="D117" s="3">
        <v>4.5</v>
      </c>
      <c r="E117" s="2">
        <v>78.672166437002545</v>
      </c>
      <c r="F117" s="27">
        <v>1.7485999999999999</v>
      </c>
    </row>
    <row r="118" spans="1:6" x14ac:dyDescent="0.35">
      <c r="A118" t="s">
        <v>1262</v>
      </c>
      <c r="B118" s="25">
        <v>38807</v>
      </c>
      <c r="C118" s="26">
        <v>558314</v>
      </c>
      <c r="D118" s="3">
        <v>4.5</v>
      </c>
      <c r="E118" s="2">
        <v>79.016754087860591</v>
      </c>
      <c r="F118" s="27">
        <v>1.7535999999999998</v>
      </c>
    </row>
    <row r="119" spans="1:6" x14ac:dyDescent="0.35">
      <c r="A119" t="s">
        <v>1263</v>
      </c>
      <c r="B119" s="25">
        <v>38898</v>
      </c>
      <c r="C119" s="26">
        <v>559795</v>
      </c>
      <c r="D119" s="3">
        <v>4.5</v>
      </c>
      <c r="E119" s="2">
        <v>79.629566307186167</v>
      </c>
      <c r="F119" s="27">
        <v>1.8267333333333333</v>
      </c>
    </row>
    <row r="120" spans="1:6" x14ac:dyDescent="0.35">
      <c r="A120" t="s">
        <v>1264</v>
      </c>
      <c r="B120" s="25">
        <v>38990</v>
      </c>
      <c r="C120" s="26">
        <v>560675</v>
      </c>
      <c r="D120" s="3">
        <v>4.66</v>
      </c>
      <c r="E120" s="2">
        <v>80.265130756803899</v>
      </c>
      <c r="F120" s="27">
        <v>1.8741000000000001</v>
      </c>
    </row>
    <row r="121" spans="1:6" x14ac:dyDescent="0.35">
      <c r="A121" t="s">
        <v>1265</v>
      </c>
      <c r="B121" s="25">
        <v>39082</v>
      </c>
      <c r="C121" s="26">
        <v>562669</v>
      </c>
      <c r="D121" s="3">
        <v>4.8933333333333335</v>
      </c>
      <c r="E121" s="2">
        <v>80.81598188365291</v>
      </c>
      <c r="F121" s="27">
        <v>1.9173</v>
      </c>
    </row>
    <row r="122" spans="1:6" x14ac:dyDescent="0.35">
      <c r="A122" t="s">
        <v>1266</v>
      </c>
      <c r="B122" s="25">
        <v>39172</v>
      </c>
      <c r="C122" s="26">
        <v>568845</v>
      </c>
      <c r="D122" s="3">
        <v>5.2233333333333336</v>
      </c>
      <c r="E122" s="2">
        <v>81.310937917793865</v>
      </c>
      <c r="F122" s="27">
        <v>1.9550000000000001</v>
      </c>
    </row>
    <row r="123" spans="1:6" x14ac:dyDescent="0.35">
      <c r="A123" t="s">
        <v>1267</v>
      </c>
      <c r="B123" s="25">
        <v>39263</v>
      </c>
      <c r="C123" s="26">
        <v>574194</v>
      </c>
      <c r="D123" s="3">
        <v>5.3933333333333335</v>
      </c>
      <c r="E123" s="2">
        <v>81.603840119422486</v>
      </c>
      <c r="F123" s="27">
        <v>1.9862666666666666</v>
      </c>
    </row>
    <row r="124" spans="1:6" x14ac:dyDescent="0.35">
      <c r="A124" t="s">
        <v>1268</v>
      </c>
      <c r="B124" s="25">
        <v>39355</v>
      </c>
      <c r="C124" s="26">
        <v>579605</v>
      </c>
      <c r="D124" s="3">
        <v>5.7399999999999993</v>
      </c>
      <c r="E124" s="2">
        <v>81.687235349595127</v>
      </c>
      <c r="F124" s="27">
        <v>2.0216333333333334</v>
      </c>
    </row>
    <row r="125" spans="1:6" x14ac:dyDescent="0.35">
      <c r="A125" t="s">
        <v>1269</v>
      </c>
      <c r="B125" s="25">
        <v>39447</v>
      </c>
      <c r="C125" s="26">
        <v>584504</v>
      </c>
      <c r="D125" s="3">
        <v>5.68</v>
      </c>
      <c r="E125" s="2">
        <v>82.543943237120942</v>
      </c>
      <c r="F125" s="27">
        <v>2.0436999999999999</v>
      </c>
    </row>
    <row r="126" spans="1:6" x14ac:dyDescent="0.35">
      <c r="A126" t="s">
        <v>1270</v>
      </c>
      <c r="B126" s="25">
        <v>39538</v>
      </c>
      <c r="C126" s="26">
        <v>586690</v>
      </c>
      <c r="D126" s="3">
        <v>5.3500000000000005</v>
      </c>
      <c r="E126" s="2">
        <v>83.240988838886494</v>
      </c>
      <c r="F126" s="27">
        <v>1.9787666666666668</v>
      </c>
    </row>
    <row r="127" spans="1:6" x14ac:dyDescent="0.35">
      <c r="A127" t="s">
        <v>1271</v>
      </c>
      <c r="B127" s="25">
        <v>39629</v>
      </c>
      <c r="C127" s="26">
        <v>583541</v>
      </c>
      <c r="D127" s="3">
        <v>5.0266666666666664</v>
      </c>
      <c r="E127" s="2">
        <v>84.378655562088483</v>
      </c>
      <c r="F127" s="27">
        <v>1.9710000000000001</v>
      </c>
    </row>
    <row r="128" spans="1:6" x14ac:dyDescent="0.35">
      <c r="A128" t="s">
        <v>1272</v>
      </c>
      <c r="B128" s="25">
        <v>39721</v>
      </c>
      <c r="C128" s="26">
        <v>573961</v>
      </c>
      <c r="D128" s="3">
        <v>5</v>
      </c>
      <c r="E128" s="2">
        <v>85.59621934255243</v>
      </c>
      <c r="F128" s="27">
        <v>1.8908666666666667</v>
      </c>
    </row>
    <row r="129" spans="1:6" x14ac:dyDescent="0.35">
      <c r="A129" t="s">
        <v>1273</v>
      </c>
      <c r="B129" s="25">
        <v>39813</v>
      </c>
      <c r="C129" s="26">
        <v>561816</v>
      </c>
      <c r="D129" s="3">
        <v>3.3266666666666667</v>
      </c>
      <c r="E129" s="2">
        <v>85.702305623498347</v>
      </c>
      <c r="F129" s="27">
        <v>1.5681</v>
      </c>
    </row>
    <row r="130" spans="1:6" x14ac:dyDescent="0.35">
      <c r="A130" t="s">
        <v>1274</v>
      </c>
      <c r="B130" s="25">
        <v>39903</v>
      </c>
      <c r="C130" s="26">
        <v>550451</v>
      </c>
      <c r="D130" s="3">
        <v>1.0833333333333333</v>
      </c>
      <c r="E130" s="2">
        <v>85.716362615880627</v>
      </c>
      <c r="F130" s="27">
        <v>1.4351333333333331</v>
      </c>
    </row>
    <row r="131" spans="1:6" x14ac:dyDescent="0.35">
      <c r="A131" t="s">
        <v>1275</v>
      </c>
      <c r="B131" s="25">
        <v>39994</v>
      </c>
      <c r="C131" s="26">
        <v>548859</v>
      </c>
      <c r="D131" s="3">
        <v>0.5</v>
      </c>
      <c r="E131" s="2">
        <v>86.133202914206819</v>
      </c>
      <c r="F131" s="27">
        <v>1.5499666666666665</v>
      </c>
    </row>
    <row r="132" spans="1:6" x14ac:dyDescent="0.35">
      <c r="A132" t="s">
        <v>1276</v>
      </c>
      <c r="B132" s="25">
        <v>40086</v>
      </c>
      <c r="C132" s="26">
        <v>549540</v>
      </c>
      <c r="D132" s="3">
        <v>0.5</v>
      </c>
      <c r="E132" s="2">
        <v>86.923132000150872</v>
      </c>
      <c r="F132" s="27">
        <v>1.6411</v>
      </c>
    </row>
    <row r="133" spans="1:6" x14ac:dyDescent="0.35">
      <c r="A133" t="s">
        <v>1277</v>
      </c>
      <c r="B133" s="25">
        <v>40178</v>
      </c>
      <c r="C133" s="26">
        <v>551372</v>
      </c>
      <c r="D133" s="3">
        <v>0.5</v>
      </c>
      <c r="E133" s="2">
        <v>87.550731791052911</v>
      </c>
      <c r="F133" s="27">
        <v>1.6345666666666665</v>
      </c>
    </row>
    <row r="134" spans="1:6" x14ac:dyDescent="0.35">
      <c r="A134" t="s">
        <v>1278</v>
      </c>
      <c r="B134" s="25">
        <v>40268</v>
      </c>
      <c r="C134" s="26">
        <v>556002</v>
      </c>
      <c r="D134" s="3">
        <v>0.5</v>
      </c>
      <c r="E134" s="2">
        <v>88.472688806684516</v>
      </c>
      <c r="F134" s="27">
        <v>1.5611333333333333</v>
      </c>
    </row>
    <row r="135" spans="1:6" x14ac:dyDescent="0.35">
      <c r="A135" t="s">
        <v>1279</v>
      </c>
      <c r="B135" s="25">
        <v>40359</v>
      </c>
      <c r="C135" s="26">
        <v>562353</v>
      </c>
      <c r="D135" s="3">
        <v>0.5</v>
      </c>
      <c r="E135" s="2">
        <v>89.141629068113701</v>
      </c>
      <c r="F135" s="27">
        <v>1.4923</v>
      </c>
    </row>
    <row r="136" spans="1:6" x14ac:dyDescent="0.35">
      <c r="A136" t="s">
        <v>1280</v>
      </c>
      <c r="B136" s="25">
        <v>40451</v>
      </c>
      <c r="C136" s="26">
        <v>565659</v>
      </c>
      <c r="D136" s="3">
        <v>0.5</v>
      </c>
      <c r="E136" s="2">
        <v>89.651923695938919</v>
      </c>
      <c r="F136" s="27">
        <v>1.5518666666666665</v>
      </c>
    </row>
    <row r="137" spans="1:6" x14ac:dyDescent="0.35">
      <c r="A137" t="s">
        <v>1281</v>
      </c>
      <c r="B137" s="25">
        <v>40543</v>
      </c>
      <c r="C137" s="26">
        <v>565945</v>
      </c>
      <c r="D137" s="3">
        <v>0.5</v>
      </c>
      <c r="E137" s="2">
        <v>90.482636728652139</v>
      </c>
      <c r="F137" s="27">
        <v>1.5807666666666667</v>
      </c>
    </row>
    <row r="138" spans="1:6" x14ac:dyDescent="0.35">
      <c r="A138" t="s">
        <v>527</v>
      </c>
      <c r="B138" s="25">
        <v>40633</v>
      </c>
      <c r="C138" s="26">
        <v>566873</v>
      </c>
      <c r="D138" s="3">
        <v>0.5</v>
      </c>
      <c r="E138" s="2">
        <v>92.032822891039544</v>
      </c>
      <c r="F138" s="27">
        <v>1.6021666666666665</v>
      </c>
    </row>
    <row r="139" spans="1:6" x14ac:dyDescent="0.35">
      <c r="A139" t="s">
        <v>1282</v>
      </c>
      <c r="B139" s="25">
        <v>40724</v>
      </c>
      <c r="C139" s="26">
        <v>566601</v>
      </c>
      <c r="D139" s="3">
        <v>0.5</v>
      </c>
      <c r="E139" s="2">
        <v>93.095432223093738</v>
      </c>
      <c r="F139" s="27">
        <v>1.631</v>
      </c>
    </row>
    <row r="140" spans="1:6" x14ac:dyDescent="0.35">
      <c r="A140" t="s">
        <v>1283</v>
      </c>
      <c r="B140" s="25">
        <v>40816</v>
      </c>
      <c r="C140" s="26">
        <v>567586</v>
      </c>
      <c r="D140" s="3">
        <v>0.5</v>
      </c>
      <c r="E140" s="2">
        <v>93.875329963203413</v>
      </c>
      <c r="F140" s="27">
        <v>1.6094999999999999</v>
      </c>
    </row>
    <row r="141" spans="1:6" x14ac:dyDescent="0.35">
      <c r="A141" t="s">
        <v>1284</v>
      </c>
      <c r="B141" s="25">
        <v>40908</v>
      </c>
      <c r="C141" s="26">
        <v>568056</v>
      </c>
      <c r="D141" s="3">
        <v>0.5</v>
      </c>
      <c r="E141" s="2">
        <v>94.697622524457927</v>
      </c>
      <c r="F141" s="27">
        <v>1.5720333333333334</v>
      </c>
    </row>
    <row r="142" spans="1:6" x14ac:dyDescent="0.35">
      <c r="A142" t="s">
        <v>1285</v>
      </c>
      <c r="B142" s="25">
        <v>40999</v>
      </c>
      <c r="C142" s="26">
        <v>573416</v>
      </c>
      <c r="D142" s="3">
        <v>0.5</v>
      </c>
      <c r="E142" s="2">
        <v>95.20812270326725</v>
      </c>
      <c r="F142" s="27">
        <v>1.5717333333333334</v>
      </c>
    </row>
    <row r="143" spans="1:6" x14ac:dyDescent="0.35">
      <c r="A143" t="s">
        <v>1286</v>
      </c>
      <c r="B143" s="25">
        <v>41090</v>
      </c>
      <c r="C143" s="26">
        <v>573112</v>
      </c>
      <c r="D143" s="3">
        <v>0.5</v>
      </c>
      <c r="E143" s="2">
        <v>95.628473521914714</v>
      </c>
      <c r="F143" s="27">
        <v>1.5826666666666667</v>
      </c>
    </row>
    <row r="144" spans="1:6" x14ac:dyDescent="0.35">
      <c r="A144" t="s">
        <v>1287</v>
      </c>
      <c r="B144" s="25">
        <v>41182</v>
      </c>
      <c r="C144" s="26">
        <v>579051</v>
      </c>
      <c r="D144" s="3">
        <v>0.5</v>
      </c>
      <c r="E144" s="2">
        <v>96.119026203581001</v>
      </c>
      <c r="F144" s="27">
        <v>1.5813666666666666</v>
      </c>
    </row>
    <row r="145" spans="1:6" x14ac:dyDescent="0.35">
      <c r="A145" t="s">
        <v>1288</v>
      </c>
      <c r="B145" s="25">
        <v>41274</v>
      </c>
      <c r="C145" s="26">
        <v>578215</v>
      </c>
      <c r="D145" s="3">
        <v>0.5</v>
      </c>
      <c r="E145" s="2">
        <v>97.191682216491245</v>
      </c>
      <c r="F145" s="27">
        <v>1.6064333333333334</v>
      </c>
    </row>
    <row r="146" spans="1:6" x14ac:dyDescent="0.35">
      <c r="A146" t="s">
        <v>1289</v>
      </c>
      <c r="B146" s="25">
        <v>41364</v>
      </c>
      <c r="C146" s="26">
        <v>579749</v>
      </c>
      <c r="D146" s="3">
        <v>0.5</v>
      </c>
      <c r="E146" s="2">
        <v>97.848707860694461</v>
      </c>
      <c r="F146" s="27">
        <v>1.5506333333333335</v>
      </c>
    </row>
    <row r="147" spans="1:6" x14ac:dyDescent="0.35">
      <c r="A147" t="s">
        <v>1290</v>
      </c>
      <c r="B147" s="25">
        <v>41455</v>
      </c>
      <c r="C147" s="26">
        <v>583605</v>
      </c>
      <c r="D147" s="3">
        <v>0.5</v>
      </c>
      <c r="E147" s="2">
        <v>98.232119330920455</v>
      </c>
      <c r="F147" s="27">
        <v>1.5367</v>
      </c>
    </row>
    <row r="148" spans="1:6" x14ac:dyDescent="0.35">
      <c r="A148" t="s">
        <v>1291</v>
      </c>
      <c r="B148" s="25">
        <v>41547</v>
      </c>
      <c r="C148" s="26">
        <v>588076</v>
      </c>
      <c r="D148" s="3">
        <v>0.5</v>
      </c>
      <c r="E148" s="2">
        <v>98.735153632918752</v>
      </c>
      <c r="F148" s="27">
        <v>1.5523</v>
      </c>
    </row>
    <row r="149" spans="1:6" x14ac:dyDescent="0.35">
      <c r="A149" t="s">
        <v>1292</v>
      </c>
      <c r="B149" s="25">
        <v>41639</v>
      </c>
      <c r="C149" s="26">
        <v>591954</v>
      </c>
      <c r="D149" s="3">
        <v>0.5</v>
      </c>
      <c r="E149" s="2">
        <v>99.188278432739011</v>
      </c>
      <c r="F149" s="27">
        <v>1.6193666666666668</v>
      </c>
    </row>
    <row r="150" spans="1:6" x14ac:dyDescent="0.35">
      <c r="A150" t="s">
        <v>1293</v>
      </c>
      <c r="B150" s="25">
        <v>41729</v>
      </c>
      <c r="C150" s="26">
        <v>596696</v>
      </c>
      <c r="D150" s="3">
        <v>0.5</v>
      </c>
      <c r="E150" s="2">
        <v>99.609604887374132</v>
      </c>
      <c r="F150" s="27">
        <v>1.6550666666666667</v>
      </c>
    </row>
    <row r="151" spans="1:6" x14ac:dyDescent="0.35">
      <c r="A151" t="s">
        <v>1294</v>
      </c>
      <c r="B151" s="25">
        <v>41820</v>
      </c>
      <c r="C151" s="26">
        <v>602310</v>
      </c>
      <c r="D151" s="3">
        <v>0.5</v>
      </c>
      <c r="E151" s="2">
        <v>99.996833357818886</v>
      </c>
      <c r="F151" s="27">
        <v>1.6832666666666667</v>
      </c>
    </row>
    <row r="152" spans="1:6" x14ac:dyDescent="0.35">
      <c r="A152" t="s">
        <v>1295</v>
      </c>
      <c r="B152" s="25">
        <v>41912</v>
      </c>
      <c r="C152" s="26">
        <v>607213</v>
      </c>
      <c r="D152" s="3">
        <v>0.5</v>
      </c>
      <c r="E152" s="2">
        <v>100.13527704294192</v>
      </c>
      <c r="F152" s="27">
        <v>1.6685333333333332</v>
      </c>
    </row>
    <row r="153" spans="1:6" x14ac:dyDescent="0.35">
      <c r="A153" t="s">
        <v>1296</v>
      </c>
      <c r="B153" s="25">
        <v>42004</v>
      </c>
      <c r="C153" s="26">
        <v>611220</v>
      </c>
      <c r="D153" s="3">
        <v>0.5</v>
      </c>
      <c r="E153" s="2">
        <v>100.0653635227934</v>
      </c>
      <c r="F153" s="27">
        <v>1.5829666666666666</v>
      </c>
    </row>
    <row r="154" spans="1:6" x14ac:dyDescent="0.35">
      <c r="A154" t="s">
        <v>1297</v>
      </c>
      <c r="B154" s="25">
        <v>42094</v>
      </c>
      <c r="C154" s="26">
        <v>613076</v>
      </c>
      <c r="D154" s="3">
        <v>0.5</v>
      </c>
      <c r="E154" s="2">
        <v>99.739893566543032</v>
      </c>
      <c r="F154" s="27">
        <v>1.5142999999999998</v>
      </c>
    </row>
    <row r="155" spans="1:6" x14ac:dyDescent="0.35">
      <c r="A155" t="s">
        <v>1298</v>
      </c>
      <c r="B155" s="25">
        <v>42185</v>
      </c>
      <c r="C155" s="26">
        <v>615875</v>
      </c>
      <c r="D155" s="3">
        <v>0.5</v>
      </c>
      <c r="E155" s="2">
        <v>99.982273308129407</v>
      </c>
      <c r="F155" s="27">
        <v>1.5333333333333332</v>
      </c>
    </row>
    <row r="156" spans="1:6" x14ac:dyDescent="0.35">
      <c r="A156" t="s">
        <v>1299</v>
      </c>
      <c r="B156" s="25">
        <v>42277</v>
      </c>
      <c r="C156" s="26">
        <v>618263</v>
      </c>
      <c r="D156" s="3">
        <v>0.5</v>
      </c>
      <c r="E156" s="2">
        <v>100.13596518749878</v>
      </c>
      <c r="F156" s="27">
        <v>1.5492000000000001</v>
      </c>
    </row>
    <row r="157" spans="1:6" x14ac:dyDescent="0.35">
      <c r="A157" t="s">
        <v>1300</v>
      </c>
      <c r="B157" s="25">
        <v>42369</v>
      </c>
      <c r="C157" s="26">
        <v>621968</v>
      </c>
      <c r="D157" s="3">
        <v>0.5</v>
      </c>
      <c r="E157" s="2">
        <v>100.15569144759998</v>
      </c>
      <c r="F157" s="27">
        <v>1.5172666666666668</v>
      </c>
    </row>
    <row r="158" spans="1:6" x14ac:dyDescent="0.35">
      <c r="A158" t="s">
        <v>1301</v>
      </c>
      <c r="B158" s="25">
        <v>42460</v>
      </c>
      <c r="C158" s="26">
        <v>625099</v>
      </c>
      <c r="D158" s="3">
        <v>0.5</v>
      </c>
      <c r="E158" s="2">
        <v>100.10444169216147</v>
      </c>
      <c r="F158" s="27">
        <v>1.4310333333333334</v>
      </c>
    </row>
    <row r="159" spans="1:6" x14ac:dyDescent="0.35">
      <c r="A159" t="s">
        <v>1302</v>
      </c>
      <c r="B159" s="25">
        <v>42551</v>
      </c>
      <c r="C159" s="26">
        <v>629697</v>
      </c>
      <c r="D159" s="3">
        <v>0.5</v>
      </c>
      <c r="E159" s="2">
        <v>100.31689492791403</v>
      </c>
      <c r="F159" s="27">
        <v>1.4346666666666665</v>
      </c>
    </row>
    <row r="160" spans="1:6" x14ac:dyDescent="0.35">
      <c r="A160" t="s">
        <v>1303</v>
      </c>
      <c r="B160" s="25">
        <v>42643</v>
      </c>
      <c r="C160" s="26">
        <v>632477</v>
      </c>
      <c r="D160" s="3">
        <v>0.34333333333333332</v>
      </c>
      <c r="E160" s="2">
        <v>100.81173562190465</v>
      </c>
      <c r="F160" s="27">
        <v>1.3125</v>
      </c>
    </row>
    <row r="161" spans="1:6" x14ac:dyDescent="0.35">
      <c r="A161" t="s">
        <v>1304</v>
      </c>
      <c r="B161" s="25">
        <v>42735</v>
      </c>
      <c r="C161" s="26">
        <v>636392</v>
      </c>
      <c r="D161" s="3">
        <v>0.25</v>
      </c>
      <c r="E161" s="2">
        <v>101.35648503702053</v>
      </c>
      <c r="F161" s="27">
        <v>1.2415</v>
      </c>
    </row>
    <row r="162" spans="1:6" x14ac:dyDescent="0.35">
      <c r="A162" t="s">
        <v>1305</v>
      </c>
      <c r="B162" s="25">
        <v>42825</v>
      </c>
      <c r="C162" s="26">
        <v>642463</v>
      </c>
      <c r="D162" s="3">
        <v>0.25</v>
      </c>
      <c r="E162" s="2">
        <v>102.29046053906254</v>
      </c>
      <c r="F162" s="27">
        <v>1.2403000000000002</v>
      </c>
    </row>
    <row r="163" spans="1:6" x14ac:dyDescent="0.35">
      <c r="A163" t="s">
        <v>1306</v>
      </c>
      <c r="B163" s="25">
        <v>42916</v>
      </c>
      <c r="C163" s="26">
        <v>647944</v>
      </c>
      <c r="D163" s="3">
        <v>0.25</v>
      </c>
      <c r="E163" s="2">
        <v>103.08881582386071</v>
      </c>
      <c r="F163" s="27">
        <v>1.2792666666666666</v>
      </c>
    </row>
    <row r="164" spans="1:6" x14ac:dyDescent="0.35">
      <c r="A164" t="s">
        <v>1307</v>
      </c>
      <c r="B164" s="25">
        <v>43008</v>
      </c>
      <c r="C164" s="26">
        <v>652329</v>
      </c>
      <c r="D164" s="3">
        <v>0.25</v>
      </c>
      <c r="E164" s="2">
        <v>103.61567764583282</v>
      </c>
      <c r="F164" s="27">
        <v>1.3096000000000001</v>
      </c>
    </row>
    <row r="165" spans="1:6" x14ac:dyDescent="0.35">
      <c r="A165" t="s">
        <v>1308</v>
      </c>
      <c r="B165" s="25">
        <v>43100</v>
      </c>
      <c r="C165" s="26">
        <v>657225</v>
      </c>
      <c r="D165" s="3">
        <v>0.41333333333333333</v>
      </c>
      <c r="E165" s="2">
        <v>104.43403668134135</v>
      </c>
      <c r="F165" s="27">
        <v>1.3274333333333335</v>
      </c>
    </row>
    <row r="166" spans="1:6" x14ac:dyDescent="0.35">
      <c r="A166" t="s">
        <v>1309</v>
      </c>
      <c r="B166" s="25">
        <v>43190</v>
      </c>
      <c r="C166" s="26">
        <v>657741</v>
      </c>
      <c r="D166" s="3">
        <v>0.5</v>
      </c>
      <c r="E166" s="2">
        <v>105.07304187554411</v>
      </c>
      <c r="F166" s="27">
        <v>1.3920333333333332</v>
      </c>
    </row>
    <row r="167" spans="1:6" x14ac:dyDescent="0.35">
      <c r="A167" t="s">
        <v>1310</v>
      </c>
      <c r="B167" s="25">
        <v>43281</v>
      </c>
      <c r="C167" s="26">
        <v>659172</v>
      </c>
      <c r="D167" s="3">
        <v>0.5</v>
      </c>
      <c r="E167" s="2">
        <v>105.58061487492856</v>
      </c>
      <c r="F167" s="27">
        <v>1.3614333333333333</v>
      </c>
    </row>
    <row r="168" spans="1:6" x14ac:dyDescent="0.35">
      <c r="A168" t="s">
        <v>1311</v>
      </c>
      <c r="B168" s="25">
        <v>43373</v>
      </c>
      <c r="C168" s="26">
        <v>661262</v>
      </c>
      <c r="D168" s="3">
        <v>0.66333333333333333</v>
      </c>
      <c r="E168" s="2">
        <v>106.20129696681755</v>
      </c>
      <c r="F168" s="27">
        <v>1.3035333333333334</v>
      </c>
    </row>
    <row r="169" spans="1:6" x14ac:dyDescent="0.35">
      <c r="A169" t="s">
        <v>1312</v>
      </c>
      <c r="B169" s="25">
        <v>43465</v>
      </c>
      <c r="C169" s="26">
        <v>662120</v>
      </c>
      <c r="D169" s="3">
        <v>0.75</v>
      </c>
      <c r="E169" s="2">
        <v>106.80280799919188</v>
      </c>
      <c r="F169" s="27">
        <v>1.2858666666666665</v>
      </c>
    </row>
    <row r="170" spans="1:6" x14ac:dyDescent="0.35">
      <c r="A170" t="s">
        <v>1313</v>
      </c>
      <c r="B170" s="25">
        <v>43555</v>
      </c>
      <c r="C170" s="26">
        <v>665456</v>
      </c>
      <c r="D170" s="3">
        <v>0.75</v>
      </c>
      <c r="E170" s="2">
        <v>107.04181610213963</v>
      </c>
      <c r="F170" s="27">
        <v>1.3028000000000002</v>
      </c>
    </row>
    <row r="171" spans="1:6" x14ac:dyDescent="0.35">
      <c r="A171" t="s">
        <v>1314</v>
      </c>
      <c r="B171" s="25">
        <v>43646</v>
      </c>
      <c r="C171" s="26">
        <v>666875</v>
      </c>
      <c r="D171" s="3">
        <v>0.75</v>
      </c>
      <c r="E171" s="2">
        <v>107.67447576862133</v>
      </c>
      <c r="F171" s="27">
        <v>1.2853000000000001</v>
      </c>
    </row>
    <row r="172" spans="1:6" x14ac:dyDescent="0.35">
      <c r="A172" t="s">
        <v>1315</v>
      </c>
      <c r="B172" s="25">
        <v>43738</v>
      </c>
      <c r="C172" s="26">
        <v>670547</v>
      </c>
      <c r="D172" s="3">
        <v>0.75</v>
      </c>
      <c r="E172" s="2">
        <v>108.17767866865314</v>
      </c>
      <c r="F172" s="27">
        <v>1.2329999999999999</v>
      </c>
    </row>
    <row r="173" spans="1:6" x14ac:dyDescent="0.35">
      <c r="A173" t="s">
        <v>1316</v>
      </c>
      <c r="B173" s="25">
        <v>43830</v>
      </c>
      <c r="C173" s="26">
        <v>670587</v>
      </c>
      <c r="D173" s="3">
        <v>0.75</v>
      </c>
      <c r="E173" s="2">
        <v>108.28180654106582</v>
      </c>
      <c r="F173" s="27">
        <v>1.2883333333333333</v>
      </c>
    </row>
    <row r="174" spans="1:6" x14ac:dyDescent="0.35">
      <c r="A174" t="s">
        <v>1317</v>
      </c>
      <c r="B174" s="25">
        <v>43921</v>
      </c>
      <c r="C174" s="26">
        <v>652180</v>
      </c>
      <c r="D174" s="3">
        <v>0.6166666666666667</v>
      </c>
      <c r="E174" s="2">
        <v>108.88758793832189</v>
      </c>
      <c r="F174" s="27">
        <v>1.2799333333333334</v>
      </c>
    </row>
    <row r="175" spans="1:6" x14ac:dyDescent="0.35">
      <c r="A175" t="s">
        <v>1318</v>
      </c>
      <c r="B175" s="25">
        <v>44012</v>
      </c>
      <c r="C175" s="26">
        <v>522356</v>
      </c>
      <c r="D175" s="3">
        <v>0.10000000000000002</v>
      </c>
      <c r="E175" s="2">
        <v>108.32328721819576</v>
      </c>
      <c r="F175" s="27">
        <v>1.2415</v>
      </c>
    </row>
    <row r="176" spans="1:6" x14ac:dyDescent="0.35">
      <c r="A176" t="s">
        <v>1319</v>
      </c>
      <c r="B176" s="25">
        <v>44104</v>
      </c>
      <c r="C176" s="26">
        <v>610972</v>
      </c>
      <c r="D176" s="3">
        <v>0.10000000000000002</v>
      </c>
      <c r="E176" s="2">
        <v>108.87057585463407</v>
      </c>
      <c r="F176" s="27">
        <v>1.2930333333333335</v>
      </c>
    </row>
    <row r="177" spans="1:6" x14ac:dyDescent="0.35">
      <c r="A177" t="s">
        <v>1320</v>
      </c>
      <c r="B177" s="25">
        <v>44196</v>
      </c>
      <c r="C177" s="26">
        <v>619330</v>
      </c>
      <c r="D177" s="3">
        <v>0.10000000000000002</v>
      </c>
      <c r="E177" s="2">
        <v>108.90818692640312</v>
      </c>
      <c r="F177" s="27">
        <v>1.3204</v>
      </c>
    </row>
    <row r="178" spans="1:6" x14ac:dyDescent="0.35">
      <c r="A178" t="s">
        <v>1321</v>
      </c>
      <c r="B178" s="25">
        <v>44286</v>
      </c>
      <c r="C178" s="26">
        <v>612665</v>
      </c>
      <c r="D178" s="3">
        <v>0.10000000000000002</v>
      </c>
      <c r="E178" s="2">
        <v>109.65471710649963</v>
      </c>
      <c r="F178" s="27">
        <v>1.3790333333333333</v>
      </c>
    </row>
    <row r="179" spans="1:6" x14ac:dyDescent="0.35">
      <c r="A179" t="s">
        <v>1322</v>
      </c>
      <c r="B179" s="25">
        <v>44377</v>
      </c>
      <c r="C179" s="26">
        <v>655443</v>
      </c>
      <c r="D179" s="3">
        <v>0.10000000000000002</v>
      </c>
      <c r="E179" s="2">
        <v>110.42870632904759</v>
      </c>
      <c r="F179" s="27">
        <v>1.3984666666666667</v>
      </c>
    </row>
    <row r="180" spans="1:6" x14ac:dyDescent="0.35">
      <c r="A180" t="s">
        <v>1323</v>
      </c>
      <c r="B180" s="25">
        <v>44469</v>
      </c>
      <c r="C180" s="26">
        <v>666498</v>
      </c>
      <c r="D180" s="3">
        <v>0.10000000000000002</v>
      </c>
      <c r="E180" s="2">
        <v>111.89687425898363</v>
      </c>
      <c r="F180" s="27">
        <v>1.3779000000000001</v>
      </c>
    </row>
    <row r="181" spans="1:6" x14ac:dyDescent="0.35">
      <c r="A181" t="s">
        <v>1324</v>
      </c>
      <c r="B181" s="25">
        <v>44561</v>
      </c>
      <c r="C181" s="26">
        <v>675680</v>
      </c>
      <c r="D181" s="3">
        <v>0.12333333333333334</v>
      </c>
      <c r="E181" s="2">
        <v>114.24343759738657</v>
      </c>
      <c r="F181" s="27">
        <v>1.3489000000000002</v>
      </c>
    </row>
    <row r="182" spans="1:6" x14ac:dyDescent="0.35">
      <c r="A182" t="s">
        <v>1325</v>
      </c>
      <c r="B182" s="25">
        <v>44651</v>
      </c>
      <c r="C182" s="26">
        <v>682527</v>
      </c>
      <c r="D182" s="3">
        <v>0.45</v>
      </c>
      <c r="E182" s="2">
        <v>116.50436447655753</v>
      </c>
      <c r="F182" s="27">
        <v>1.3421000000000001</v>
      </c>
    </row>
    <row r="183" spans="1:6" x14ac:dyDescent="0.35">
      <c r="A183" t="s">
        <v>1326</v>
      </c>
      <c r="B183" s="25">
        <v>44742</v>
      </c>
      <c r="C183" s="26">
        <v>686335</v>
      </c>
      <c r="D183" s="3">
        <v>0.95666666666666667</v>
      </c>
      <c r="E183" s="2">
        <v>120.43800664580029</v>
      </c>
      <c r="F183" s="27">
        <v>1.2563666666666666</v>
      </c>
    </row>
    <row r="184" spans="1:6" x14ac:dyDescent="0.35">
      <c r="A184" t="s">
        <v>1327</v>
      </c>
      <c r="B184" s="25">
        <v>44834</v>
      </c>
      <c r="C184" s="26">
        <v>687029</v>
      </c>
      <c r="D184" s="3">
        <v>1.6166666666666665</v>
      </c>
      <c r="E184" s="2">
        <v>123.1188350093873</v>
      </c>
      <c r="F184" s="27">
        <v>1.1763333333333332</v>
      </c>
    </row>
    <row r="185" spans="1:6" x14ac:dyDescent="0.35">
      <c r="A185" t="s">
        <v>1328</v>
      </c>
      <c r="B185" s="25">
        <v>44926</v>
      </c>
      <c r="C185" s="26">
        <v>688817</v>
      </c>
      <c r="D185" s="3">
        <v>2.81</v>
      </c>
      <c r="E185" s="2">
        <v>126.56303647631806</v>
      </c>
      <c r="F185" s="27">
        <v>1.1746333333333334</v>
      </c>
    </row>
    <row r="186" spans="1:6" x14ac:dyDescent="0.35">
      <c r="A186" t="s">
        <v>1329</v>
      </c>
      <c r="B186" s="25">
        <v>45016</v>
      </c>
      <c r="C186" s="26">
        <v>689206</v>
      </c>
      <c r="D186" s="3">
        <v>3.8533333333333335</v>
      </c>
      <c r="E186" s="2">
        <v>128.3840316076548</v>
      </c>
      <c r="F186" s="27">
        <v>1.2153</v>
      </c>
    </row>
    <row r="187" spans="1:6" x14ac:dyDescent="0.35">
      <c r="A187" t="s">
        <v>1330</v>
      </c>
      <c r="B187" s="25">
        <v>45107</v>
      </c>
      <c r="C187" s="26">
        <v>689491</v>
      </c>
      <c r="D187" s="3">
        <v>4.4466666666666663</v>
      </c>
      <c r="E187" s="2">
        <v>130.52273356327208</v>
      </c>
      <c r="F187" s="27">
        <v>1.2519</v>
      </c>
    </row>
    <row r="188" spans="1:6" x14ac:dyDescent="0.35">
      <c r="A188" t="s">
        <v>1331</v>
      </c>
      <c r="B188" s="25">
        <v>45199</v>
      </c>
      <c r="C188" s="26">
        <v>687839</v>
      </c>
      <c r="D188" s="3">
        <v>5.16</v>
      </c>
      <c r="E188" s="2">
        <v>131.40872018714575</v>
      </c>
      <c r="F188" s="27">
        <v>1.266</v>
      </c>
    </row>
    <row r="189" spans="1:6" x14ac:dyDescent="0.35">
      <c r="A189" t="s">
        <v>1332</v>
      </c>
      <c r="B189" s="25">
        <v>45291</v>
      </c>
      <c r="C189" s="26">
        <v>685628</v>
      </c>
      <c r="D189" s="3">
        <v>5.25</v>
      </c>
      <c r="E189" s="2">
        <v>131.85889942964809</v>
      </c>
      <c r="F189" s="27">
        <v>1.2423</v>
      </c>
    </row>
    <row r="190" spans="1:6" x14ac:dyDescent="0.35">
      <c r="A190" t="s">
        <v>1333</v>
      </c>
      <c r="B190" s="25">
        <v>45382</v>
      </c>
      <c r="C190" s="26">
        <v>690605</v>
      </c>
      <c r="D190" s="3">
        <v>5.25</v>
      </c>
      <c r="E190" s="2">
        <v>132.94596420811652</v>
      </c>
      <c r="F190" s="27">
        <v>1.2681333333333333</v>
      </c>
    </row>
    <row r="191" spans="1:6" x14ac:dyDescent="0.35">
      <c r="A191" t="s">
        <v>1334</v>
      </c>
      <c r="B191" s="25">
        <v>45473</v>
      </c>
      <c r="C191" s="26">
        <v>694810</v>
      </c>
      <c r="D191" s="3">
        <v>5.25</v>
      </c>
      <c r="E191" s="2">
        <v>133.22907689339593</v>
      </c>
      <c r="F191" s="27">
        <v>1.2623</v>
      </c>
    </row>
    <row r="192" spans="1:6" x14ac:dyDescent="0.35">
      <c r="A192" t="s">
        <v>1335</v>
      </c>
      <c r="B192" s="25">
        <v>45565</v>
      </c>
      <c r="C192" s="26">
        <v>696183</v>
      </c>
      <c r="D192" s="3">
        <v>5.083333333333333</v>
      </c>
      <c r="E192" s="2">
        <v>134.1063322340656</v>
      </c>
      <c r="F192" s="27">
        <v>1.3011333333333335</v>
      </c>
    </row>
    <row r="193" spans="1:6" x14ac:dyDescent="0.35">
      <c r="A193" t="s">
        <v>1336</v>
      </c>
      <c r="B193" s="25">
        <v>45657</v>
      </c>
      <c r="C193" s="26">
        <v>699177</v>
      </c>
      <c r="D193" s="3">
        <v>4.8500000000000005</v>
      </c>
      <c r="E193" s="2">
        <v>135.18860300753124</v>
      </c>
      <c r="F193" s="27">
        <v>1.2809333333333333</v>
      </c>
    </row>
    <row r="194" spans="1:6" x14ac:dyDescent="0.35">
      <c r="A194" t="s">
        <v>1337</v>
      </c>
      <c r="B194" s="25">
        <v>45747</v>
      </c>
      <c r="C194" s="26">
        <v>703218</v>
      </c>
      <c r="D194" s="3">
        <v>4.5966666666666667</v>
      </c>
      <c r="E194" s="2">
        <v>136.62337424992413</v>
      </c>
      <c r="F194" s="27">
        <v>1.2603</v>
      </c>
    </row>
    <row r="195" spans="1:6" x14ac:dyDescent="0.35">
      <c r="A195" t="s">
        <v>1338</v>
      </c>
      <c r="B195" s="25">
        <v>45838</v>
      </c>
      <c r="C195" s="26">
        <v>704206</v>
      </c>
      <c r="D195" s="3">
        <v>4.3500000000000005</v>
      </c>
      <c r="E195" s="2">
        <v>137.86657109137047</v>
      </c>
      <c r="F195" s="27">
        <v>1.3359666666666665</v>
      </c>
    </row>
    <row r="196" spans="1:6" x14ac:dyDescent="0.35">
      <c r="A196" t="s">
        <v>1339</v>
      </c>
      <c r="B196" s="25">
        <v>45930</v>
      </c>
      <c r="C196" s="26">
        <v>705348</v>
      </c>
      <c r="D196" s="3">
        <v>4.1000000000000005</v>
      </c>
      <c r="E196" s="2">
        <v>139.19487544094324</v>
      </c>
      <c r="F196" s="27">
        <v>1.3483666666666665</v>
      </c>
    </row>
    <row r="197" spans="1:6" x14ac:dyDescent="0.35">
      <c r="A197" t="s">
        <v>1340</v>
      </c>
      <c r="B197" s="25">
        <v>46022</v>
      </c>
      <c r="C197" s="26">
        <v>706453</v>
      </c>
      <c r="D197" s="3">
        <v>3.9666666666666668</v>
      </c>
      <c r="E197" s="2">
        <v>139.80389960439072</v>
      </c>
      <c r="F197" s="27">
        <v>1.3294333333333335</v>
      </c>
    </row>
    <row r="198" spans="1:6" x14ac:dyDescent="0.35">
      <c r="A198" t="s">
        <v>1341</v>
      </c>
      <c r="B198" s="25">
        <v>46112</v>
      </c>
      <c r="C198" s="26">
        <v>710896</v>
      </c>
      <c r="D198" s="3">
        <v>3.75</v>
      </c>
      <c r="E198" s="2">
        <v>140.82497198420708</v>
      </c>
      <c r="F198" s="27">
        <v>1.3484666666666667</v>
      </c>
    </row>
  </sheetData>
  <hyperlinks>
    <hyperlink ref="D1" r:id="rId1" xr:uid="{519709E5-4221-48FD-BA74-22C144C4AD5E}"/>
    <hyperlink ref="E1" r:id="rId2" display="D7BT@UK" xr:uid="{CC5BBCAE-C769-4933-A631-83CE43D3C9B4}"/>
    <hyperlink ref="F1" r:id="rId3" xr:uid="{1BA6CDB8-44AC-40F0-A339-19B77524DD8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820D81-49D3-458B-AF8B-6B326DEC494D}">
  <dimension ref="A1:I186"/>
  <sheetViews>
    <sheetView workbookViewId="0">
      <pane xSplit="1" ySplit="1" topLeftCell="B158" activePane="bottomRight" state="frozen"/>
      <selection pane="topRight" activeCell="B1" sqref="B1"/>
      <selection pane="bottomLeft" activeCell="A2" sqref="A2"/>
      <selection pane="bottomRight" activeCell="B186" sqref="B186"/>
    </sheetView>
  </sheetViews>
  <sheetFormatPr baseColWidth="10" defaultRowHeight="14.5" x14ac:dyDescent="0.35"/>
  <sheetData>
    <row r="1" spans="1:9" x14ac:dyDescent="0.35">
      <c r="A1" s="6" t="s">
        <v>215</v>
      </c>
      <c r="B1" t="s">
        <v>1380</v>
      </c>
      <c r="C1" t="s">
        <v>1381</v>
      </c>
      <c r="D1" t="s">
        <v>1382</v>
      </c>
      <c r="G1" t="s">
        <v>1383</v>
      </c>
      <c r="H1" t="s">
        <v>1384</v>
      </c>
      <c r="I1" t="s">
        <v>1385</v>
      </c>
    </row>
    <row r="2" spans="1:9" x14ac:dyDescent="0.35">
      <c r="A2" s="4">
        <v>29281</v>
      </c>
    </row>
    <row r="3" spans="1:9" x14ac:dyDescent="0.35">
      <c r="A3" s="4">
        <v>29373</v>
      </c>
    </row>
    <row r="4" spans="1:9" x14ac:dyDescent="0.35">
      <c r="A4" s="4">
        <v>29465</v>
      </c>
    </row>
    <row r="5" spans="1:9" x14ac:dyDescent="0.35">
      <c r="A5" s="4">
        <v>29556</v>
      </c>
    </row>
    <row r="6" spans="1:9" x14ac:dyDescent="0.35">
      <c r="A6" s="4">
        <v>29646</v>
      </c>
    </row>
    <row r="7" spans="1:9" x14ac:dyDescent="0.35">
      <c r="A7" s="4">
        <v>29738</v>
      </c>
    </row>
    <row r="8" spans="1:9" x14ac:dyDescent="0.35">
      <c r="A8" s="4">
        <v>29830</v>
      </c>
    </row>
    <row r="9" spans="1:9" x14ac:dyDescent="0.35">
      <c r="A9" s="4">
        <v>29921</v>
      </c>
    </row>
    <row r="10" spans="1:9" x14ac:dyDescent="0.35">
      <c r="A10" s="4">
        <v>30011</v>
      </c>
    </row>
    <row r="11" spans="1:9" x14ac:dyDescent="0.35">
      <c r="A11" s="4">
        <v>30103</v>
      </c>
    </row>
    <row r="12" spans="1:9" x14ac:dyDescent="0.35">
      <c r="A12" s="4">
        <v>30195</v>
      </c>
    </row>
    <row r="13" spans="1:9" x14ac:dyDescent="0.35">
      <c r="A13" s="4">
        <v>30286</v>
      </c>
    </row>
    <row r="14" spans="1:9" x14ac:dyDescent="0.35">
      <c r="A14" s="4">
        <v>30376</v>
      </c>
    </row>
    <row r="15" spans="1:9" x14ac:dyDescent="0.35">
      <c r="A15" s="4">
        <v>30468</v>
      </c>
    </row>
    <row r="16" spans="1:9" x14ac:dyDescent="0.35">
      <c r="A16" s="4">
        <v>30560</v>
      </c>
    </row>
    <row r="17" spans="1:4" x14ac:dyDescent="0.35">
      <c r="A17" s="4">
        <v>30651</v>
      </c>
    </row>
    <row r="18" spans="1:4" x14ac:dyDescent="0.35">
      <c r="A18" s="4">
        <v>30742</v>
      </c>
      <c r="B18" s="3">
        <f>Haver!O28</f>
        <v>16.84</v>
      </c>
      <c r="C18" s="29"/>
    </row>
    <row r="19" spans="1:4" x14ac:dyDescent="0.35">
      <c r="A19" s="4">
        <v>30834</v>
      </c>
      <c r="B19" s="3">
        <f>Haver!O29</f>
        <v>16.95</v>
      </c>
      <c r="C19" s="29">
        <f>Haver!P29</f>
        <v>6.7228860890506626E-3</v>
      </c>
      <c r="D19">
        <f>B18*(1+C19)</f>
        <v>16.953213401739614</v>
      </c>
    </row>
    <row r="20" spans="1:4" x14ac:dyDescent="0.35">
      <c r="A20" s="4">
        <v>30926</v>
      </c>
      <c r="B20" s="3">
        <f>Haver!O30</f>
        <v>16.98</v>
      </c>
      <c r="C20" s="29">
        <f>Haver!P30</f>
        <v>6.0729787948831972E-3</v>
      </c>
      <c r="D20">
        <f>D19*(1+C20)</f>
        <v>17.05616990723351</v>
      </c>
    </row>
    <row r="21" spans="1:4" x14ac:dyDescent="0.35">
      <c r="A21" s="4">
        <v>31017</v>
      </c>
      <c r="B21" s="3">
        <f>Haver!O31</f>
        <v>17.136666666666667</v>
      </c>
      <c r="C21" s="29">
        <f>Haver!P31</f>
        <v>9.0100711397928818E-3</v>
      </c>
      <c r="D21">
        <f>D20*(1+C21)</f>
        <v>17.20984721147008</v>
      </c>
    </row>
    <row r="22" spans="1:4" x14ac:dyDescent="0.35">
      <c r="A22" s="4">
        <v>31107</v>
      </c>
      <c r="B22" s="3">
        <f>Haver!O32</f>
        <v>17.91</v>
      </c>
      <c r="C22" s="29">
        <f>Haver!P32</f>
        <v>4.0991061955653212E-2</v>
      </c>
      <c r="D22">
        <f t="shared" ref="D22:D84" si="0">D21*(1+C22)</f>
        <v>17.915297124762777</v>
      </c>
    </row>
    <row r="23" spans="1:4" x14ac:dyDescent="0.35">
      <c r="A23" s="4">
        <v>31199</v>
      </c>
      <c r="B23" s="3">
        <f>Haver!O33</f>
        <v>18.529999999999998</v>
      </c>
      <c r="C23" s="29">
        <f>Haver!P33</f>
        <v>3.4841861099531697E-2</v>
      </c>
      <c r="D23">
        <f t="shared" si="0"/>
        <v>18.539499418740604</v>
      </c>
    </row>
    <row r="24" spans="1:4" x14ac:dyDescent="0.35">
      <c r="A24" s="4">
        <v>31291</v>
      </c>
      <c r="B24" s="3">
        <f>Haver!O34</f>
        <v>18.876666666666669</v>
      </c>
      <c r="C24" s="29">
        <f>Haver!P34</f>
        <v>2.2633036497490936E-2</v>
      </c>
      <c r="D24">
        <f t="shared" si="0"/>
        <v>18.959104585730174</v>
      </c>
    </row>
    <row r="25" spans="1:4" x14ac:dyDescent="0.35">
      <c r="A25" s="4">
        <v>31382</v>
      </c>
      <c r="B25" s="3">
        <f>Haver!O35</f>
        <v>19.063333333333336</v>
      </c>
      <c r="C25" s="29">
        <f>Haver!P35</f>
        <v>9.5166400606413806E-3</v>
      </c>
      <c r="D25">
        <f t="shared" si="0"/>
        <v>19.139531559944626</v>
      </c>
    </row>
    <row r="26" spans="1:4" x14ac:dyDescent="0.35">
      <c r="A26" s="4">
        <v>31472</v>
      </c>
      <c r="B26" s="3">
        <f>Haver!O36</f>
        <v>19.356666666666666</v>
      </c>
      <c r="C26" s="29">
        <f>Haver!P36</f>
        <v>1.2038091045331233E-2</v>
      </c>
      <c r="D26">
        <f t="shared" si="0"/>
        <v>19.36993498342823</v>
      </c>
    </row>
    <row r="27" spans="1:4" x14ac:dyDescent="0.35">
      <c r="A27" s="4">
        <v>31564</v>
      </c>
      <c r="B27" s="3">
        <f>Haver!O37</f>
        <v>19.406666666666666</v>
      </c>
      <c r="C27" s="29">
        <f>Haver!P37</f>
        <v>2.7180194168956191E-3</v>
      </c>
      <c r="D27">
        <f t="shared" si="0"/>
        <v>19.422582842817196</v>
      </c>
    </row>
    <row r="28" spans="1:4" x14ac:dyDescent="0.35">
      <c r="A28" s="4">
        <v>31656</v>
      </c>
      <c r="B28" s="3">
        <f>Haver!O38</f>
        <v>19.66</v>
      </c>
      <c r="C28" s="29">
        <f>Haver!P38</f>
        <v>1.6208380921921103E-2</v>
      </c>
      <c r="D28">
        <f t="shared" si="0"/>
        <v>19.737391464021147</v>
      </c>
    </row>
    <row r="29" spans="1:4" x14ac:dyDescent="0.35">
      <c r="A29" s="4">
        <v>31747</v>
      </c>
      <c r="B29" s="3">
        <f>Haver!O39</f>
        <v>20.150000000000002</v>
      </c>
      <c r="C29" s="29">
        <f>Haver!P39</f>
        <v>2.4416900908209253E-2</v>
      </c>
      <c r="D29">
        <f t="shared" si="0"/>
        <v>20.219317395584689</v>
      </c>
    </row>
    <row r="30" spans="1:4" x14ac:dyDescent="0.35">
      <c r="A30" s="4">
        <v>31837</v>
      </c>
      <c r="B30" s="3">
        <f>Haver!O40</f>
        <v>20.446666666666669</v>
      </c>
      <c r="C30" s="29">
        <f>Haver!P40</f>
        <v>1.2528851858743348E-2</v>
      </c>
      <c r="D30">
        <f t="shared" si="0"/>
        <v>20.472642227918882</v>
      </c>
    </row>
    <row r="31" spans="1:4" x14ac:dyDescent="0.35">
      <c r="A31" s="4">
        <v>31929</v>
      </c>
      <c r="B31" s="3">
        <f>Haver!O41</f>
        <v>20.876666666666665</v>
      </c>
      <c r="C31" s="29">
        <f>Haver!P41</f>
        <v>2.1052687969786515E-2</v>
      </c>
      <c r="D31">
        <f t="shared" si="0"/>
        <v>20.903646376660333</v>
      </c>
    </row>
    <row r="32" spans="1:4" x14ac:dyDescent="0.35">
      <c r="A32" s="4">
        <v>32021</v>
      </c>
      <c r="B32" s="3">
        <f>Haver!O42</f>
        <v>21.169999999999998</v>
      </c>
      <c r="C32" s="29">
        <f>Haver!P42</f>
        <v>1.6297901766538156E-2</v>
      </c>
      <c r="D32">
        <f t="shared" si="0"/>
        <v>21.244331951869594</v>
      </c>
    </row>
    <row r="33" spans="1:4" x14ac:dyDescent="0.35">
      <c r="A33" s="4">
        <v>32112</v>
      </c>
      <c r="B33" s="3">
        <f>Haver!O43</f>
        <v>21.78</v>
      </c>
      <c r="C33" s="29">
        <f>Haver!P43</f>
        <v>2.7898325722538954E-2</v>
      </c>
      <c r="D33">
        <f t="shared" si="0"/>
        <v>21.837013244420593</v>
      </c>
    </row>
    <row r="34" spans="1:4" x14ac:dyDescent="0.35">
      <c r="A34" s="4">
        <v>32203</v>
      </c>
      <c r="B34" s="3">
        <f>Haver!O44</f>
        <v>22.616666666666664</v>
      </c>
      <c r="C34" s="29">
        <f>Haver!P44</f>
        <v>3.8127533369998218E-2</v>
      </c>
      <c r="D34">
        <f t="shared" si="0"/>
        <v>22.669604695598331</v>
      </c>
    </row>
    <row r="35" spans="1:4" x14ac:dyDescent="0.35">
      <c r="A35" s="4">
        <v>32295</v>
      </c>
      <c r="B35" s="3">
        <f>Haver!O45</f>
        <v>23.88</v>
      </c>
      <c r="C35" s="29">
        <f>Haver!P45</f>
        <v>5.4896207061989992E-2</v>
      </c>
      <c r="D35">
        <f t="shared" si="0"/>
        <v>23.914080008981358</v>
      </c>
    </row>
    <row r="36" spans="1:4" x14ac:dyDescent="0.35">
      <c r="A36" s="4">
        <v>32387</v>
      </c>
      <c r="B36" s="3">
        <f>Haver!O46</f>
        <v>25.99</v>
      </c>
      <c r="C36" s="29">
        <f>Haver!P46</f>
        <v>9.0003989584965985E-2</v>
      </c>
      <c r="D36">
        <f t="shared" si="0"/>
        <v>26.066442617043762</v>
      </c>
    </row>
    <row r="37" spans="1:4" x14ac:dyDescent="0.35">
      <c r="A37" s="4">
        <v>32478</v>
      </c>
      <c r="B37" s="3">
        <f>Haver!O47</f>
        <v>27.700000000000003</v>
      </c>
      <c r="C37" s="29">
        <f>Haver!P47</f>
        <v>6.4851312205577952E-2</v>
      </c>
      <c r="D37">
        <f t="shared" si="0"/>
        <v>27.756885625290451</v>
      </c>
    </row>
    <row r="38" spans="1:4" x14ac:dyDescent="0.35">
      <c r="A38" s="4">
        <v>32568</v>
      </c>
      <c r="B38" s="3">
        <f>Haver!O48</f>
        <v>28.933333333333337</v>
      </c>
      <c r="C38" s="29">
        <f>Haver!P48</f>
        <v>4.5780100281235248E-2</v>
      </c>
      <c r="D38">
        <f t="shared" si="0"/>
        <v>29.027598632711026</v>
      </c>
    </row>
    <row r="39" spans="1:4" x14ac:dyDescent="0.35">
      <c r="A39" s="4">
        <v>32660</v>
      </c>
      <c r="B39" s="3">
        <f>Haver!O49</f>
        <v>29.77</v>
      </c>
      <c r="C39" s="29">
        <f>Haver!P49</f>
        <v>2.6949376489698626E-2</v>
      </c>
      <c r="D39">
        <f t="shared" si="0"/>
        <v>29.809874316855819</v>
      </c>
    </row>
    <row r="40" spans="1:4" x14ac:dyDescent="0.35">
      <c r="A40" s="4">
        <v>32752</v>
      </c>
      <c r="B40" s="3">
        <f>Haver!O50</f>
        <v>29.903333333333336</v>
      </c>
      <c r="C40" s="29">
        <f>Haver!P50</f>
        <v>5.6657286757444449E-3</v>
      </c>
      <c r="D40">
        <f t="shared" si="0"/>
        <v>29.978768976593166</v>
      </c>
    </row>
    <row r="41" spans="1:4" x14ac:dyDescent="0.35">
      <c r="A41" s="4">
        <v>32843</v>
      </c>
      <c r="B41" s="3">
        <f>Haver!O51</f>
        <v>29.790000000000003</v>
      </c>
      <c r="C41" s="29">
        <f>Haver!P51</f>
        <v>-4.6807980929005509E-3</v>
      </c>
      <c r="D41">
        <f t="shared" si="0"/>
        <v>29.838444411940021</v>
      </c>
    </row>
    <row r="42" spans="1:4" x14ac:dyDescent="0.35">
      <c r="A42" s="4">
        <v>32933</v>
      </c>
      <c r="B42" s="3">
        <f>Haver!O52</f>
        <v>30.176666666666666</v>
      </c>
      <c r="C42" s="29">
        <f>Haver!P52</f>
        <v>1.5716355295846866E-2</v>
      </c>
      <c r="D42">
        <f t="shared" si="0"/>
        <v>30.307396005793446</v>
      </c>
    </row>
    <row r="43" spans="1:4" x14ac:dyDescent="0.35">
      <c r="A43" s="4">
        <v>33025</v>
      </c>
      <c r="B43" s="3">
        <f>Haver!O53</f>
        <v>30.446666666666669</v>
      </c>
      <c r="C43" s="29">
        <f>Haver!P53</f>
        <v>5.5199987436456962E-3</v>
      </c>
      <c r="D43">
        <f t="shared" si="0"/>
        <v>30.474692793668595</v>
      </c>
    </row>
    <row r="44" spans="1:4" x14ac:dyDescent="0.35">
      <c r="A44" s="4">
        <v>33117</v>
      </c>
      <c r="B44" s="3">
        <f>Haver!O54</f>
        <v>30.503333333333334</v>
      </c>
      <c r="C44" s="29">
        <f>Haver!P54</f>
        <v>2.9427449380099867E-3</v>
      </c>
      <c r="D44">
        <f t="shared" si="0"/>
        <v>30.564372041624573</v>
      </c>
    </row>
    <row r="45" spans="1:4" x14ac:dyDescent="0.35">
      <c r="A45" s="4">
        <v>33208</v>
      </c>
      <c r="B45" s="3">
        <f>Haver!O55</f>
        <v>30.876666666666665</v>
      </c>
      <c r="C45" s="29">
        <f>Haver!P55</f>
        <v>1.2039214753707572E-2</v>
      </c>
      <c r="D45">
        <f t="shared" si="0"/>
        <v>30.932343080445907</v>
      </c>
    </row>
    <row r="46" spans="1:4" x14ac:dyDescent="0.35">
      <c r="A46" s="4">
        <v>33298</v>
      </c>
      <c r="B46" s="3">
        <f>Haver!O56</f>
        <v>30.810000000000002</v>
      </c>
      <c r="C46" s="29">
        <f>Haver!P56</f>
        <v>8.7818640810161217E-4</v>
      </c>
      <c r="D46">
        <f t="shared" si="0"/>
        <v>30.959507443709889</v>
      </c>
    </row>
    <row r="47" spans="1:4" x14ac:dyDescent="0.35">
      <c r="A47" s="4">
        <v>33390</v>
      </c>
      <c r="B47" s="3">
        <f>Haver!O57</f>
        <v>31.373333333333335</v>
      </c>
      <c r="C47" s="29">
        <f>Haver!P57</f>
        <v>1.4137821386745899E-2</v>
      </c>
      <c r="D47">
        <f t="shared" si="0"/>
        <v>31.397207430170685</v>
      </c>
    </row>
    <row r="48" spans="1:4" x14ac:dyDescent="0.35">
      <c r="A48" s="4">
        <v>33482</v>
      </c>
      <c r="B48" s="3">
        <f>Haver!O58</f>
        <v>31.899999999999995</v>
      </c>
      <c r="C48" s="29">
        <f>Haver!P58</f>
        <v>1.7944032754925118E-2</v>
      </c>
      <c r="D48">
        <f t="shared" si="0"/>
        <v>31.960599948710847</v>
      </c>
    </row>
    <row r="49" spans="1:9" x14ac:dyDescent="0.35">
      <c r="A49" s="4">
        <v>33573</v>
      </c>
      <c r="B49" s="3">
        <f>Haver!O59</f>
        <v>32.283333333333331</v>
      </c>
      <c r="C49" s="29">
        <f>Haver!P59</f>
        <v>1.1817548368199388E-2</v>
      </c>
      <c r="D49">
        <f t="shared" si="0"/>
        <v>32.338295884481411</v>
      </c>
    </row>
    <row r="50" spans="1:9" x14ac:dyDescent="0.35">
      <c r="A50" s="4">
        <v>33664</v>
      </c>
      <c r="B50" s="3">
        <f>Haver!O60</f>
        <v>32.483333333333334</v>
      </c>
      <c r="C50" s="29">
        <f>Haver!P60</f>
        <v>9.7654379976883868E-3</v>
      </c>
      <c r="D50">
        <f t="shared" si="0"/>
        <v>32.654093507892213</v>
      </c>
      <c r="G50" s="3">
        <f>Haver!E60</f>
        <v>2111.33</v>
      </c>
      <c r="I50">
        <v>2111.33</v>
      </c>
    </row>
    <row r="51" spans="1:9" x14ac:dyDescent="0.35">
      <c r="A51" s="4">
        <v>33756</v>
      </c>
      <c r="B51" s="3">
        <f>Haver!O61</f>
        <v>33.126666666666665</v>
      </c>
      <c r="C51" s="29">
        <f>Haver!P61</f>
        <v>1.5189491009154493E-2</v>
      </c>
      <c r="D51">
        <f t="shared" si="0"/>
        <v>33.150092567642432</v>
      </c>
      <c r="H51" s="29">
        <f>Haver!F61</f>
        <v>4.7557389732334296E-2</v>
      </c>
      <c r="I51">
        <f>G50*(1+H51)</f>
        <v>2211.7393436635693</v>
      </c>
    </row>
    <row r="52" spans="1:9" x14ac:dyDescent="0.35">
      <c r="A52" s="4">
        <v>33848</v>
      </c>
      <c r="B52" s="3">
        <f>Haver!O62</f>
        <v>33.843333333333334</v>
      </c>
      <c r="C52" s="29">
        <f>Haver!P62</f>
        <v>2.2675968736893138E-2</v>
      </c>
      <c r="D52">
        <f t="shared" si="0"/>
        <v>33.901803030331408</v>
      </c>
      <c r="H52" s="29">
        <f>Haver!F62</f>
        <v>3.6748155434656898E-2</v>
      </c>
      <c r="I52">
        <f t="shared" ref="I52:I83" si="1">I51*(1+H52)</f>
        <v>2293.0166848454642</v>
      </c>
    </row>
    <row r="53" spans="1:9" x14ac:dyDescent="0.35">
      <c r="A53" s="4">
        <v>33939</v>
      </c>
      <c r="B53" s="3">
        <f>Haver!O63</f>
        <v>34.97</v>
      </c>
      <c r="C53" s="29">
        <f>Haver!P63</f>
        <v>3.3419173639008697E-2</v>
      </c>
      <c r="D53">
        <f t="shared" si="0"/>
        <v>35.034773272477523</v>
      </c>
      <c r="H53" s="29">
        <f>Haver!F63</f>
        <v>2.6937562416857928E-2</v>
      </c>
      <c r="I53">
        <f t="shared" si="1"/>
        <v>2354.7849649163854</v>
      </c>
    </row>
    <row r="54" spans="1:9" x14ac:dyDescent="0.35">
      <c r="A54" s="4">
        <v>34029</v>
      </c>
      <c r="B54" s="3">
        <f>Haver!O64</f>
        <v>36.07</v>
      </c>
      <c r="C54" s="29">
        <f>Haver!P64</f>
        <v>3.483418841473182E-2</v>
      </c>
      <c r="D54">
        <f t="shared" si="0"/>
        <v>36.255181165718419</v>
      </c>
      <c r="H54" s="29">
        <f>Haver!F64</f>
        <v>3.2272537028754961E-2</v>
      </c>
      <c r="I54">
        <f t="shared" si="1"/>
        <v>2430.7798498914049</v>
      </c>
    </row>
    <row r="55" spans="1:9" x14ac:dyDescent="0.35">
      <c r="A55" s="4">
        <v>34121</v>
      </c>
      <c r="B55" s="3">
        <f>Haver!O65</f>
        <v>37.786666666666669</v>
      </c>
      <c r="C55" s="29">
        <f>Haver!P65</f>
        <v>4.3207518725090564E-2</v>
      </c>
      <c r="D55">
        <f t="shared" si="0"/>
        <v>37.821677584817749</v>
      </c>
      <c r="H55" s="29">
        <f>Haver!F65</f>
        <v>3.3564172576304223E-2</v>
      </c>
      <c r="I55">
        <f t="shared" si="1"/>
        <v>2512.366964268163</v>
      </c>
    </row>
    <row r="56" spans="1:9" x14ac:dyDescent="0.35">
      <c r="A56" s="4">
        <v>34213</v>
      </c>
      <c r="B56" s="3">
        <f>Haver!O66</f>
        <v>39.270000000000003</v>
      </c>
      <c r="C56" s="29">
        <f>Haver!P66</f>
        <v>4.0087393735579277E-2</v>
      </c>
      <c r="D56">
        <f t="shared" si="0"/>
        <v>39.337850065900469</v>
      </c>
      <c r="H56" s="29">
        <f>Haver!F66</f>
        <v>3.2376747117921101E-2</v>
      </c>
      <c r="I56">
        <f t="shared" si="1"/>
        <v>2593.7092341376924</v>
      </c>
    </row>
    <row r="57" spans="1:9" x14ac:dyDescent="0.35">
      <c r="A57" s="4">
        <v>34304</v>
      </c>
      <c r="B57" s="3">
        <f>Haver!O67</f>
        <v>40.976666666666667</v>
      </c>
      <c r="C57" s="29">
        <f>Haver!P67</f>
        <v>4.3648965010103929E-2</v>
      </c>
      <c r="D57">
        <f t="shared" si="0"/>
        <v>41.054906506999671</v>
      </c>
      <c r="H57" s="29">
        <f>Haver!F67</f>
        <v>3.645877366329113E-2</v>
      </c>
      <c r="I57">
        <f t="shared" si="1"/>
        <v>2688.2726920535065</v>
      </c>
    </row>
    <row r="58" spans="1:9" x14ac:dyDescent="0.35">
      <c r="A58" s="4">
        <v>34394</v>
      </c>
      <c r="B58" s="3">
        <f>Haver!O68</f>
        <v>44.02</v>
      </c>
      <c r="C58" s="29">
        <f>Haver!P68</f>
        <v>7.7386223528169512E-2</v>
      </c>
      <c r="D58">
        <f t="shared" si="0"/>
        <v>44.231990678878446</v>
      </c>
      <c r="H58" s="29">
        <f>Haver!F68</f>
        <v>2.972860251474457E-2</v>
      </c>
      <c r="I58">
        <f t="shared" si="1"/>
        <v>2768.1912823668072</v>
      </c>
    </row>
    <row r="59" spans="1:9" x14ac:dyDescent="0.35">
      <c r="A59" s="4">
        <v>34486</v>
      </c>
      <c r="B59" s="3">
        <f>Haver!O69</f>
        <v>46.126666666666665</v>
      </c>
      <c r="C59" s="29">
        <f>Haver!P69</f>
        <v>4.3952116018773225E-2</v>
      </c>
      <c r="D59">
        <f t="shared" si="0"/>
        <v>46.176080264937809</v>
      </c>
      <c r="H59" s="29">
        <f>Haver!F69</f>
        <v>3.10640301568068E-2</v>
      </c>
      <c r="I59">
        <f t="shared" si="1"/>
        <v>2854.1824598420594</v>
      </c>
    </row>
    <row r="60" spans="1:9" x14ac:dyDescent="0.35">
      <c r="A60" s="4">
        <v>34578</v>
      </c>
      <c r="B60" s="3">
        <f>Haver!O70</f>
        <v>49.330000000000005</v>
      </c>
      <c r="C60" s="29">
        <f>Haver!P70</f>
        <v>6.9887828052222684E-2</v>
      </c>
      <c r="D60">
        <f t="shared" si="0"/>
        <v>49.403226222619409</v>
      </c>
      <c r="H60" s="29">
        <f>Haver!F70</f>
        <v>2.9805742786099983E-2</v>
      </c>
      <c r="I60">
        <f t="shared" si="1"/>
        <v>2939.25348810471</v>
      </c>
    </row>
    <row r="61" spans="1:9" x14ac:dyDescent="0.35">
      <c r="A61" s="4">
        <v>34669</v>
      </c>
      <c r="B61" s="3">
        <f>Haver!O71</f>
        <v>51.993333333333332</v>
      </c>
      <c r="C61" s="29">
        <f>Haver!P71</f>
        <v>5.4751866489335832E-2</v>
      </c>
      <c r="D61">
        <f t="shared" si="0"/>
        <v>52.108145068902722</v>
      </c>
      <c r="H61" s="29">
        <f>Haver!F71</f>
        <v>2.4067756528421969E-2</v>
      </c>
      <c r="I61">
        <f t="shared" si="1"/>
        <v>3009.994725431729</v>
      </c>
    </row>
    <row r="62" spans="1:9" x14ac:dyDescent="0.35">
      <c r="A62" s="4">
        <v>34759</v>
      </c>
      <c r="B62" s="3">
        <f>Haver!O72</f>
        <v>53.919999999999995</v>
      </c>
      <c r="C62" s="29">
        <f>Haver!P72</f>
        <v>3.9180537354972171E-2</v>
      </c>
      <c r="D62">
        <f t="shared" si="0"/>
        <v>54.14977019327317</v>
      </c>
      <c r="H62" s="29">
        <f>Haver!F72</f>
        <v>2.6419600270477371E-2</v>
      </c>
      <c r="I62">
        <f t="shared" si="1"/>
        <v>3089.5175828938804</v>
      </c>
    </row>
    <row r="63" spans="1:9" x14ac:dyDescent="0.35">
      <c r="A63" s="4">
        <v>34851</v>
      </c>
      <c r="B63" s="3">
        <f>Haver!O73</f>
        <v>55.300000000000004</v>
      </c>
      <c r="C63" s="29">
        <f>Haver!P73</f>
        <v>2.2489949809202586E-2</v>
      </c>
      <c r="D63">
        <f t="shared" si="0"/>
        <v>55.36759580709974</v>
      </c>
      <c r="H63" s="29">
        <f>Haver!F73</f>
        <v>2.7726202823293241E-2</v>
      </c>
      <c r="I63">
        <f t="shared" si="1"/>
        <v>3175.1781740233268</v>
      </c>
    </row>
    <row r="64" spans="1:9" x14ac:dyDescent="0.35">
      <c r="A64" s="4">
        <v>34943</v>
      </c>
      <c r="B64" s="3">
        <f>Haver!O74</f>
        <v>56.613333333333337</v>
      </c>
      <c r="C64" s="29">
        <f>Haver!P74</f>
        <v>2.4183846738829361E-2</v>
      </c>
      <c r="D64">
        <f t="shared" si="0"/>
        <v>56.706597258396087</v>
      </c>
      <c r="H64" s="29">
        <f>Haver!F74</f>
        <v>2.5905126479437914E-2</v>
      </c>
      <c r="I64">
        <f t="shared" si="1"/>
        <v>3257.4315662161516</v>
      </c>
    </row>
    <row r="65" spans="1:9" x14ac:dyDescent="0.35">
      <c r="A65" s="4">
        <v>35034</v>
      </c>
      <c r="B65" s="3">
        <f>Haver!O75</f>
        <v>57.736666666666672</v>
      </c>
      <c r="C65" s="29">
        <f>Haver!P75</f>
        <v>2.0396325530174734E-2</v>
      </c>
      <c r="D65">
        <f t="shared" si="0"/>
        <v>57.863203475786847</v>
      </c>
      <c r="H65" s="29">
        <f>Haver!F75</f>
        <v>2.1713955985559662E-2</v>
      </c>
      <c r="I65">
        <f t="shared" si="1"/>
        <v>3328.163291870942</v>
      </c>
    </row>
    <row r="66" spans="1:9" x14ac:dyDescent="0.35">
      <c r="A66" s="4">
        <v>35125</v>
      </c>
      <c r="B66" s="3">
        <f>Haver!O76</f>
        <v>58.933333333333337</v>
      </c>
      <c r="C66" s="29">
        <f>Haver!P76</f>
        <v>2.2221823891090998E-2</v>
      </c>
      <c r="D66">
        <f t="shared" si="0"/>
        <v>59.149029393200145</v>
      </c>
      <c r="H66" s="29">
        <f>Haver!F76</f>
        <v>2.6948425639155022E-2</v>
      </c>
      <c r="I66">
        <f t="shared" si="1"/>
        <v>3417.8520528568915</v>
      </c>
    </row>
    <row r="67" spans="1:9" x14ac:dyDescent="0.35">
      <c r="A67" s="4">
        <v>35217</v>
      </c>
      <c r="B67" s="3">
        <f>Haver!O77</f>
        <v>60.390000000000008</v>
      </c>
      <c r="C67" s="29">
        <f>Haver!P77</f>
        <v>2.2765054281140416E-2</v>
      </c>
      <c r="D67">
        <f t="shared" si="0"/>
        <v>60.495560258013114</v>
      </c>
      <c r="H67" s="29">
        <f>Haver!F77</f>
        <v>1.8535317402394575E-2</v>
      </c>
      <c r="I67">
        <f t="shared" si="1"/>
        <v>3481.2030254910196</v>
      </c>
    </row>
    <row r="68" spans="1:9" x14ac:dyDescent="0.35">
      <c r="A68" s="4">
        <v>35309</v>
      </c>
      <c r="B68" s="3">
        <f>Haver!O78</f>
        <v>61.126666666666665</v>
      </c>
      <c r="C68" s="29">
        <f>Haver!P78</f>
        <v>1.2158410414777322E-2</v>
      </c>
      <c r="D68">
        <f t="shared" si="0"/>
        <v>61.231090107901935</v>
      </c>
      <c r="H68" s="29">
        <f>Haver!F78</f>
        <v>2.5968132097456454E-2</v>
      </c>
      <c r="I68">
        <f t="shared" si="1"/>
        <v>3571.6033655150359</v>
      </c>
    </row>
    <row r="69" spans="1:9" x14ac:dyDescent="0.35">
      <c r="A69" s="4">
        <v>35400</v>
      </c>
      <c r="B69" s="3">
        <f>Haver!O79</f>
        <v>61.683333333333337</v>
      </c>
      <c r="C69" s="29">
        <f>Haver!P79</f>
        <v>9.6005441985511867E-3</v>
      </c>
      <c r="D69">
        <f t="shared" si="0"/>
        <v>61.818941894808319</v>
      </c>
      <c r="H69" s="29">
        <f>Haver!F79</f>
        <v>2.5289599533243504E-2</v>
      </c>
      <c r="I69">
        <f t="shared" si="1"/>
        <v>3661.9277843204964</v>
      </c>
    </row>
    <row r="70" spans="1:9" x14ac:dyDescent="0.35">
      <c r="A70" s="4">
        <v>35490</v>
      </c>
      <c r="B70" s="3">
        <f>Haver!O80</f>
        <v>61.94</v>
      </c>
      <c r="C70" s="29">
        <f>Haver!P80</f>
        <v>5.0859725811595591E-3</v>
      </c>
      <c r="D70">
        <f t="shared" si="0"/>
        <v>62.133351338281614</v>
      </c>
      <c r="H70" s="29">
        <f>Haver!F80</f>
        <v>2.5868699025927266E-2</v>
      </c>
      <c r="I70">
        <f t="shared" si="1"/>
        <v>3756.6570920277645</v>
      </c>
    </row>
    <row r="71" spans="1:9" x14ac:dyDescent="0.35">
      <c r="A71" s="4">
        <v>35582</v>
      </c>
      <c r="B71" s="3">
        <f>Haver!O81</f>
        <v>62.27</v>
      </c>
      <c r="C71" s="29">
        <f>Haver!P81</f>
        <v>4.426248141976531E-3</v>
      </c>
      <c r="D71">
        <f t="shared" si="0"/>
        <v>62.408368969197461</v>
      </c>
      <c r="H71" s="29">
        <f>Haver!F81</f>
        <v>2.1894817417522212E-2</v>
      </c>
      <c r="I71">
        <f t="shared" si="1"/>
        <v>3838.9084131579525</v>
      </c>
    </row>
    <row r="72" spans="1:9" x14ac:dyDescent="0.35">
      <c r="A72" s="4">
        <v>35674</v>
      </c>
      <c r="B72" s="3">
        <f>Haver!O82</f>
        <v>62.443333333333328</v>
      </c>
      <c r="C72" s="29">
        <f>Haver!P82</f>
        <v>2.5341353316861224E-3</v>
      </c>
      <c r="D72">
        <f t="shared" si="0"/>
        <v>62.566520221995205</v>
      </c>
      <c r="H72" s="29">
        <f>Haver!F82</f>
        <v>1.3976949707761048E-2</v>
      </c>
      <c r="I72">
        <f t="shared" si="1"/>
        <v>3892.5646429813623</v>
      </c>
    </row>
    <row r="73" spans="1:9" x14ac:dyDescent="0.35">
      <c r="A73" s="4">
        <v>35765</v>
      </c>
      <c r="B73" s="3">
        <f>Haver!O83</f>
        <v>62.236666666666657</v>
      </c>
      <c r="C73" s="29">
        <f>Haver!P83</f>
        <v>-3.3965008874267334E-3</v>
      </c>
      <c r="D73">
        <f t="shared" si="0"/>
        <v>62.354012980537995</v>
      </c>
      <c r="H73" s="29">
        <f>Haver!F83</f>
        <v>2.019842583154665E-2</v>
      </c>
      <c r="I73">
        <f t="shared" si="1"/>
        <v>3971.1883212171224</v>
      </c>
    </row>
    <row r="74" spans="1:9" x14ac:dyDescent="0.35">
      <c r="A74" s="4">
        <v>35855</v>
      </c>
      <c r="B74" s="3">
        <f>Haver!O84</f>
        <v>62.036666666666662</v>
      </c>
      <c r="C74" s="29">
        <f>Haver!P84</f>
        <v>-2.3415342068073557E-3</v>
      </c>
      <c r="D74">
        <f t="shared" si="0"/>
        <v>62.208008926212351</v>
      </c>
      <c r="H74" s="29">
        <f>Haver!F84</f>
        <v>1.2464906957611615E-2</v>
      </c>
      <c r="I74">
        <f t="shared" si="1"/>
        <v>4020.6888141522481</v>
      </c>
    </row>
    <row r="75" spans="1:9" x14ac:dyDescent="0.35">
      <c r="A75" s="4">
        <v>35947</v>
      </c>
      <c r="B75" s="3">
        <f>Haver!O85</f>
        <v>61.846666666666671</v>
      </c>
      <c r="C75" s="29">
        <f>Haver!P85</f>
        <v>-3.1914690398890601E-3</v>
      </c>
      <c r="D75">
        <f t="shared" si="0"/>
        <v>62.009473991691202</v>
      </c>
      <c r="H75" s="29">
        <f>Haver!F85</f>
        <v>2.2547286671705958E-2</v>
      </c>
      <c r="I75">
        <f t="shared" si="1"/>
        <v>4111.3444374626606</v>
      </c>
    </row>
    <row r="76" spans="1:9" x14ac:dyDescent="0.35">
      <c r="A76" s="4">
        <v>36039</v>
      </c>
      <c r="B76" s="3">
        <f>Haver!O86</f>
        <v>61.566666666666663</v>
      </c>
      <c r="C76" s="29">
        <f>Haver!P86</f>
        <v>-5.0379152743535759E-3</v>
      </c>
      <c r="D76">
        <f t="shared" si="0"/>
        <v>61.697075515513831</v>
      </c>
      <c r="H76" s="29">
        <f>Haver!F86</f>
        <v>2.3415795369551507E-2</v>
      </c>
      <c r="I76">
        <f t="shared" si="1"/>
        <v>4207.6148375040302</v>
      </c>
    </row>
    <row r="77" spans="1:9" x14ac:dyDescent="0.35">
      <c r="A77" s="4">
        <v>36130</v>
      </c>
      <c r="B77" s="3">
        <f>Haver!O87</f>
        <v>61.483333333333341</v>
      </c>
      <c r="C77" s="29">
        <f>Haver!P87</f>
        <v>-1.7192265379248411E-3</v>
      </c>
      <c r="D77">
        <f t="shared" si="0"/>
        <v>61.591004265975201</v>
      </c>
      <c r="H77" s="29">
        <f>Haver!F87</f>
        <v>3.139448267549113E-2</v>
      </c>
      <c r="I77">
        <f t="shared" si="1"/>
        <v>4339.7107286251894</v>
      </c>
    </row>
    <row r="78" spans="1:9" x14ac:dyDescent="0.35">
      <c r="A78" s="4">
        <v>36220</v>
      </c>
      <c r="B78" s="3">
        <f>Haver!O88</f>
        <v>61.086666666666666</v>
      </c>
      <c r="C78" s="29">
        <f>Haver!P88</f>
        <v>-5.7243219778773105E-3</v>
      </c>
      <c r="D78">
        <f t="shared" si="0"/>
        <v>61.238437526615947</v>
      </c>
      <c r="H78" s="29">
        <f>Haver!F88</f>
        <v>6.7619140726936479E-3</v>
      </c>
      <c r="I78">
        <f t="shared" si="1"/>
        <v>4369.0554796724991</v>
      </c>
    </row>
    <row r="79" spans="1:9" x14ac:dyDescent="0.35">
      <c r="A79" s="4">
        <v>36312</v>
      </c>
      <c r="B79" s="3">
        <f>Haver!O89</f>
        <v>60.616666666666667</v>
      </c>
      <c r="C79" s="29">
        <f>Haver!P89</f>
        <v>-7.3759222125434239E-3</v>
      </c>
      <c r="D79">
        <f t="shared" si="0"/>
        <v>60.786747575001925</v>
      </c>
      <c r="H79" s="29">
        <f>Haver!F89</f>
        <v>1.5409055344833526E-2</v>
      </c>
      <c r="I79">
        <f t="shared" si="1"/>
        <v>4436.378497363421</v>
      </c>
    </row>
    <row r="80" spans="1:9" x14ac:dyDescent="0.35">
      <c r="A80" s="4">
        <v>36404</v>
      </c>
      <c r="B80" s="3">
        <f>Haver!O90</f>
        <v>60.870000000000005</v>
      </c>
      <c r="C80" s="29">
        <f>Haver!P90</f>
        <v>3.7165632535146719E-3</v>
      </c>
      <c r="D80">
        <f t="shared" si="0"/>
        <v>61.012665367339856</v>
      </c>
      <c r="H80" s="29">
        <f>Haver!F90</f>
        <v>2.2403921299037309E-2</v>
      </c>
      <c r="I80">
        <f t="shared" si="1"/>
        <v>4535.7707720710923</v>
      </c>
    </row>
    <row r="81" spans="1:9" x14ac:dyDescent="0.35">
      <c r="A81" s="4">
        <v>36495</v>
      </c>
      <c r="B81" s="3">
        <f>Haver!O91</f>
        <v>60.916666666666664</v>
      </c>
      <c r="C81" s="29">
        <f>Haver!P91</f>
        <v>1.3182526633772381E-4</v>
      </c>
      <c r="D81">
        <f t="shared" si="0"/>
        <v>61.020708378201888</v>
      </c>
      <c r="H81" s="29">
        <f>Haver!F91</f>
        <v>2.5405659277034691E-2</v>
      </c>
      <c r="I81">
        <f t="shared" si="1"/>
        <v>4651.005018865063</v>
      </c>
    </row>
    <row r="82" spans="1:9" x14ac:dyDescent="0.35">
      <c r="A82" s="4">
        <v>36586</v>
      </c>
      <c r="B82" s="3">
        <f>Haver!O92</f>
        <v>61.106666666666662</v>
      </c>
      <c r="C82" s="29">
        <f>Haver!P92</f>
        <v>3.6058551232395798E-3</v>
      </c>
      <c r="D82">
        <f t="shared" si="0"/>
        <v>61.240740212131136</v>
      </c>
      <c r="H82" s="29">
        <f>Haver!F92</f>
        <v>1.7260748407382766E-2</v>
      </c>
      <c r="I82">
        <f t="shared" si="1"/>
        <v>4731.2848463371674</v>
      </c>
    </row>
    <row r="83" spans="1:9" x14ac:dyDescent="0.35">
      <c r="A83" s="4">
        <v>36678</v>
      </c>
      <c r="B83" s="3">
        <f>Haver!O93</f>
        <v>60.733333333333327</v>
      </c>
      <c r="C83" s="29">
        <f>Haver!P93</f>
        <v>-5.4115680788219822E-3</v>
      </c>
      <c r="D83">
        <f t="shared" si="0"/>
        <v>60.909331777275732</v>
      </c>
      <c r="H83" s="29">
        <f>Haver!F93</f>
        <v>2.3339857067568786E-2</v>
      </c>
      <c r="I83">
        <f t="shared" si="1"/>
        <v>4841.7123583966304</v>
      </c>
    </row>
    <row r="84" spans="1:9" x14ac:dyDescent="0.35">
      <c r="A84" s="4">
        <v>36770</v>
      </c>
      <c r="B84" s="3">
        <f>Haver!O94</f>
        <v>61.04666666666666</v>
      </c>
      <c r="C84" s="29">
        <f>Haver!P94</f>
        <v>4.6800287393906174E-3</v>
      </c>
      <c r="D84">
        <f t="shared" si="0"/>
        <v>61.194389200490463</v>
      </c>
      <c r="H84" s="29">
        <f>Haver!F94</f>
        <v>2.0332581605198921E-2</v>
      </c>
      <c r="I84">
        <f t="shared" ref="I84:I115" si="2">I83*(1+H84)</f>
        <v>4940.1568700326297</v>
      </c>
    </row>
    <row r="85" spans="1:9" x14ac:dyDescent="0.35">
      <c r="A85" s="4">
        <v>36861</v>
      </c>
      <c r="B85" s="3">
        <f>Haver!O95</f>
        <v>61.456666666666671</v>
      </c>
      <c r="C85" s="29">
        <f>Haver!P95</f>
        <v>6.2378424054005668E-3</v>
      </c>
      <c r="D85">
        <f t="shared" ref="D85:D148" si="3">D84*(1+C85)</f>
        <v>61.576110156417869</v>
      </c>
      <c r="H85" s="29">
        <f>Haver!F95</f>
        <v>1.8599328236172261E-2</v>
      </c>
      <c r="I85">
        <f t="shared" si="2"/>
        <v>5032.0404691965477</v>
      </c>
    </row>
    <row r="86" spans="1:9" x14ac:dyDescent="0.35">
      <c r="A86" s="4">
        <v>36951</v>
      </c>
      <c r="B86" s="3">
        <f>Haver!O96</f>
        <v>61.50333333333333</v>
      </c>
      <c r="C86" s="29">
        <f>Haver!P96</f>
        <v>8.5913337829741226E-4</v>
      </c>
      <c r="D86">
        <f t="shared" si="3"/>
        <v>61.629012247958968</v>
      </c>
      <c r="H86" s="29">
        <f>Haver!F96</f>
        <v>2.3311458769270561E-2</v>
      </c>
      <c r="I86">
        <f t="shared" si="2"/>
        <v>5149.3446731195245</v>
      </c>
    </row>
    <row r="87" spans="1:9" x14ac:dyDescent="0.35">
      <c r="A87" s="4">
        <v>37043</v>
      </c>
      <c r="B87" s="3">
        <f>Haver!O97</f>
        <v>61.686666666666667</v>
      </c>
      <c r="C87" s="29">
        <f>Haver!P97</f>
        <v>3.6076943204401881E-3</v>
      </c>
      <c r="D87">
        <f t="shared" si="3"/>
        <v>61.851350885420267</v>
      </c>
      <c r="H87" s="29">
        <f>Haver!F97</f>
        <v>2.0161572883296758E-2</v>
      </c>
      <c r="I87">
        <f t="shared" si="2"/>
        <v>5253.1635610478397</v>
      </c>
    </row>
    <row r="88" spans="1:9" x14ac:dyDescent="0.35">
      <c r="A88" s="4">
        <v>37135</v>
      </c>
      <c r="B88" s="3">
        <f>Haver!O98</f>
        <v>61.550000000000004</v>
      </c>
      <c r="C88" s="29">
        <f>Haver!P98</f>
        <v>-2.4431320063101267E-3</v>
      </c>
      <c r="D88">
        <f t="shared" si="3"/>
        <v>61.70023987043858</v>
      </c>
      <c r="H88" s="29">
        <f>Haver!F98</f>
        <v>1.5491410208165952E-2</v>
      </c>
      <c r="I88">
        <f t="shared" si="2"/>
        <v>5334.5424726626225</v>
      </c>
    </row>
    <row r="89" spans="1:9" x14ac:dyDescent="0.35">
      <c r="A89" s="4">
        <v>37226</v>
      </c>
      <c r="B89" s="3">
        <f>Haver!O99</f>
        <v>61.373333333333335</v>
      </c>
      <c r="C89" s="29">
        <f>Haver!P99</f>
        <v>-3.0070971501074207E-3</v>
      </c>
      <c r="D89">
        <f t="shared" si="3"/>
        <v>61.514701254963242</v>
      </c>
      <c r="H89" s="29">
        <f>Haver!F99</f>
        <v>2.0822860162950488E-2</v>
      </c>
      <c r="I89">
        <f t="shared" si="2"/>
        <v>5445.6229046041963</v>
      </c>
    </row>
    <row r="90" spans="1:9" x14ac:dyDescent="0.35">
      <c r="A90" s="4">
        <v>37316</v>
      </c>
      <c r="B90" s="3">
        <f>Haver!O100</f>
        <v>61.136666666666663</v>
      </c>
      <c r="C90" s="29">
        <f>Haver!P100</f>
        <v>-4.1278579597753256E-3</v>
      </c>
      <c r="D90">
        <f t="shared" si="3"/>
        <v>61.260777305744739</v>
      </c>
      <c r="H90" s="29">
        <f>Haver!F100</f>
        <v>2.355947769992052E-2</v>
      </c>
      <c r="I90">
        <f t="shared" si="2"/>
        <v>5573.9189359873953</v>
      </c>
    </row>
    <row r="91" spans="1:9" x14ac:dyDescent="0.35">
      <c r="A91" s="4">
        <v>37408</v>
      </c>
      <c r="B91" s="3">
        <f>Haver!O101</f>
        <v>61.02</v>
      </c>
      <c r="C91" s="29">
        <f>Haver!P101</f>
        <v>-1.6453086856292589E-3</v>
      </c>
      <c r="D91">
        <f t="shared" si="3"/>
        <v>61.159984416755194</v>
      </c>
      <c r="H91" s="29">
        <f>Haver!F101</f>
        <v>2.5329885087635864E-2</v>
      </c>
      <c r="I91">
        <f t="shared" si="2"/>
        <v>5715.1056621237531</v>
      </c>
    </row>
    <row r="92" spans="1:9" x14ac:dyDescent="0.35">
      <c r="A92" s="4">
        <v>37500</v>
      </c>
      <c r="B92" s="3">
        <f>Haver!O102</f>
        <v>61.050000000000004</v>
      </c>
      <c r="C92" s="29">
        <f>Haver!P102</f>
        <v>5.6593658492497668E-4</v>
      </c>
      <c r="D92">
        <f t="shared" si="3"/>
        <v>61.194597089470072</v>
      </c>
      <c r="H92" s="29">
        <f>Haver!F102</f>
        <v>2.3995202690100199E-2</v>
      </c>
      <c r="I92">
        <f t="shared" si="2"/>
        <v>5852.2407808817525</v>
      </c>
    </row>
    <row r="93" spans="1:9" x14ac:dyDescent="0.35">
      <c r="A93" s="4">
        <v>37591</v>
      </c>
      <c r="B93" s="3">
        <f>Haver!O103</f>
        <v>61.026666666666664</v>
      </c>
      <c r="C93" s="29">
        <f>Haver!P103</f>
        <v>-3.21521117024226E-5</v>
      </c>
      <c r="D93">
        <f t="shared" si="3"/>
        <v>61.192629553948869</v>
      </c>
      <c r="H93" s="29">
        <f>Haver!F103</f>
        <v>2.2905224775758293E-2</v>
      </c>
      <c r="I93">
        <f t="shared" si="2"/>
        <v>5986.2876714097074</v>
      </c>
    </row>
    <row r="94" spans="1:9" x14ac:dyDescent="0.35">
      <c r="A94" s="4">
        <v>37681</v>
      </c>
      <c r="B94" s="3">
        <f>Haver!O104</f>
        <v>61.443333333333328</v>
      </c>
      <c r="C94" s="29">
        <f>Haver!P104</f>
        <v>6.2338314803560583E-3</v>
      </c>
      <c r="D94">
        <f t="shared" si="3"/>
        <v>61.574094094428041</v>
      </c>
      <c r="H94" s="29">
        <f>Haver!F104</f>
        <v>2.8504374579502612E-2</v>
      </c>
      <c r="I94">
        <f t="shared" si="2"/>
        <v>6156.923057536228</v>
      </c>
    </row>
    <row r="95" spans="1:9" x14ac:dyDescent="0.35">
      <c r="A95" s="4">
        <v>37773</v>
      </c>
      <c r="B95" s="3">
        <f>Haver!O105</f>
        <v>61.410000000000004</v>
      </c>
      <c r="C95" s="29">
        <f>Haver!P105</f>
        <v>-8.0370201330396849E-4</v>
      </c>
      <c r="D95">
        <f t="shared" si="3"/>
        <v>61.524606871036987</v>
      </c>
      <c r="H95" s="29">
        <f>Haver!F105</f>
        <v>1.1873354151614566E-2</v>
      </c>
      <c r="I95">
        <f t="shared" si="2"/>
        <v>6230.0263854825971</v>
      </c>
    </row>
    <row r="96" spans="1:9" x14ac:dyDescent="0.35">
      <c r="A96" s="4">
        <v>37865</v>
      </c>
      <c r="B96" s="3">
        <f>Haver!O106</f>
        <v>61.523333333333333</v>
      </c>
      <c r="C96" s="29">
        <f>Haver!P106</f>
        <v>2.3574759807401548E-3</v>
      </c>
      <c r="D96">
        <f t="shared" si="3"/>
        <v>61.669649653959937</v>
      </c>
      <c r="H96" s="29">
        <f>Haver!F106</f>
        <v>3.5519065313359584E-2</v>
      </c>
      <c r="I96">
        <f t="shared" si="2"/>
        <v>6451.3110995725074</v>
      </c>
    </row>
    <row r="97" spans="1:9" x14ac:dyDescent="0.35">
      <c r="A97" s="4">
        <v>37956</v>
      </c>
      <c r="B97" s="3">
        <f>Haver!O107</f>
        <v>62.686666666666667</v>
      </c>
      <c r="C97" s="29">
        <f>Haver!P107</f>
        <v>1.9498871162756948E-2</v>
      </c>
      <c r="D97">
        <f t="shared" si="3"/>
        <v>62.872138207214867</v>
      </c>
      <c r="H97" s="29">
        <f>Haver!F107</f>
        <v>2.7788636288314471E-2</v>
      </c>
      <c r="I97">
        <f t="shared" si="2"/>
        <v>6630.5842373012938</v>
      </c>
    </row>
    <row r="98" spans="1:9" x14ac:dyDescent="0.35">
      <c r="A98" s="4">
        <v>38047</v>
      </c>
      <c r="B98" s="3">
        <f>Haver!O108</f>
        <v>63.16</v>
      </c>
      <c r="C98" s="29">
        <f>Haver!P108</f>
        <v>6.7539037007474309E-3</v>
      </c>
      <c r="D98">
        <f t="shared" si="3"/>
        <v>63.296770574126477</v>
      </c>
      <c r="H98" s="29">
        <f>Haver!F108</f>
        <v>2.1024053033694427E-2</v>
      </c>
      <c r="I98">
        <f t="shared" si="2"/>
        <v>6769.9859919506953</v>
      </c>
    </row>
    <row r="99" spans="1:9" x14ac:dyDescent="0.35">
      <c r="A99" s="4">
        <v>38139</v>
      </c>
      <c r="B99" s="3">
        <f>Haver!O109</f>
        <v>64.11333333333333</v>
      </c>
      <c r="C99" s="29">
        <f>Haver!P109</f>
        <v>1.4568724626535374E-2</v>
      </c>
      <c r="D99">
        <f t="shared" si="3"/>
        <v>64.218923794369914</v>
      </c>
      <c r="H99" s="29">
        <f>Haver!F109</f>
        <v>2.3904643373766906E-2</v>
      </c>
      <c r="I99">
        <f t="shared" si="2"/>
        <v>6931.8200927336738</v>
      </c>
    </row>
    <row r="100" spans="1:9" x14ac:dyDescent="0.35">
      <c r="A100" s="4">
        <v>38231</v>
      </c>
      <c r="B100" s="3">
        <f>Haver!O110</f>
        <v>64.7</v>
      </c>
      <c r="C100" s="29">
        <f>Haver!P110</f>
        <v>9.9467184608779055E-3</v>
      </c>
      <c r="D100">
        <f t="shared" si="3"/>
        <v>64.857691349213084</v>
      </c>
      <c r="H100" s="29">
        <f>Haver!F110</f>
        <v>2.4490306697806049E-2</v>
      </c>
      <c r="I100">
        <f t="shared" si="2"/>
        <v>7101.5824927787353</v>
      </c>
    </row>
    <row r="101" spans="1:9" x14ac:dyDescent="0.35">
      <c r="A101" s="4">
        <v>38322</v>
      </c>
      <c r="B101" s="3">
        <f>Haver!O111</f>
        <v>64.723333333333343</v>
      </c>
      <c r="C101" s="29">
        <f>Haver!P111</f>
        <v>9.3586177746362979E-4</v>
      </c>
      <c r="D101">
        <f t="shared" si="3"/>
        <v>64.918389183521342</v>
      </c>
      <c r="H101" s="29">
        <f>Haver!F111</f>
        <v>2.0505656416126831E-2</v>
      </c>
      <c r="I101">
        <f t="shared" si="2"/>
        <v>7247.2051033864373</v>
      </c>
    </row>
    <row r="102" spans="1:9" x14ac:dyDescent="0.35">
      <c r="A102" s="4">
        <v>38412</v>
      </c>
      <c r="B102" s="3">
        <f>Haver!O112</f>
        <v>64.973333333333329</v>
      </c>
      <c r="C102" s="29">
        <f>Haver!P112</f>
        <v>3.0375625347359579E-3</v>
      </c>
      <c r="D102">
        <f t="shared" si="3"/>
        <v>65.115582850320607</v>
      </c>
      <c r="H102" s="29">
        <f>Haver!F112</f>
        <v>3.4897765428941095E-2</v>
      </c>
      <c r="I102">
        <f t="shared" si="2"/>
        <v>7500.1163670998421</v>
      </c>
    </row>
    <row r="103" spans="1:9" x14ac:dyDescent="0.35">
      <c r="A103" s="4">
        <v>38504</v>
      </c>
      <c r="B103" s="3">
        <f>Haver!O113</f>
        <v>65.240000000000009</v>
      </c>
      <c r="C103" s="29">
        <f>Haver!P113</f>
        <v>3.5268404873662939E-3</v>
      </c>
      <c r="D103">
        <f t="shared" si="3"/>
        <v>65.345235124275575</v>
      </c>
      <c r="H103" s="29">
        <f>Haver!F113</f>
        <v>2.1839021979168143E-2</v>
      </c>
      <c r="I103">
        <f t="shared" si="2"/>
        <v>7663.9115732872551</v>
      </c>
    </row>
    <row r="104" spans="1:9" x14ac:dyDescent="0.35">
      <c r="A104" s="4">
        <v>38596</v>
      </c>
      <c r="B104" s="3">
        <f>Haver!O114</f>
        <v>65.476666666666674</v>
      </c>
      <c r="C104" s="29">
        <f>Haver!P114</f>
        <v>4.4385056173445285E-3</v>
      </c>
      <c r="D104">
        <f t="shared" si="3"/>
        <v>65.635270317441382</v>
      </c>
      <c r="H104" s="29">
        <f>Haver!F114</f>
        <v>3.1428162152203037E-2</v>
      </c>
      <c r="I104">
        <f t="shared" si="2"/>
        <v>7904.7742289326725</v>
      </c>
    </row>
    <row r="105" spans="1:9" x14ac:dyDescent="0.35">
      <c r="A105" s="4">
        <v>38687</v>
      </c>
      <c r="B105" s="3">
        <f>Haver!O115</f>
        <v>65.64</v>
      </c>
      <c r="C105" s="29">
        <f>Haver!P115</f>
        <v>3.0055316199061755E-3</v>
      </c>
      <c r="D105">
        <f t="shared" si="3"/>
        <v>65.832539197761548</v>
      </c>
      <c r="H105" s="29">
        <f>Haver!F115</f>
        <v>3.3645071883272953E-2</v>
      </c>
      <c r="I105">
        <f t="shared" si="2"/>
        <v>8170.7309260861566</v>
      </c>
    </row>
    <row r="106" spans="1:9" x14ac:dyDescent="0.35">
      <c r="A106" s="4">
        <v>38777</v>
      </c>
      <c r="B106" s="3">
        <f>Haver!O116</f>
        <v>65.800000000000011</v>
      </c>
      <c r="C106" s="29">
        <f>Haver!P116</f>
        <v>1.7974547485487713E-3</v>
      </c>
      <c r="D106">
        <f t="shared" si="3"/>
        <v>65.950870207951596</v>
      </c>
      <c r="H106" s="29">
        <f>Haver!F116</f>
        <v>3.0600095043057621E-2</v>
      </c>
      <c r="I106">
        <f t="shared" si="2"/>
        <v>8420.7560689956426</v>
      </c>
    </row>
    <row r="107" spans="1:9" x14ac:dyDescent="0.35">
      <c r="A107" s="4">
        <v>38869</v>
      </c>
      <c r="B107" s="3">
        <f>Haver!O117</f>
        <v>66.143333333333331</v>
      </c>
      <c r="C107" s="29">
        <f>Haver!P117</f>
        <v>4.5642723056616074E-3</v>
      </c>
      <c r="D107">
        <f t="shared" si="3"/>
        <v>66.251887938376029</v>
      </c>
      <c r="H107" s="29">
        <f>Haver!F117</f>
        <v>2.8368779528292178E-2</v>
      </c>
      <c r="I107">
        <f t="shared" si="2"/>
        <v>8659.6426413785084</v>
      </c>
    </row>
    <row r="108" spans="1:9" x14ac:dyDescent="0.35">
      <c r="A108" s="4">
        <v>38961</v>
      </c>
      <c r="B108" s="3">
        <f>Haver!O118</f>
        <v>66.27</v>
      </c>
      <c r="C108" s="29">
        <f>Haver!P118</f>
        <v>2.7187944683521115E-3</v>
      </c>
      <c r="D108">
        <f t="shared" si="3"/>
        <v>66.432013204820777</v>
      </c>
      <c r="H108" s="29">
        <f>Haver!F118</f>
        <v>2.7021150088933403E-2</v>
      </c>
      <c r="I108">
        <f t="shared" si="2"/>
        <v>8893.6361449077249</v>
      </c>
    </row>
    <row r="109" spans="1:9" x14ac:dyDescent="0.35">
      <c r="A109" s="4">
        <v>39052</v>
      </c>
      <c r="B109" s="3">
        <f>Haver!O119</f>
        <v>66.97</v>
      </c>
      <c r="C109" s="29">
        <f>Haver!P119</f>
        <v>1.0872045838010319E-2</v>
      </c>
      <c r="D109">
        <f t="shared" si="3"/>
        <v>67.154265097494886</v>
      </c>
      <c r="H109" s="29">
        <f>Haver!F119</f>
        <v>3.5152566352509192E-2</v>
      </c>
      <c r="I109">
        <f t="shared" si="2"/>
        <v>9206.2702796066678</v>
      </c>
    </row>
    <row r="110" spans="1:9" x14ac:dyDescent="0.35">
      <c r="A110" s="4">
        <v>39142</v>
      </c>
      <c r="B110" s="3">
        <f>Haver!O120</f>
        <v>67.600000000000009</v>
      </c>
      <c r="C110" s="29">
        <f>Haver!P120</f>
        <v>9.0657231239178199E-3</v>
      </c>
      <c r="D110">
        <f t="shared" si="3"/>
        <v>67.763067071458948</v>
      </c>
      <c r="H110" s="29">
        <f>Haver!F120</f>
        <v>4.08767178387534E-2</v>
      </c>
      <c r="I110">
        <f t="shared" si="2"/>
        <v>9582.592392173452</v>
      </c>
    </row>
    <row r="111" spans="1:9" x14ac:dyDescent="0.35">
      <c r="A111" s="4">
        <v>39234</v>
      </c>
      <c r="B111" s="3">
        <f>Haver!O121</f>
        <v>68.52</v>
      </c>
      <c r="C111" s="29">
        <f>Haver!P121</f>
        <v>1.286474701055095E-2</v>
      </c>
      <c r="D111">
        <f t="shared" si="3"/>
        <v>68.634821785992258</v>
      </c>
      <c r="H111" s="29">
        <f>Haver!F121</f>
        <v>3.3583983032033339E-2</v>
      </c>
      <c r="I111">
        <f t="shared" si="2"/>
        <v>9904.4140124750957</v>
      </c>
    </row>
    <row r="112" spans="1:9" x14ac:dyDescent="0.35">
      <c r="A112" s="4">
        <v>39326</v>
      </c>
      <c r="B112" s="3">
        <f>Haver!O122</f>
        <v>70.266666666666666</v>
      </c>
      <c r="C112" s="29">
        <f>Haver!P122</f>
        <v>2.6303702063249695E-2</v>
      </c>
      <c r="D112">
        <f t="shared" si="3"/>
        <v>70.440171689415237</v>
      </c>
      <c r="H112" s="29">
        <f>Haver!F122</f>
        <v>2.6302037975691792E-2</v>
      </c>
      <c r="I112">
        <f t="shared" si="2"/>
        <v>10164.920285958189</v>
      </c>
    </row>
    <row r="113" spans="1:9" x14ac:dyDescent="0.35">
      <c r="A113" s="4">
        <v>39417</v>
      </c>
      <c r="B113" s="3">
        <f>Haver!O123</f>
        <v>71.426666666666662</v>
      </c>
      <c r="C113" s="29">
        <f>Haver!P123</f>
        <v>1.662391729900374E-2</v>
      </c>
      <c r="D113">
        <f t="shared" si="3"/>
        <v>71.611163278107696</v>
      </c>
      <c r="H113" s="29">
        <f>Haver!F123</f>
        <v>3.2152640740944996E-2</v>
      </c>
      <c r="I113">
        <f t="shared" si="2"/>
        <v>10491.749316072946</v>
      </c>
    </row>
    <row r="114" spans="1:9" x14ac:dyDescent="0.35">
      <c r="A114" s="4">
        <v>39508</v>
      </c>
      <c r="B114" s="3">
        <f>Haver!O124</f>
        <v>73.05</v>
      </c>
      <c r="C114" s="29">
        <f>Haver!P124</f>
        <v>2.258311338785219E-2</v>
      </c>
      <c r="D114">
        <f t="shared" si="3"/>
        <v>73.228366298253206</v>
      </c>
      <c r="H114" s="29">
        <f>Haver!F124</f>
        <v>2.2535056381736446E-2</v>
      </c>
      <c r="I114">
        <f t="shared" si="2"/>
        <v>10728.181478453695</v>
      </c>
    </row>
    <row r="115" spans="1:9" x14ac:dyDescent="0.35">
      <c r="A115" s="4">
        <v>39600</v>
      </c>
      <c r="B115" s="3">
        <f>Haver!O125</f>
        <v>73.853333333333339</v>
      </c>
      <c r="C115" s="29">
        <f>Haver!P125</f>
        <v>1.0340814499664458E-2</v>
      </c>
      <c r="D115">
        <f t="shared" si="3"/>
        <v>73.985607250256919</v>
      </c>
      <c r="H115" s="29">
        <f>Haver!F125</f>
        <v>2.2207725999591078E-2</v>
      </c>
      <c r="I115">
        <f t="shared" si="2"/>
        <v>10966.429993201082</v>
      </c>
    </row>
    <row r="116" spans="1:9" x14ac:dyDescent="0.35">
      <c r="A116" s="4">
        <v>39692</v>
      </c>
      <c r="B116" s="3">
        <f>Haver!O126</f>
        <v>73.933333333333337</v>
      </c>
      <c r="C116" s="29">
        <f>Haver!P126</f>
        <v>1.7228233001537374E-3</v>
      </c>
      <c r="D116">
        <f t="shared" si="3"/>
        <v>74.113071378303687</v>
      </c>
      <c r="H116" s="29">
        <f>Haver!F126</f>
        <v>1.3510207468168382E-2</v>
      </c>
      <c r="I116">
        <f t="shared" ref="I116:I147" si="4">I115*(1+H116)</f>
        <v>11114.588737594373</v>
      </c>
    </row>
    <row r="117" spans="1:9" x14ac:dyDescent="0.35">
      <c r="A117" s="4">
        <v>39783</v>
      </c>
      <c r="B117" s="3">
        <f>Haver!O127</f>
        <v>73.213333333333338</v>
      </c>
      <c r="C117" s="29">
        <f>Haver!P127</f>
        <v>-9.6259218114325713E-3</v>
      </c>
      <c r="D117">
        <f t="shared" si="3"/>
        <v>73.399664748011006</v>
      </c>
      <c r="H117" s="29">
        <f>Haver!F127</f>
        <v>1.125171374504433E-2</v>
      </c>
      <c r="I117">
        <f t="shared" si="4"/>
        <v>11239.646908463677</v>
      </c>
    </row>
    <row r="118" spans="1:9" x14ac:dyDescent="0.35">
      <c r="A118" s="4">
        <v>39873</v>
      </c>
      <c r="B118" s="3">
        <f>Haver!O128</f>
        <v>72.623333333333335</v>
      </c>
      <c r="C118" s="29">
        <f>Haver!P128</f>
        <v>-8.1634583738666826E-3</v>
      </c>
      <c r="D118">
        <f t="shared" si="3"/>
        <v>72.800469640184843</v>
      </c>
      <c r="H118" s="29">
        <f>Haver!F128</f>
        <v>1.8543731934977839E-2</v>
      </c>
      <c r="I118">
        <f t="shared" si="4"/>
        <v>11448.07190777803</v>
      </c>
    </row>
    <row r="119" spans="1:9" x14ac:dyDescent="0.35">
      <c r="A119" s="4">
        <v>39965</v>
      </c>
      <c r="B119" s="3">
        <f>Haver!O129</f>
        <v>72.736666666666679</v>
      </c>
      <c r="C119" s="29">
        <f>Haver!P129</f>
        <v>1.010581201539669E-3</v>
      </c>
      <c r="D119">
        <f t="shared" si="3"/>
        <v>72.874040426266475</v>
      </c>
      <c r="H119" s="29">
        <f>Haver!F129</f>
        <v>3.589231941263385E-2</v>
      </c>
      <c r="I119">
        <f t="shared" si="4"/>
        <v>11858.969761350801</v>
      </c>
    </row>
    <row r="120" spans="1:9" x14ac:dyDescent="0.35">
      <c r="A120" s="4">
        <v>40057</v>
      </c>
      <c r="B120" s="3">
        <f>Haver!O130</f>
        <v>73</v>
      </c>
      <c r="C120" s="29">
        <f>Haver!P130</f>
        <v>4.0158540992409663E-3</v>
      </c>
      <c r="D120">
        <f t="shared" si="3"/>
        <v>73.166691940240554</v>
      </c>
      <c r="H120" s="29">
        <f>Haver!F130</f>
        <v>3.4617326231347036E-2</v>
      </c>
      <c r="I120">
        <f t="shared" si="4"/>
        <v>12269.49558634716</v>
      </c>
    </row>
    <row r="121" spans="1:9" x14ac:dyDescent="0.35">
      <c r="A121" s="4">
        <v>40148</v>
      </c>
      <c r="B121" s="3">
        <f>Haver!O131</f>
        <v>73.66</v>
      </c>
      <c r="C121" s="29">
        <f>Haver!P131</f>
        <v>9.3848419156993251E-3</v>
      </c>
      <c r="D121">
        <f t="shared" si="3"/>
        <v>73.853349777594374</v>
      </c>
      <c r="H121" s="29">
        <f>Haver!F131</f>
        <v>2.5131595824811254E-2</v>
      </c>
      <c r="I121">
        <f t="shared" si="4"/>
        <v>12577.847590397543</v>
      </c>
    </row>
    <row r="122" spans="1:9" x14ac:dyDescent="0.35">
      <c r="A122" s="4">
        <v>40238</v>
      </c>
      <c r="B122" s="3">
        <f>Haver!O132</f>
        <v>74.263333333333335</v>
      </c>
      <c r="C122" s="29">
        <f>Haver!P132</f>
        <v>7.9585874811228269E-3</v>
      </c>
      <c r="D122">
        <f t="shared" si="3"/>
        <v>74.441118122573315</v>
      </c>
      <c r="H122" s="29">
        <f>Haver!F132</f>
        <v>2.250798147541393E-2</v>
      </c>
      <c r="I122">
        <f t="shared" si="4"/>
        <v>12860.94955096279</v>
      </c>
    </row>
    <row r="123" spans="1:9" x14ac:dyDescent="0.35">
      <c r="A123" s="4">
        <v>40330</v>
      </c>
      <c r="B123" s="3">
        <f>Haver!O133</f>
        <v>74.866666666666674</v>
      </c>
      <c r="C123" s="29">
        <f>Haver!P133</f>
        <v>7.7456735903262521E-3</v>
      </c>
      <c r="D123">
        <f t="shared" si="3"/>
        <v>75.017714725249689</v>
      </c>
      <c r="H123" s="29">
        <f>Haver!F133</f>
        <v>2.1461216595744591E-2</v>
      </c>
      <c r="I123">
        <f t="shared" si="4"/>
        <v>13136.961174902948</v>
      </c>
    </row>
    <row r="124" spans="1:9" x14ac:dyDescent="0.35">
      <c r="A124" s="4">
        <v>40422</v>
      </c>
      <c r="B124" s="3">
        <f>Haver!O134</f>
        <v>75.52</v>
      </c>
      <c r="C124" s="29">
        <f>Haver!P134</f>
        <v>8.8754857445702169E-3</v>
      </c>
      <c r="D124">
        <f t="shared" si="3"/>
        <v>75.68353338288388</v>
      </c>
      <c r="H124" s="29">
        <f>Haver!F134</f>
        <v>2.5470785023382122E-2</v>
      </c>
      <c r="I124">
        <f t="shared" si="4"/>
        <v>13471.569888849419</v>
      </c>
    </row>
    <row r="125" spans="1:9" x14ac:dyDescent="0.35">
      <c r="A125" s="4">
        <v>40513</v>
      </c>
      <c r="B125" s="3">
        <f>Haver!O135</f>
        <v>77.096666666666678</v>
      </c>
      <c r="C125" s="29">
        <f>Haver!P135</f>
        <v>2.1361596178294882E-2</v>
      </c>
      <c r="D125">
        <f t="shared" si="3"/>
        <v>77.300254460355546</v>
      </c>
      <c r="H125" s="29">
        <f>Haver!F135</f>
        <v>2.5612259602089616E-2</v>
      </c>
      <c r="I125">
        <f t="shared" si="4"/>
        <v>13816.607234090323</v>
      </c>
    </row>
    <row r="126" spans="1:9" x14ac:dyDescent="0.35">
      <c r="A126" s="4">
        <v>40603</v>
      </c>
      <c r="B126" s="3">
        <f>Haver!O136</f>
        <v>78.063333333333333</v>
      </c>
      <c r="C126" s="29">
        <f>Haver!P136</f>
        <v>1.2228947263037217E-2</v>
      </c>
      <c r="D126">
        <f t="shared" si="3"/>
        <v>78.245555195570589</v>
      </c>
      <c r="H126" s="29">
        <f>Haver!F136</f>
        <v>2.4670410562970018E-2</v>
      </c>
      <c r="I126">
        <f t="shared" si="4"/>
        <v>14157.468607142633</v>
      </c>
    </row>
    <row r="127" spans="1:9" x14ac:dyDescent="0.35">
      <c r="A127" s="4">
        <v>40695</v>
      </c>
      <c r="B127" s="3">
        <f>Haver!O137</f>
        <v>79.193333333333328</v>
      </c>
      <c r="C127" s="29">
        <f>Haver!P137</f>
        <v>1.4251120543212455E-2</v>
      </c>
      <c r="D127">
        <f t="shared" si="3"/>
        <v>79.360642034633258</v>
      </c>
      <c r="H127" s="29">
        <f>Haver!F137</f>
        <v>2.0806985581053143E-2</v>
      </c>
      <c r="I127">
        <f t="shared" si="4"/>
        <v>14452.042852315662</v>
      </c>
    </row>
    <row r="128" spans="1:9" x14ac:dyDescent="0.35">
      <c r="A128" s="4">
        <v>40787</v>
      </c>
      <c r="B128" s="3">
        <f>Haver!O138</f>
        <v>80.25</v>
      </c>
      <c r="C128" s="29">
        <f>Haver!P138</f>
        <v>1.341648154630622E-2</v>
      </c>
      <c r="D128">
        <f t="shared" si="3"/>
        <v>80.425382623993926</v>
      </c>
      <c r="H128" s="29">
        <f>Haver!F138</f>
        <v>1.9295665965000909E-2</v>
      </c>
      <c r="I128">
        <f t="shared" si="4"/>
        <v>14730.904643705826</v>
      </c>
    </row>
    <row r="129" spans="1:9" x14ac:dyDescent="0.35">
      <c r="A129" s="4">
        <v>40878</v>
      </c>
      <c r="B129" s="3">
        <f>Haver!O139</f>
        <v>80.603333333333339</v>
      </c>
      <c r="C129" s="29">
        <f>Haver!P139</f>
        <v>4.7171020541077859E-3</v>
      </c>
      <c r="D129">
        <f t="shared" si="3"/>
        <v>80.804757361571959</v>
      </c>
      <c r="H129" s="29">
        <f>Haver!F139</f>
        <v>1.8578815826833139E-2</v>
      </c>
      <c r="I129">
        <f t="shared" si="4"/>
        <v>15004.587408043879</v>
      </c>
    </row>
    <row r="130" spans="1:9" x14ac:dyDescent="0.35">
      <c r="A130" s="4">
        <v>40969</v>
      </c>
      <c r="B130" s="3">
        <f>Haver!O140</f>
        <v>81.026666666666657</v>
      </c>
      <c r="C130" s="29">
        <f>Haver!P140</f>
        <v>5.0876506712449546E-3</v>
      </c>
      <c r="D130">
        <f t="shared" si="3"/>
        <v>81.215863739602341</v>
      </c>
      <c r="H130" s="29">
        <f>Haver!F140</f>
        <v>1.9277799043694418E-2</v>
      </c>
      <c r="I130">
        <f t="shared" si="4"/>
        <v>15293.842828829695</v>
      </c>
    </row>
    <row r="131" spans="1:9" x14ac:dyDescent="0.35">
      <c r="A131" s="4">
        <v>41061</v>
      </c>
      <c r="B131" s="3">
        <f>Haver!O141</f>
        <v>81.469999999999985</v>
      </c>
      <c r="C131" s="29">
        <f>Haver!P141</f>
        <v>5.4574943231299241E-3</v>
      </c>
      <c r="D131">
        <f t="shared" si="3"/>
        <v>81.659098854909317</v>
      </c>
      <c r="H131" s="29">
        <f>Haver!F141</f>
        <v>1.8526839257437176E-2</v>
      </c>
      <c r="I131">
        <f t="shared" si="4"/>
        <v>15577.18939654793</v>
      </c>
    </row>
    <row r="132" spans="1:9" x14ac:dyDescent="0.35">
      <c r="A132" s="4">
        <v>41153</v>
      </c>
      <c r="B132" s="3">
        <f>Haver!O142</f>
        <v>81.776666666666657</v>
      </c>
      <c r="C132" s="29">
        <f>Haver!P142</f>
        <v>3.5520033727729459E-3</v>
      </c>
      <c r="D132">
        <f t="shared" si="3"/>
        <v>81.949152249459559</v>
      </c>
      <c r="H132" s="29">
        <f>Haver!F142</f>
        <v>1.7753290223069266E-2</v>
      </c>
      <c r="I132">
        <f t="shared" si="4"/>
        <v>15853.735760764563</v>
      </c>
    </row>
    <row r="133" spans="1:9" x14ac:dyDescent="0.35">
      <c r="A133" s="4">
        <v>41244</v>
      </c>
      <c r="B133" s="3">
        <f>Haver!O143</f>
        <v>82.23</v>
      </c>
      <c r="C133" s="29">
        <f>Haver!P143</f>
        <v>5.7805336587697905E-3</v>
      </c>
      <c r="D133">
        <f t="shared" si="3"/>
        <v>82.422862082345205</v>
      </c>
      <c r="H133" s="29">
        <f>Haver!F143</f>
        <v>2.1819821428650962E-2</v>
      </c>
      <c r="I133">
        <f t="shared" si="4"/>
        <v>16199.661444041463</v>
      </c>
    </row>
    <row r="134" spans="1:9" x14ac:dyDescent="0.35">
      <c r="A134" s="4">
        <v>41334</v>
      </c>
      <c r="B134" s="3">
        <f>Haver!O144</f>
        <v>83.026666666666657</v>
      </c>
      <c r="C134" s="29">
        <f>Haver!P144</f>
        <v>9.7450034568999713E-3</v>
      </c>
      <c r="D134">
        <f t="shared" si="3"/>
        <v>83.226073158265251</v>
      </c>
      <c r="H134" s="29">
        <f>Haver!F144</f>
        <v>1.8324002329771355E-2</v>
      </c>
      <c r="I134">
        <f t="shared" si="4"/>
        <v>16496.504078083584</v>
      </c>
    </row>
    <row r="135" spans="1:9" x14ac:dyDescent="0.35">
      <c r="A135" s="4">
        <v>41426</v>
      </c>
      <c r="B135" s="3">
        <f>Haver!O145</f>
        <v>83.433333333333323</v>
      </c>
      <c r="C135" s="29">
        <f>Haver!P145</f>
        <v>4.9450110727741244E-3</v>
      </c>
      <c r="D135">
        <f t="shared" si="3"/>
        <v>83.637627011576384</v>
      </c>
      <c r="H135" s="29">
        <f>Haver!F145</f>
        <v>1.6532352440799036E-2</v>
      </c>
      <c r="I135">
        <f t="shared" si="4"/>
        <v>16769.230097543539</v>
      </c>
    </row>
    <row r="136" spans="1:9" x14ac:dyDescent="0.35">
      <c r="A136" s="4">
        <v>41518</v>
      </c>
      <c r="B136" s="3">
        <f>Haver!O146</f>
        <v>84.01</v>
      </c>
      <c r="C136" s="29">
        <f>Haver!P146</f>
        <v>6.512680935715184E-3</v>
      </c>
      <c r="D136">
        <f t="shared" si="3"/>
        <v>84.182332190523141</v>
      </c>
      <c r="H136" s="29">
        <f>Haver!F146</f>
        <v>2.0934027783453598E-2</v>
      </c>
      <c r="I136">
        <f t="shared" si="4"/>
        <v>17120.27762631264</v>
      </c>
    </row>
    <row r="137" spans="1:9" x14ac:dyDescent="0.35">
      <c r="A137" s="4">
        <v>41609</v>
      </c>
      <c r="B137" s="3">
        <f>Haver!O147</f>
        <v>84.64</v>
      </c>
      <c r="C137" s="29">
        <f>Haver!P147</f>
        <v>7.5941938275203916E-3</v>
      </c>
      <c r="D137">
        <f t="shared" si="3"/>
        <v>84.821629138030687</v>
      </c>
      <c r="H137" s="29">
        <f>Haver!F147</f>
        <v>1.8115357404203183E-2</v>
      </c>
      <c r="I137">
        <f t="shared" si="4"/>
        <v>17430.417574372477</v>
      </c>
    </row>
    <row r="138" spans="1:9" x14ac:dyDescent="0.35">
      <c r="A138" s="4">
        <v>41699</v>
      </c>
      <c r="B138" s="3">
        <f>Haver!O148</f>
        <v>84.96</v>
      </c>
      <c r="C138" s="29">
        <f>Haver!P148</f>
        <v>4.2497723169987135E-3</v>
      </c>
      <c r="D138">
        <f t="shared" si="3"/>
        <v>85.18210174942422</v>
      </c>
      <c r="H138" s="29">
        <f>Haver!F148</f>
        <v>1.8423176905709354E-2</v>
      </c>
      <c r="I138">
        <f t="shared" si="4"/>
        <v>17751.541240885526</v>
      </c>
    </row>
    <row r="139" spans="1:9" x14ac:dyDescent="0.35">
      <c r="A139" s="4">
        <v>41791</v>
      </c>
      <c r="B139" s="3">
        <f>Haver!O149</f>
        <v>85.279999999999987</v>
      </c>
      <c r="C139" s="29">
        <f>Haver!P149</f>
        <v>3.6274249291957765E-3</v>
      </c>
      <c r="D139">
        <f t="shared" si="3"/>
        <v>85.491093428831377</v>
      </c>
      <c r="H139" s="29">
        <f>Haver!F149</f>
        <v>1.7582482690718305E-2</v>
      </c>
      <c r="I139">
        <f t="shared" si="4"/>
        <v>18063.657407486968</v>
      </c>
    </row>
    <row r="140" spans="1:9" x14ac:dyDescent="0.35">
      <c r="A140" s="4">
        <v>41883</v>
      </c>
      <c r="B140" s="3">
        <f>Haver!O150</f>
        <v>85.63666666666667</v>
      </c>
      <c r="C140" s="29">
        <f>Haver!P150</f>
        <v>3.7466134359707883E-3</v>
      </c>
      <c r="D140">
        <f t="shared" si="3"/>
        <v>85.81139550812766</v>
      </c>
      <c r="H140" s="29">
        <f>Haver!F150</f>
        <v>1.7415311344318361E-2</v>
      </c>
      <c r="I140">
        <f t="shared" si="4"/>
        <v>18378.241625255454</v>
      </c>
    </row>
    <row r="141" spans="1:9" x14ac:dyDescent="0.35">
      <c r="A141" s="4">
        <v>41974</v>
      </c>
      <c r="B141" s="3">
        <f>Haver!O151</f>
        <v>85.883333333333326</v>
      </c>
      <c r="C141" s="29">
        <f>Haver!P151</f>
        <v>2.7550276569764057E-3</v>
      </c>
      <c r="D141">
        <f t="shared" si="3"/>
        <v>86.047808276036292</v>
      </c>
      <c r="H141" s="29">
        <f>Haver!F151</f>
        <v>1.8021911380589683E-2</v>
      </c>
      <c r="I141">
        <f t="shared" si="4"/>
        <v>18709.452667156875</v>
      </c>
    </row>
    <row r="142" spans="1:9" x14ac:dyDescent="0.35">
      <c r="A142" s="4">
        <v>42064</v>
      </c>
      <c r="B142" s="3">
        <f>Haver!O152</f>
        <v>85.986666666666665</v>
      </c>
      <c r="C142" s="29">
        <f>Haver!P152</f>
        <v>2.1045221240117216E-3</v>
      </c>
      <c r="D142">
        <f t="shared" si="3"/>
        <v>86.22889779227593</v>
      </c>
      <c r="H142" s="29">
        <f>Haver!F152</f>
        <v>1.6403227566898878E-2</v>
      </c>
      <c r="I142">
        <f t="shared" si="4"/>
        <v>19016.348076908373</v>
      </c>
    </row>
    <row r="143" spans="1:9" x14ac:dyDescent="0.35">
      <c r="A143" s="4">
        <v>42156</v>
      </c>
      <c r="B143" s="3">
        <f>Haver!O153</f>
        <v>86.493333333333339</v>
      </c>
      <c r="C143" s="29">
        <f>Haver!P153</f>
        <v>5.5733665590383882E-3</v>
      </c>
      <c r="D143">
        <f t="shared" si="3"/>
        <v>86.709483047654132</v>
      </c>
      <c r="H143" s="29">
        <f>Haver!F153</f>
        <v>1.7267633004294947E-2</v>
      </c>
      <c r="I143">
        <f t="shared" si="4"/>
        <v>19344.715396582356</v>
      </c>
    </row>
    <row r="144" spans="1:9" x14ac:dyDescent="0.35">
      <c r="A144" s="4">
        <v>42248</v>
      </c>
      <c r="B144" s="3">
        <f>Haver!O154</f>
        <v>87.133333333333326</v>
      </c>
      <c r="C144" s="29">
        <f>Haver!P154</f>
        <v>6.9510335138810086E-3</v>
      </c>
      <c r="D144">
        <f t="shared" si="3"/>
        <v>87.312203570289668</v>
      </c>
      <c r="H144" s="29">
        <f>Haver!F154</f>
        <v>1.66573683734276E-2</v>
      </c>
      <c r="I144">
        <f t="shared" si="4"/>
        <v>19666.947447022347</v>
      </c>
    </row>
    <row r="145" spans="1:9" x14ac:dyDescent="0.35">
      <c r="A145" s="4">
        <v>42339</v>
      </c>
      <c r="B145" s="3">
        <f>Haver!O155</f>
        <v>87.126666666666665</v>
      </c>
      <c r="C145" s="29">
        <f>Haver!P155</f>
        <v>-4.259703421687249E-4</v>
      </c>
      <c r="D145">
        <f t="shared" si="3"/>
        <v>87.275011161059325</v>
      </c>
      <c r="H145" s="29">
        <f>Haver!F155</f>
        <v>1.6896573639402671E-2</v>
      </c>
      <c r="I145">
        <f t="shared" si="4"/>
        <v>19999.251472823224</v>
      </c>
    </row>
    <row r="146" spans="1:9" x14ac:dyDescent="0.35">
      <c r="A146" s="4">
        <v>42430</v>
      </c>
      <c r="B146" s="3">
        <f>Haver!O156</f>
        <v>87.839999999999989</v>
      </c>
      <c r="C146" s="29">
        <f>Haver!P156</f>
        <v>9.5152806165313634E-3</v>
      </c>
      <c r="D146">
        <f t="shared" si="3"/>
        <v>88.105457383067701</v>
      </c>
      <c r="H146" s="29">
        <f>Haver!F156</f>
        <v>1.5790490064980886E-2</v>
      </c>
      <c r="I146">
        <f t="shared" si="4"/>
        <v>20315.049454511893</v>
      </c>
    </row>
    <row r="147" spans="1:9" x14ac:dyDescent="0.35">
      <c r="A147" s="4">
        <v>42522</v>
      </c>
      <c r="B147" s="3">
        <f>Haver!O157</f>
        <v>88.31</v>
      </c>
      <c r="C147" s="29">
        <f>Haver!P157</f>
        <v>4.7292502474206369E-3</v>
      </c>
      <c r="D147">
        <f t="shared" si="3"/>
        <v>88.522130139195681</v>
      </c>
      <c r="H147" s="29">
        <f>Haver!F157</f>
        <v>1.5989143026907869E-2</v>
      </c>
      <c r="I147">
        <f t="shared" si="4"/>
        <v>20639.869685838792</v>
      </c>
    </row>
    <row r="148" spans="1:9" x14ac:dyDescent="0.35">
      <c r="A148" s="4">
        <v>42614</v>
      </c>
      <c r="B148" s="3">
        <f>Haver!O158</f>
        <v>88.566666666666663</v>
      </c>
      <c r="C148" s="29">
        <f>Haver!P158</f>
        <v>2.6740806239023761E-3</v>
      </c>
      <c r="D148">
        <f t="shared" si="3"/>
        <v>88.758845452187458</v>
      </c>
      <c r="H148" s="29">
        <f>Haver!F158</f>
        <v>1.5886164532504098E-2</v>
      </c>
      <c r="I148">
        <f t="shared" ref="I148:I179" si="5">I147*(1+H148)</f>
        <v>20967.758051597473</v>
      </c>
    </row>
    <row r="149" spans="1:9" x14ac:dyDescent="0.35">
      <c r="A149" s="4">
        <v>42705</v>
      </c>
      <c r="B149" s="3">
        <f>Haver!O159</f>
        <v>88.953333333333333</v>
      </c>
      <c r="C149" s="29">
        <f>Haver!P159</f>
        <v>3.8382907773010532E-3</v>
      </c>
      <c r="D149">
        <f t="shared" ref="D149:D185" si="6">D148*(1+C149)</f>
        <v>89.099527710090484</v>
      </c>
      <c r="H149" s="29">
        <f>Haver!F159</f>
        <v>1.8927322371320346E-2</v>
      </c>
      <c r="I149">
        <f t="shared" si="5"/>
        <v>21364.62156764391</v>
      </c>
    </row>
    <row r="150" spans="1:9" x14ac:dyDescent="0.35">
      <c r="A150" s="4">
        <v>42795</v>
      </c>
      <c r="B150" s="3">
        <f>Haver!O160</f>
        <v>89.056666666666672</v>
      </c>
      <c r="C150" s="29">
        <f>Haver!P160</f>
        <v>2.4093751504874663E-3</v>
      </c>
      <c r="D150">
        <f t="shared" si="6"/>
        <v>89.314201898075339</v>
      </c>
      <c r="H150" s="29">
        <f>Haver!F160</f>
        <v>1.847071417535805E-2</v>
      </c>
      <c r="I150">
        <f t="shared" si="5"/>
        <v>21759.241386084548</v>
      </c>
    </row>
    <row r="151" spans="1:9" x14ac:dyDescent="0.35">
      <c r="A151" s="4">
        <v>42887</v>
      </c>
      <c r="B151" s="3">
        <f>Haver!O161</f>
        <v>89.61</v>
      </c>
      <c r="C151" s="29">
        <f>Haver!P161</f>
        <v>5.7243712621803692E-3</v>
      </c>
      <c r="D151">
        <f t="shared" si="6"/>
        <v>89.825469548725266</v>
      </c>
      <c r="H151" s="29">
        <f>Haver!F161</f>
        <v>1.4858232737191602E-2</v>
      </c>
      <c r="I151">
        <f t="shared" si="5"/>
        <v>22082.545258783724</v>
      </c>
    </row>
    <row r="152" spans="1:9" x14ac:dyDescent="0.35">
      <c r="A152" s="4">
        <v>42979</v>
      </c>
      <c r="B152" s="3">
        <f>Haver!O162</f>
        <v>89.986666666666665</v>
      </c>
      <c r="C152" s="29">
        <f>Haver!P162</f>
        <v>4.0954281976313496E-3</v>
      </c>
      <c r="D152">
        <f t="shared" si="6"/>
        <v>90.193343309580584</v>
      </c>
      <c r="H152" s="29">
        <f>Haver!F162</f>
        <v>1.3630649454303796E-2</v>
      </c>
      <c r="I152">
        <f t="shared" si="5"/>
        <v>22383.544692265001</v>
      </c>
    </row>
    <row r="153" spans="1:9" x14ac:dyDescent="0.35">
      <c r="A153" s="4">
        <v>43070</v>
      </c>
      <c r="B153" s="3">
        <f>Haver!O163</f>
        <v>90.473333333333343</v>
      </c>
      <c r="C153" s="29">
        <f>Haver!P163</f>
        <v>5.0127033806432715E-3</v>
      </c>
      <c r="D153">
        <f t="shared" si="6"/>
        <v>90.645455786500037</v>
      </c>
      <c r="H153" s="29">
        <f>Haver!F163</f>
        <v>1.9302326081648374E-2</v>
      </c>
      <c r="I153">
        <f t="shared" si="5"/>
        <v>22815.599170778249</v>
      </c>
    </row>
    <row r="154" spans="1:9" x14ac:dyDescent="0.35">
      <c r="A154" s="4">
        <v>43160</v>
      </c>
      <c r="B154" s="3">
        <f>Haver!O164</f>
        <v>90.969999999999985</v>
      </c>
      <c r="C154" s="29">
        <f>Haver!P164</f>
        <v>6.0371220779663302E-3</v>
      </c>
      <c r="D154">
        <f t="shared" si="6"/>
        <v>91.192693468896024</v>
      </c>
      <c r="H154" s="29">
        <f>Haver!F164</f>
        <v>2.1208320209461472E-2</v>
      </c>
      <c r="I154">
        <f t="shared" si="5"/>
        <v>23299.479703762838</v>
      </c>
    </row>
    <row r="155" spans="1:9" x14ac:dyDescent="0.35">
      <c r="A155" s="4">
        <v>43252</v>
      </c>
      <c r="B155" s="3">
        <f>Haver!O165</f>
        <v>91.33</v>
      </c>
      <c r="C155" s="29">
        <f>Haver!P165</f>
        <v>3.8267221513671639E-3</v>
      </c>
      <c r="D155">
        <f t="shared" si="6"/>
        <v>91.541662569036291</v>
      </c>
      <c r="H155" s="29">
        <f>Haver!F165</f>
        <v>1.2936709582983106E-2</v>
      </c>
      <c r="I155">
        <f t="shared" si="5"/>
        <v>23600.898306125026</v>
      </c>
    </row>
    <row r="156" spans="1:9" x14ac:dyDescent="0.35">
      <c r="A156" s="4">
        <v>43344</v>
      </c>
      <c r="B156" s="3">
        <f>Haver!O166</f>
        <v>92.053333333333327</v>
      </c>
      <c r="C156" s="29">
        <f>Haver!P166</f>
        <v>8.2566922993459208E-3</v>
      </c>
      <c r="D156">
        <f t="shared" si="6"/>
        <v>92.297493909439368</v>
      </c>
      <c r="H156" s="29">
        <f>Haver!F166</f>
        <v>1.0928957202579637E-2</v>
      </c>
      <c r="I156">
        <f t="shared" si="5"/>
        <v>23858.831513655103</v>
      </c>
    </row>
    <row r="157" spans="1:9" x14ac:dyDescent="0.35">
      <c r="A157" s="4">
        <v>43435</v>
      </c>
      <c r="B157" s="3">
        <f>Haver!O167</f>
        <v>92.39</v>
      </c>
      <c r="C157" s="29">
        <f>Haver!P167</f>
        <v>3.1247990946133165E-3</v>
      </c>
      <c r="D157">
        <f t="shared" si="6"/>
        <v>92.585905034842654</v>
      </c>
      <c r="H157" s="29">
        <f>Haver!F167</f>
        <v>1.7541368419993927E-2</v>
      </c>
      <c r="I157">
        <f t="shared" si="5"/>
        <v>24277.348067306688</v>
      </c>
    </row>
    <row r="158" spans="1:9" x14ac:dyDescent="0.35">
      <c r="A158" s="4">
        <v>43525</v>
      </c>
      <c r="B158" s="3">
        <f>Haver!O168</f>
        <v>92.63</v>
      </c>
      <c r="C158" s="29">
        <f>Haver!P168</f>
        <v>2.4298771168526538E-3</v>
      </c>
      <c r="D158">
        <f t="shared" si="6"/>
        <v>92.810877406829917</v>
      </c>
      <c r="H158" s="29">
        <f>Haver!F168</f>
        <v>2.268174586551638E-2</v>
      </c>
      <c r="I158">
        <f t="shared" si="5"/>
        <v>24828.000706458024</v>
      </c>
    </row>
    <row r="159" spans="1:9" x14ac:dyDescent="0.35">
      <c r="A159" s="4">
        <v>43617</v>
      </c>
      <c r="B159" s="3">
        <f>Haver!O169</f>
        <v>93.793333333333337</v>
      </c>
      <c r="C159" s="29">
        <f>Haver!P169</f>
        <v>1.2889843846227964E-2</v>
      </c>
      <c r="D159">
        <f t="shared" si="6"/>
        <v>94.007195123835359</v>
      </c>
      <c r="H159" s="29">
        <f>Haver!F169</f>
        <v>8.8372412420431659E-3</v>
      </c>
      <c r="I159">
        <f t="shared" si="5"/>
        <v>25047.411738258612</v>
      </c>
    </row>
    <row r="160" spans="1:9" x14ac:dyDescent="0.35">
      <c r="A160" s="4">
        <v>43709</v>
      </c>
      <c r="B160" s="3">
        <f>Haver!O170</f>
        <v>94.67</v>
      </c>
      <c r="C160" s="29">
        <f>Haver!P170</f>
        <v>9.9071187067982184E-3</v>
      </c>
      <c r="D160">
        <f t="shared" si="6"/>
        <v>94.938535565220349</v>
      </c>
      <c r="H160" s="29">
        <f>Haver!F170</f>
        <v>9.6538074555261172E-3</v>
      </c>
      <c r="I160">
        <f t="shared" si="5"/>
        <v>25289.214628439047</v>
      </c>
    </row>
    <row r="161" spans="1:9" x14ac:dyDescent="0.35">
      <c r="A161" s="4">
        <v>43800</v>
      </c>
      <c r="B161" s="3">
        <f>Haver!O171</f>
        <v>96.3</v>
      </c>
      <c r="C161" s="29">
        <f>Haver!P171</f>
        <v>1.6717587707026894E-2</v>
      </c>
      <c r="D161">
        <f t="shared" si="6"/>
        <v>96.525678860308616</v>
      </c>
      <c r="H161" s="29">
        <f>Haver!F171</f>
        <v>1.4899775057967685E-2</v>
      </c>
      <c r="I161">
        <f t="shared" si="5"/>
        <v>25666.018237795452</v>
      </c>
    </row>
    <row r="162" spans="1:9" x14ac:dyDescent="0.35">
      <c r="A162" s="4">
        <v>43891</v>
      </c>
      <c r="B162" s="3">
        <f>Haver!O172</f>
        <v>97.259999999999991</v>
      </c>
      <c r="C162" s="29">
        <f>Haver!P172</f>
        <v>9.4000831484758515E-3</v>
      </c>
      <c r="D162">
        <f t="shared" si="6"/>
        <v>97.433028267558612</v>
      </c>
      <c r="H162" s="29">
        <f>Haver!F172</f>
        <v>-9.736028052287482E-2</v>
      </c>
      <c r="I162">
        <f t="shared" si="5"/>
        <v>23167.167502258464</v>
      </c>
    </row>
    <row r="163" spans="1:9" x14ac:dyDescent="0.35">
      <c r="A163" s="4">
        <v>43983</v>
      </c>
      <c r="B163" s="3">
        <f>Haver!O173</f>
        <v>96.373333333333335</v>
      </c>
      <c r="C163" s="29">
        <f>Haver!P173</f>
        <v>-8.8460125050188639E-3</v>
      </c>
      <c r="D163">
        <f t="shared" si="6"/>
        <v>96.571134481101936</v>
      </c>
      <c r="H163" s="29">
        <f>Haver!F173</f>
        <v>0.11878634790460092</v>
      </c>
      <c r="I163">
        <f t="shared" si="5"/>
        <v>25919.110721145902</v>
      </c>
    </row>
    <row r="164" spans="1:9" x14ac:dyDescent="0.35">
      <c r="A164" s="4">
        <v>44075</v>
      </c>
      <c r="B164" s="3">
        <f>Haver!O174</f>
        <v>96.726666666666674</v>
      </c>
      <c r="C164" s="29">
        <f>Haver!P174</f>
        <v>4.6430532517965934E-3</v>
      </c>
      <c r="D164">
        <f t="shared" si="6"/>
        <v>97.019519401084111</v>
      </c>
      <c r="H164" s="29">
        <f>Haver!F174</f>
        <v>2.5669429947695086E-2</v>
      </c>
      <c r="I164">
        <f t="shared" si="5"/>
        <v>26584.439518108913</v>
      </c>
    </row>
    <row r="165" spans="1:9" x14ac:dyDescent="0.35">
      <c r="A165" s="4">
        <v>44166</v>
      </c>
      <c r="B165" s="3">
        <f>Haver!O175</f>
        <v>96.350000000000009</v>
      </c>
      <c r="C165" s="29">
        <f>Haver!P175</f>
        <v>-4.4766482588506863E-3</v>
      </c>
      <c r="D165">
        <f t="shared" si="6"/>
        <v>96.585197138482727</v>
      </c>
      <c r="H165" s="29">
        <f>Haver!F175</f>
        <v>2.801606988227472E-2</v>
      </c>
      <c r="I165">
        <f t="shared" si="5"/>
        <v>27329.231033429358</v>
      </c>
    </row>
    <row r="166" spans="1:9" x14ac:dyDescent="0.35">
      <c r="A166" s="4">
        <v>44256</v>
      </c>
      <c r="B166" s="3">
        <f>Haver!O176</f>
        <v>97.293333333333337</v>
      </c>
      <c r="C166" s="29">
        <f>Haver!P176</f>
        <v>9.1497291247066761E-3</v>
      </c>
      <c r="D166">
        <f t="shared" si="6"/>
        <v>97.468925529756234</v>
      </c>
      <c r="H166" s="29">
        <f>Haver!F176</f>
        <v>6.9882797576177932E-3</v>
      </c>
      <c r="I166">
        <f t="shared" si="5"/>
        <v>27520.215345451532</v>
      </c>
    </row>
    <row r="167" spans="1:9" x14ac:dyDescent="0.35">
      <c r="A167" s="4">
        <v>44348</v>
      </c>
      <c r="B167" s="3">
        <f>Haver!O177</f>
        <v>97.43</v>
      </c>
      <c r="C167" s="29">
        <f>Haver!P177</f>
        <v>1.5991685112930654E-3</v>
      </c>
      <c r="D167">
        <f t="shared" si="6"/>
        <v>97.624794766292993</v>
      </c>
      <c r="H167" s="29">
        <f>Haver!F177</f>
        <v>2.0850905513737854E-2</v>
      </c>
      <c r="I167">
        <f t="shared" si="5"/>
        <v>28094.03675533726</v>
      </c>
    </row>
    <row r="168" spans="1:9" x14ac:dyDescent="0.35">
      <c r="A168" s="4">
        <v>44440</v>
      </c>
      <c r="B168" s="3">
        <f>Haver!O178</f>
        <v>97.363333333333344</v>
      </c>
      <c r="C168" s="29">
        <f>Haver!P178</f>
        <v>3.8770319680793139E-5</v>
      </c>
      <c r="D168">
        <f t="shared" si="6"/>
        <v>97.628579710794838</v>
      </c>
      <c r="H168" s="29">
        <f>Haver!F178</f>
        <v>-6.8225185323975807E-4</v>
      </c>
      <c r="I168">
        <f t="shared" si="5"/>
        <v>28074.869546695943</v>
      </c>
    </row>
    <row r="169" spans="1:9" x14ac:dyDescent="0.35">
      <c r="A169" s="4">
        <v>44531</v>
      </c>
      <c r="B169" s="3">
        <f>Haver!O179</f>
        <v>98.139999999999986</v>
      </c>
      <c r="C169" s="29">
        <f>Haver!P179</f>
        <v>7.9196135408151798E-3</v>
      </c>
      <c r="D169">
        <f t="shared" si="6"/>
        <v>98.401760332643008</v>
      </c>
      <c r="H169" s="29">
        <f>Haver!F179</f>
        <v>1.6355936444243425E-2</v>
      </c>
      <c r="I169">
        <f t="shared" si="5"/>
        <v>28534.060328682128</v>
      </c>
    </row>
    <row r="170" spans="1:9" x14ac:dyDescent="0.35">
      <c r="A170" s="4">
        <v>44621</v>
      </c>
      <c r="B170" s="3">
        <f>Haver!O180</f>
        <v>98.466666666666654</v>
      </c>
      <c r="C170" s="29">
        <f>Haver!P180</f>
        <v>2.7552343299650662E-3</v>
      </c>
      <c r="D170">
        <f t="shared" si="6"/>
        <v>98.672880240840499</v>
      </c>
      <c r="H170" s="29">
        <f>Haver!F180</f>
        <v>7.4835970085564245E-3</v>
      </c>
      <c r="I170">
        <f t="shared" si="5"/>
        <v>28747.597737199823</v>
      </c>
    </row>
    <row r="171" spans="1:9" x14ac:dyDescent="0.35">
      <c r="A171" s="4">
        <v>44713</v>
      </c>
      <c r="B171" s="3">
        <f>Haver!O181</f>
        <v>99.566666666666663</v>
      </c>
      <c r="C171" s="29">
        <f>Haver!P181</f>
        <v>1.0917544320202914E-2</v>
      </c>
      <c r="D171">
        <f t="shared" si="6"/>
        <v>99.750145784071961</v>
      </c>
      <c r="H171" s="29">
        <f>Haver!F181</f>
        <v>-1.1831075243160516E-2</v>
      </c>
      <c r="I171">
        <f t="shared" si="5"/>
        <v>28407.482745310903</v>
      </c>
    </row>
    <row r="172" spans="1:9" x14ac:dyDescent="0.35">
      <c r="A172" s="4">
        <v>44805</v>
      </c>
      <c r="B172" s="3">
        <f>Haver!O182</f>
        <v>99.846666666666678</v>
      </c>
      <c r="C172" s="29">
        <f>Haver!P182</f>
        <v>3.4184395550570725E-3</v>
      </c>
      <c r="D172">
        <f t="shared" si="6"/>
        <v>100.09113562804295</v>
      </c>
      <c r="H172" s="29">
        <f>Haver!F182</f>
        <v>2.851919524235149E-2</v>
      </c>
      <c r="I172">
        <f t="shared" si="5"/>
        <v>29217.641292068158</v>
      </c>
    </row>
    <row r="173" spans="1:9" x14ac:dyDescent="0.35">
      <c r="A173" s="4">
        <v>44896</v>
      </c>
      <c r="B173" s="3">
        <f>Haver!O183</f>
        <v>99.966666666666654</v>
      </c>
      <c r="C173" s="29">
        <f>Haver!P183</f>
        <v>1.3646158837408479E-3</v>
      </c>
      <c r="D173">
        <f t="shared" si="6"/>
        <v>100.22772158154264</v>
      </c>
      <c r="H173" s="29">
        <f>Haver!F183</f>
        <v>6.7517256829233872E-3</v>
      </c>
      <c r="I173">
        <f t="shared" si="5"/>
        <v>29414.910791174261</v>
      </c>
    </row>
    <row r="174" spans="1:9" x14ac:dyDescent="0.35">
      <c r="A174" s="4">
        <v>44986</v>
      </c>
      <c r="B174" s="3">
        <f>Haver!O184</f>
        <v>99.766666666666652</v>
      </c>
      <c r="C174" s="29">
        <f>Haver!P184</f>
        <v>-1.9961099320437888E-3</v>
      </c>
      <c r="D174">
        <f t="shared" si="6"/>
        <v>100.0276560310276</v>
      </c>
      <c r="H174" s="29">
        <f>Haver!F184</f>
        <v>1.8908753054361887E-2</v>
      </c>
      <c r="I174">
        <f t="shared" si="5"/>
        <v>29971.110075440662</v>
      </c>
    </row>
    <row r="175" spans="1:9" x14ac:dyDescent="0.35">
      <c r="A175" s="4">
        <v>45078</v>
      </c>
      <c r="B175" s="3">
        <f>Haver!O185</f>
        <v>99.666666666666671</v>
      </c>
      <c r="C175" s="29">
        <f>Haver!P185</f>
        <v>-1.8281968927065947E-3</v>
      </c>
      <c r="D175">
        <f t="shared" si="6"/>
        <v>99.844785781086955</v>
      </c>
      <c r="H175" s="29">
        <f>Haver!F185</f>
        <v>1.2946778809629234E-2</v>
      </c>
      <c r="I175">
        <f t="shared" si="5"/>
        <v>30359.139408266437</v>
      </c>
    </row>
    <row r="176" spans="1:9" x14ac:dyDescent="0.35">
      <c r="A176" s="4">
        <v>45170</v>
      </c>
      <c r="B176" s="3">
        <f>Haver!O186</f>
        <v>99.74666666666667</v>
      </c>
      <c r="C176" s="29">
        <f>Haver!P186</f>
        <v>9.9709008953142129E-4</v>
      </c>
      <c r="D176">
        <f t="shared" si="6"/>
        <v>99.944340027480678</v>
      </c>
      <c r="H176" s="29">
        <f>Haver!F186</f>
        <v>1.1774417767187946E-2</v>
      </c>
      <c r="I176">
        <f t="shared" si="5"/>
        <v>30716.600598711666</v>
      </c>
    </row>
    <row r="177" spans="1:9" x14ac:dyDescent="0.35">
      <c r="A177" s="4">
        <v>45261</v>
      </c>
      <c r="B177" s="3">
        <f>Haver!O187</f>
        <v>99.633333333333326</v>
      </c>
      <c r="C177" s="29">
        <f>Haver!P187</f>
        <v>-5.443122254146812E-4</v>
      </c>
      <c r="D177">
        <f t="shared" si="6"/>
        <v>99.889939101342719</v>
      </c>
      <c r="H177" s="29">
        <f>Haver!F187</f>
        <v>9.6895999296538401E-3</v>
      </c>
      <c r="I177">
        <f t="shared" si="5"/>
        <v>31014.232169712148</v>
      </c>
    </row>
    <row r="178" spans="1:9" x14ac:dyDescent="0.35">
      <c r="A178" s="4">
        <v>45352</v>
      </c>
      <c r="B178" s="3">
        <f>Haver!O188</f>
        <v>99.786666666666676</v>
      </c>
      <c r="C178" s="29">
        <f>Haver!P188</f>
        <v>2.1134818090578029E-3</v>
      </c>
      <c r="D178">
        <f t="shared" si="6"/>
        <v>100.1010546705413</v>
      </c>
      <c r="H178" s="29">
        <f>Haver!F188</f>
        <v>1.3213197884116266E-2</v>
      </c>
      <c r="I178">
        <f t="shared" si="5"/>
        <v>31424.029356594481</v>
      </c>
    </row>
    <row r="179" spans="1:9" x14ac:dyDescent="0.35">
      <c r="A179" s="4">
        <v>45444</v>
      </c>
      <c r="B179" s="3">
        <f>Haver!O189</f>
        <v>99.946666666666658</v>
      </c>
      <c r="C179" s="29">
        <f>Haver!P189</f>
        <v>1.2326184812218644E-4</v>
      </c>
      <c r="D179">
        <f t="shared" si="6"/>
        <v>100.11339331153897</v>
      </c>
      <c r="H179" s="29">
        <f>Haver!F189</f>
        <v>1.275726293607435E-2</v>
      </c>
      <c r="I179">
        <f t="shared" si="5"/>
        <v>31824.913961607475</v>
      </c>
    </row>
    <row r="180" spans="1:9" x14ac:dyDescent="0.35">
      <c r="A180" s="4">
        <v>45536</v>
      </c>
      <c r="B180" s="3">
        <f>Haver!O190</f>
        <v>100.22000000000001</v>
      </c>
      <c r="C180" s="29">
        <f>Haver!P190</f>
        <v>2.8202286776838337E-3</v>
      </c>
      <c r="D180">
        <f t="shared" si="6"/>
        <v>100.39573597437641</v>
      </c>
      <c r="H180" s="29">
        <f>Haver!F190</f>
        <v>9.8925321524148922E-3</v>
      </c>
      <c r="I180">
        <f t="shared" ref="I180:I185" si="7">I179*(1+H180)</f>
        <v>32139.742946220511</v>
      </c>
    </row>
    <row r="181" spans="1:9" x14ac:dyDescent="0.35">
      <c r="A181" s="4">
        <v>45627</v>
      </c>
      <c r="B181" s="3">
        <f>Haver!O191</f>
        <v>99.850000000000009</v>
      </c>
      <c r="C181" s="29">
        <f>Haver!P191</f>
        <v>-2.990812833726431E-3</v>
      </c>
      <c r="D181">
        <f t="shared" si="6"/>
        <v>100.09547111877282</v>
      </c>
      <c r="H181" s="29">
        <f>Haver!F191</f>
        <v>1.7287835566131435E-2</v>
      </c>
      <c r="I181">
        <f t="shared" si="7"/>
        <v>32695.369537412505</v>
      </c>
    </row>
    <row r="182" spans="1:9" x14ac:dyDescent="0.35">
      <c r="A182" s="4">
        <v>45717</v>
      </c>
      <c r="B182" s="3">
        <f>Haver!O192</f>
        <v>99.686666666666667</v>
      </c>
      <c r="C182" s="29">
        <f>Haver!P192</f>
        <v>-6.6895575022439123E-4</v>
      </c>
      <c r="D182">
        <f t="shared" si="6"/>
        <v>100.0285116777965</v>
      </c>
      <c r="H182" s="29">
        <f>Haver!F192</f>
        <v>1.1467552153986644E-2</v>
      </c>
      <c r="I182">
        <f t="shared" si="7"/>
        <v>33070.305392776652</v>
      </c>
    </row>
    <row r="183" spans="1:9" x14ac:dyDescent="0.35">
      <c r="A183" s="4">
        <v>45809</v>
      </c>
      <c r="B183" s="3">
        <f>Haver!O193</f>
        <v>99.953333333333333</v>
      </c>
      <c r="C183" s="29">
        <f>Haver!P193</f>
        <v>1.0203130712739064E-3</v>
      </c>
      <c r="D183">
        <f t="shared" si="6"/>
        <v>100.13057207576142</v>
      </c>
      <c r="H183" s="29">
        <f>Haver!F193</f>
        <v>1.3024531789013621E-2</v>
      </c>
      <c r="I183">
        <f t="shared" si="7"/>
        <v>33501.030636637261</v>
      </c>
    </row>
    <row r="184" spans="1:9" x14ac:dyDescent="0.35">
      <c r="A184" s="4">
        <v>45901</v>
      </c>
      <c r="B184" s="3">
        <f>Haver!O194</f>
        <v>100</v>
      </c>
      <c r="C184" s="29">
        <f>Haver!P194</f>
        <v>1.5488050397271668E-4</v>
      </c>
      <c r="D184">
        <f t="shared" si="6"/>
        <v>100.14608034922757</v>
      </c>
      <c r="H184" s="29">
        <f>Haver!F194</f>
        <v>6.3353626642597095E-3</v>
      </c>
      <c r="I184">
        <f t="shared" si="7"/>
        <v>33713.27181534683</v>
      </c>
    </row>
    <row r="185" spans="1:9" x14ac:dyDescent="0.35">
      <c r="A185" s="4">
        <v>45992</v>
      </c>
      <c r="B185" s="3">
        <f>Haver!O195</f>
        <v>100.36666666666667</v>
      </c>
      <c r="C185" s="29">
        <f>Haver!P195</f>
        <v>4.8052796272084718E-3</v>
      </c>
      <c r="D185">
        <f t="shared" si="6"/>
        <v>100.6273102688745</v>
      </c>
      <c r="H185" s="29">
        <f>Haver!F195</f>
        <v>1.3099932545375448E-2</v>
      </c>
      <c r="I185">
        <f t="shared" si="7"/>
        <v>34154.913402011785</v>
      </c>
    </row>
    <row r="186" spans="1:9" x14ac:dyDescent="0.35">
      <c r="A186" s="4">
        <v>46082</v>
      </c>
      <c r="B186" s="3">
        <f>Haver!O196</f>
        <v>100.50666666666666</v>
      </c>
      <c r="C186" s="29">
        <f>Haver!P196</f>
        <v>2.1913592336703942E-3</v>
      </c>
      <c r="D186">
        <f t="shared" ref="D186" si="8">D185*(1+C186)</f>
        <v>100.84782085439161</v>
      </c>
      <c r="H186" s="29">
        <f>Haver!F196</f>
        <v>1.6040765933381215E-2</v>
      </c>
      <c r="I186">
        <f t="shared" ref="I186" si="9">I185*(1+H186)</f>
        <v>34702.784373368362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3</vt:i4>
      </vt:variant>
    </vt:vector>
  </HeadingPairs>
  <TitlesOfParts>
    <vt:vector size="14" baseType="lpstr">
      <vt:lpstr>matlab</vt:lpstr>
      <vt:lpstr>Haver</vt:lpstr>
      <vt:lpstr>Haver_M</vt:lpstr>
      <vt:lpstr>OEM</vt:lpstr>
      <vt:lpstr>OEM_aux</vt:lpstr>
      <vt:lpstr>AWM</vt:lpstr>
      <vt:lpstr>Mater_M</vt:lpstr>
      <vt:lpstr>Mater_Q</vt:lpstr>
      <vt:lpstr>SA R</vt:lpstr>
      <vt:lpstr>UK_HAVER</vt:lpstr>
      <vt:lpstr>reconstruct_levels_ch</vt:lpstr>
      <vt:lpstr>_DLX1.INC</vt:lpstr>
      <vt:lpstr>_DLX2.INC</vt:lpstr>
      <vt:lpstr>_DLX3.INC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2026-06-10T08:46:25Z</dcterms:modified>
</cp:coreProperties>
</file>